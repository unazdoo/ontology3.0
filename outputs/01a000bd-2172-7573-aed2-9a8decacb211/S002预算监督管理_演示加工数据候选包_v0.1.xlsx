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ad6d7afab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版本" sheetId="1" r:id="R398b4939c9f34c42"/>
    <x:sheet xmlns:r="http://schemas.openxmlformats.org/officeDocument/2006/relationships" name="01_口径与假设" sheetId="2" r:id="Reff8290e0eae47fc"/>
    <x:sheet xmlns:r="http://schemas.openxmlformats.org/officeDocument/2006/relationships" name="02_权威资料索引" sheetId="3" r:id="R6cffaaa3babf408d"/>
    <x:sheet xmlns:r="http://schemas.openxmlformats.org/officeDocument/2006/relationships" name="03_来源与变更日志" sheetId="4" r:id="R9ce59a3a0cde4a56"/>
    <x:sheet xmlns:r="http://schemas.openxmlformats.org/officeDocument/2006/relationships" name="04_2024实际_演示" sheetId="5" r:id="R00e33cc2d5db4fc9"/>
    <x:sheet xmlns:r="http://schemas.openxmlformats.org/officeDocument/2006/relationships" name="05_2025实际_演示" sheetId="6" r:id="Ra26c6886e9014251"/>
    <x:sheet xmlns:r="http://schemas.openxmlformats.org/officeDocument/2006/relationships" name="06_正式预算_年度" sheetId="7" r:id="R9b73f09a15084d3e"/>
    <x:sheet xmlns:r="http://schemas.openxmlformats.org/officeDocument/2006/relationships" name="07_初始申报_项目" sheetId="8" r:id="Rb1351679444d4c6e"/>
    <x:sheet xmlns:r="http://schemas.openxmlformats.org/officeDocument/2006/relationships" name="08_初始申报_公共费" sheetId="9" r:id="R9ac293b7fa3849ee"/>
    <x:sheet xmlns:r="http://schemas.openxmlformats.org/officeDocument/2006/relationships" name="09_初始申报_技术" sheetId="10" r:id="R0661daef56fa471f"/>
    <x:sheet xmlns:r="http://schemas.openxmlformats.org/officeDocument/2006/relationships" name="10_初始申报_汇总" sheetId="11" r:id="R0b00fb34c4cc445c"/>
    <x:sheet xmlns:r="http://schemas.openxmlformats.org/officeDocument/2006/relationships" name="11_2025占用事件" sheetId="12" r:id="Rfce798389502433b"/>
    <x:sheet xmlns:r="http://schemas.openxmlformats.org/officeDocument/2006/relationships" name="12_项目可用立项余额" sheetId="13" r:id="Rbaa067e213d0434a"/>
    <x:sheet xmlns:r="http://schemas.openxmlformats.org/officeDocument/2006/relationships" name="13_经营事实候选" sheetId="14" r:id="R4a4d9e3ad91c42fa"/>
    <x:sheet xmlns:r="http://schemas.openxmlformats.org/officeDocument/2006/relationships" name="14_MetricRuleAction候选" sheetId="15" r:id="R551a6b9630464168"/>
    <x:sheet xmlns:r="http://schemas.openxmlformats.org/officeDocument/2006/relationships" name="15_范围与基线适配" sheetId="16" r:id="R81b9026304da4ea3"/>
    <x:sheet xmlns:r="http://schemas.openxmlformats.org/officeDocument/2006/relationships" name="16_Checks" sheetId="17" r:id="R6ec7143aa371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00;[Red](#,##0.0000);-"/>
    <x:numFmt numFmtId="202" formatCode="0.0%"/>
    <x:numFmt numFmtId="203" formatCode="#,##0.00;[Red](#,##0.00);-"/>
    <x:numFmt numFmtId="204" formatCode="#,##0"/>
    <x:numFmt numFmtId="205" formatCode="0.00%"/>
  </x:numFmts>
  <x:fonts count="13">
    <x:font>
      <x:sz val="11"/>
      <x:name val="Carlito"/>
    </x:font>
    <x:font>
      <x:b/>
      <x:sz val="18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1"/>
      <x:color rgb="FFFFFFFF"/>
      <x:name val="Carlito"/>
    </x:font>
    <x:font>
      <x:sz val="10"/>
      <x:color rgb="FF4B5563"/>
      <x:name val="Arial"/>
    </x:font>
    <x:font>
      <x:b/>
      <x:sz val="12"/>
      <x:color rgb="FFB45309"/>
      <x:name val="Arial"/>
    </x:font>
    <x:font>
      <x:b/>
      <x:sz val="10"/>
      <x:color rgb="FFFFFFFF"/>
      <x:name val="Arial"/>
    </x:font>
    <x:font>
      <x:sz val="9"/>
      <x:color rgb="FF1D4ED8"/>
      <x:name val="Courier New"/>
    </x:font>
    <x:font>
      <x:sz val="10"/>
      <x:color rgb="FF1D4ED8"/>
      <x:name val="Arial"/>
    </x:font>
    <x:font>
      <x:sz val="10"/>
      <x:color rgb="FF15803D"/>
      <x:name val="Arial"/>
    </x:font>
    <x:font>
      <x:b/>
      <x:sz val="15"/>
      <x:color rgb="FFFFFFFF"/>
      <x:name val="Arial"/>
    </x:font>
    <x:font>
      <x:b/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3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  <x:border>
      <x:left style="medium">
        <x:color rgb="FFB45309"/>
      </x:left>
      <x:top style="medium">
        <x:color rgb="FFB45309"/>
      </x:top>
      <x:bottom style="medium">
        <x:color rgb="FFB45309"/>
      </x:bottom>
    </x:border>
    <x:border>
      <x:top style="medium">
        <x:color rgb="FFB45309"/>
      </x:top>
      <x:bottom style="medium">
        <x:color rgb="FFB45309"/>
      </x:bottom>
    </x:border>
    <x:border>
      <x:right style="medium">
        <x:color rgb="FFB45309"/>
      </x:right>
      <x:top style="medium">
        <x:color rgb="FFB45309"/>
      </x:top>
      <x:bottom style="medium">
        <x:color rgb="FFB45309"/>
      </x:bottom>
    </x:border>
    <x:border>
      <x:left style="thin">
        <x:color rgb="FFD1D5DB"/>
      </x:left>
      <x:right style="thin">
        <x:color rgb="FFD1D5DB"/>
      </x:right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8" xfId="0" applyNumberFormat="1" applyFont="1" applyFill="1" applyBorder="1"/>
    <x:xf numFmtId="0" fontId="5" fillId="5" borderId="6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9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11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4" xfId="0" applyNumberFormat="1" applyFont="1" applyFill="1" applyBorder="1" applyAlignment="1">
      <x:alignment vertical="center"/>
    </x:xf>
    <x:xf numFmtId="0" fontId="7" fillId="2" borderId="12" xfId="0" applyNumberFormat="1" applyFont="1" applyFill="1" applyBorder="1" applyAlignment="1">
      <x:alignment vertical="center"/>
    </x:xf>
    <x:xf numFmtId="0" fontId="7" fillId="2" borderId="3" xfId="0" applyNumberFormat="1" applyFont="1" applyFill="1" applyBorder="1" applyAlignment="1">
      <x:alignment vertical="center"/>
    </x:xf>
    <x:xf numFmtId="0" fontId="7" fillId="2" borderId="4" xfId="0" applyNumberFormat="1" applyFont="1" applyFill="1" applyBorder="1" applyAlignment="1">
      <x:alignment vertical="center" wrapText="1"/>
    </x:xf>
    <x:xf numFmtId="0" fontId="7" fillId="2" borderId="12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5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5" fontId="10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4" xfId="0" applyNumberFormat="1" applyFont="1" applyFill="1" applyBorder="1" applyAlignment="1">
      <x:alignment horizontal="center" vertical="center"/>
    </x:xf>
    <x:xf numFmtId="0" fontId="7" fillId="2" borderId="12" xfId="0" applyNumberFormat="1" applyFont="1" applyFill="1" applyBorder="1" applyAlignment="1">
      <x:alignment horizontal="center" vertical="center"/>
    </x:xf>
    <x:xf numFmtId="0" fontId="7" fillId="2" borderId="3" xfId="0" applyNumberFormat="1" applyFont="1" applyFill="1" applyBorder="1" applyAlignment="1">
      <x:alignment horizontal="center" vertical="center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7" fillId="2" borderId="1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11" fillId="2" borderId="4" xfId="0" applyNumberFormat="1" applyFont="1" applyFill="1" applyBorder="1" applyAlignment="1">
      <x:alignment horizontal="center" vertical="center" wrapText="1"/>
    </x:xf>
    <x:xf numFmtId="0" fontId="11" fillId="2" borderId="12" xfId="0" applyNumberFormat="1" applyFont="1" applyFill="1" applyBorder="1" applyAlignment="1">
      <x:alignment horizontal="center" vertical="center" wrapText="1"/>
    </x:xf>
    <x:xf numFmtId="0" fontId="11" fillId="2" borderId="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5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0369A1"/>
      </x:font>
      <x:fill>
        <x:patternFill patternType="solid">
          <x:bgColor rgb="FFE0F2FE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0369A1"/>
      </x:font>
      <x:fill>
        <x:patternFill patternType="solid">
          <x:bgColor rgb="FFE0F2FE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0a482dee447b2" /><Relationship Type="http://schemas.openxmlformats.org/officeDocument/2006/relationships/theme" Target="/xl/theme/theme1.xml" Id="R3fb76da4ec7d416d" /><Relationship Type="http://schemas.openxmlformats.org/officeDocument/2006/relationships/sharedStrings" Target="/xl/sharedStrings.xml" Id="R418aa15911c740de" /><Relationship Type="http://schemas.openxmlformats.org/officeDocument/2006/relationships/worksheet" Target="/xl/worksheets/sheet1.xml" Id="R398b4939c9f34c42" /><Relationship Type="http://schemas.openxmlformats.org/officeDocument/2006/relationships/worksheet" Target="/xl/worksheets/sheet2.xml" Id="Reff8290e0eae47fc" /><Relationship Type="http://schemas.openxmlformats.org/officeDocument/2006/relationships/worksheet" Target="/xl/worksheets/sheet3.xml" Id="R6cffaaa3babf408d" /><Relationship Type="http://schemas.openxmlformats.org/officeDocument/2006/relationships/worksheet" Target="/xl/worksheets/sheet4.xml" Id="R9ce59a3a0cde4a56" /><Relationship Type="http://schemas.openxmlformats.org/officeDocument/2006/relationships/worksheet" Target="/xl/worksheets/sheet5.xml" Id="R00e33cc2d5db4fc9" /><Relationship Type="http://schemas.openxmlformats.org/officeDocument/2006/relationships/worksheet" Target="/xl/worksheets/sheet6.xml" Id="Ra26c6886e9014251" /><Relationship Type="http://schemas.openxmlformats.org/officeDocument/2006/relationships/worksheet" Target="/xl/worksheets/sheet7.xml" Id="R9b73f09a15084d3e" /><Relationship Type="http://schemas.openxmlformats.org/officeDocument/2006/relationships/worksheet" Target="/xl/worksheets/sheet8.xml" Id="Rb1351679444d4c6e" /><Relationship Type="http://schemas.openxmlformats.org/officeDocument/2006/relationships/worksheet" Target="/xl/worksheets/sheet9.xml" Id="R9ac293b7fa3849ee" /><Relationship Type="http://schemas.openxmlformats.org/officeDocument/2006/relationships/worksheet" Target="/xl/worksheets/sheet10.xml" Id="R0661daef56fa471f" /><Relationship Type="http://schemas.openxmlformats.org/officeDocument/2006/relationships/worksheet" Target="/xl/worksheets/sheet11.xml" Id="R0b00fb34c4cc445c" /><Relationship Type="http://schemas.openxmlformats.org/officeDocument/2006/relationships/worksheet" Target="/xl/worksheets/sheet12.xml" Id="Rfce798389502433b" /><Relationship Type="http://schemas.openxmlformats.org/officeDocument/2006/relationships/worksheet" Target="/xl/worksheets/sheet13.xml" Id="Rbaa067e213d0434a" /><Relationship Type="http://schemas.openxmlformats.org/officeDocument/2006/relationships/worksheet" Target="/xl/worksheets/sheet14.xml" Id="R4a4d9e3ad91c42fa" /><Relationship Type="http://schemas.openxmlformats.org/officeDocument/2006/relationships/worksheet" Target="/xl/worksheets/sheet15.xml" Id="R551a6b9630464168" /><Relationship Type="http://schemas.openxmlformats.org/officeDocument/2006/relationships/worksheet" Target="/xl/worksheets/sheet16.xml" Id="R81b9026304da4ea3" /><Relationship Type="http://schemas.openxmlformats.org/officeDocument/2006/relationships/worksheet" Target="/xl/worksheets/sheet17.xml" Id="R6ec7143aa37143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4" max="4" width="22" hidden="0" customWidth="1"/>
    <x:col min="7" max="7" width="22" hidden="0" customWidth="1"/>
    <x:col min="2" max="2" width="34" hidden="0" customWidth="1"/>
    <x:col min="5" max="5" width="34" hidden="0" customWidth="1"/>
    <x:col min="8" max="8" width="34" hidden="0" customWidth="1"/>
    <x:col min="3" max="3" width="3" hidden="0" customWidth="1"/>
    <x:col min="6" max="6" width="3" hidden="0" customWidth="1"/>
  </x:cols>
  <x:sheetData>
    <x:row r="1" ht="42" customHeight="1">
      <x:c r="A1" s="3" t="str">
        <x:v>S002 预算监督管理｜演示加工数据候选包</x:v>
      </x:c>
      <x:c r="B1" s="3"/>
      <x:c r="C1" s="3"/>
      <x:c r="D1" s="3"/>
      <x:c r="E1" s="3"/>
      <x:c r="F1" s="3"/>
      <x:c r="G1" s="3"/>
      <x:c r="H1" s="3"/>
    </x:row>
    <x:row r="3">
      <x:c r="A3" s="26" t="str">
        <x:v>包版本</x:v>
      </x:c>
      <x:c r="B3" s="18" t="str">
        <x:v>v0.1 / SIMULATED_CURATED</x:v>
      </x:c>
      <x:c r="D3" s="26" t="str">
        <x:v>来源文件数</x:v>
      </x:c>
      <x:c r="E3" s="18" t="n">
        <x:v>8</x:v>
      </x:c>
      <x:c r="G3" s="26" t="str">
        <x:v>注册表冻结版</x:v>
      </x:c>
      <x:c r="H3" s="18" t="str">
        <x:v>v1.0.2</x:v>
      </x:c>
    </x:row>
    <x:row r="4">
      <x:c r="A4" s="27" t="str">
        <x:v>生成日期</x:v>
      </x:c>
      <x:c r="B4" s="61" t="n">
        <x:v>46249</x:v>
      </x:c>
      <x:c r="D4" s="27" t="str">
        <x:v>2024实际行数</x:v>
      </x:c>
      <x:c r="E4" s="20" t="n">
        <x:v>203</x:v>
      </x:c>
      <x:c r="G4" s="27" t="str">
        <x:v>活动补丁版</x:v>
      </x:c>
      <x:c r="H4" s="20" t="str">
        <x:v>v1.0.3</x:v>
      </x:c>
    </x:row>
    <x:row r="5">
      <x:c r="A5" s="27" t="str">
        <x:v>场景</x:v>
      </x:c>
      <x:c r="B5" s="20" t="str">
        <x:v>S002 预算监督管理</x:v>
      </x:c>
      <x:c r="D5" s="27" t="str">
        <x:v>2025实际行数</x:v>
      </x:c>
      <x:c r="E5" s="20" t="n">
        <x:v>217</x:v>
      </x:c>
      <x:c r="G5" s="27" t="str">
        <x:v>S002工作版</x:v>
      </x:c>
      <x:c r="H5" s="20" t="str">
        <x:v>v1.1.0</x:v>
      </x:c>
    </x:row>
    <x:row r="6">
      <x:c r="A6" s="27" t="str">
        <x:v>当前阶段</x:v>
      </x:c>
      <x:c r="B6" s="20" t="str">
        <x:v>准备阶段：资料核验、数据就绪、范围与适配</x:v>
      </x:c>
      <x:c r="D6" s="27" t="str">
        <x:v>2025源记录保留</x:v>
      </x:c>
      <x:c r="E6" s="20" t="str">
        <x:v>203/203</x:v>
      </x:c>
      <x:c r="G6" s="27" t="str">
        <x:v>v1.1.0父版本</x:v>
      </x:c>
      <x:c r="H6" s="20" t="str">
        <x:v>v1.0.1</x:v>
      </x:c>
    </x:row>
    <x:row r="7">
      <x:c r="A7" s="27" t="str">
        <x:v>权威原件</x:v>
      </x:c>
      <x:c r="B7" s="20" t="str">
        <x:v>data_v5 8份工作簿，全部保持不变</x:v>
      </x:c>
      <x:c r="D7" s="27" t="str">
        <x:v>2024补录</x:v>
      </x:c>
      <x:c r="E7" s="20" t="str">
        <x:v>42条差旅/交通</x:v>
      </x:c>
      <x:c r="G7" s="27" t="str">
        <x:v>版本治理</x:v>
      </x:c>
      <x:c r="H7" s="20" t="str">
        <x:v>总控已更新；v1.1.0资料仍待由v1.0.1受控迁移</x:v>
      </x:c>
    </x:row>
    <x:row r="8">
      <x:c r="A8" s="27" t="str">
        <x:v>逻辑成员</x:v>
      </x:c>
      <x:c r="B8" s="20" t="n">
        <x:v>14</x:v>
      </x:c>
      <x:c r="D8" s="27" t="str">
        <x:v>2025计提冲回</x:v>
      </x:c>
      <x:c r="E8" s="20" t="str">
        <x:v>14条，-119.8330万元</x:v>
      </x:c>
      <x:c r="G8" s="27" t="str">
        <x:v>总装状态</x:v>
      </x:c>
      <x:c r="H8" s="20" t="str">
        <x:v>阻塞</x:v>
      </x:c>
    </x:row>
    <x:row r="9">
      <x:c r="A9" s="27" t="str">
        <x:v>币种 / 单位</x:v>
      </x:c>
      <x:c r="B9" s="20" t="str">
        <x:v>人民币（CNY）/ 万元</x:v>
      </x:c>
      <x:c r="D9" s="27" t="str">
        <x:v>期间/日期修复</x:v>
      </x:c>
      <x:c r="E9" s="20" t="str">
        <x:v>13条 / 6条</x:v>
      </x:c>
      <x:c r="G9" s="27" t="str">
        <x:v>多Agent报告</x:v>
      </x:c>
      <x:c r="H9" s="20" t="str">
        <x:v>业务候选成立；CR-AG-011待总控登记</x:v>
      </x:c>
    </x:row>
    <x:row r="10">
      <x:c r="A10" s="27" t="str">
        <x:v>费用 / 收入口径</x:v>
      </x:c>
      <x:c r="B10" s="20" t="str">
        <x:v>费用不含税；收入源负号表示收益</x:v>
      </x:c>
      <x:c r="D10" s="27" t="str">
        <x:v>公共费修订</x:v>
      </x:c>
      <x:c r="E10" s="20" t="str">
        <x:v>2026年12条</x:v>
      </x:c>
      <x:c r="G10" s="27" t="str">
        <x:v>预算系统Action</x:v>
      </x:c>
      <x:c r="H10" s="20" t="str">
        <x:v>一期仅创建调整草稿/申请</x:v>
      </x:c>
    </x:row>
    <x:row r="11">
      <x:c r="A11" s="27" t="str">
        <x:v>数据性质</x:v>
      </x:c>
      <x:c r="B11" s="20" t="str">
        <x:v>SOURCE / CORRECTED / SYNTHETIC_FOR_DEMO / DERIVED_REVERSAL</x:v>
      </x:c>
      <x:c r="D11" s="27" t="str">
        <x:v>项目余额异常</x:v>
      </x:c>
      <x:c r="E11" s="20" t="str">
        <x:v>1个业务异常，非数据错误</x:v>
      </x:c>
      <x:c r="G11" s="27" t="str">
        <x:v>真实外部执行</x:v>
      </x:c>
      <x:c r="H11" s="20" t="str">
        <x:v>缺适配、回执、对账合同</x:v>
      </x:c>
    </x:row>
    <x:row r="12">
      <x:c r="A12" s="28" t="str">
        <x:v>正式性</x:v>
      </x:c>
      <x:c r="B12" s="22" t="str">
        <x:v>非正式T007、非Published、不得登记为系统当前成功状态</x:v>
      </x:c>
      <x:c r="D12" s="28" t="str">
        <x:v>Checks</x:v>
      </x:c>
      <x:c r="E12" s="22" t="str">
        <x:v>见16_Checks</x:v>
      </x:c>
      <x:c r="G12" s="28" t="str">
        <x:v>S001影响</x:v>
      </x:c>
      <x:c r="H12" s="22" t="str">
        <x:v>公共合同均标记待评审后复核</x:v>
      </x:c>
    </x:row>
    <x:row r="14">
      <x:c r="A14" s="30" t="str">
        <x:v>使用约束</x:v>
      </x:c>
      <x:c r="B14" s="30"/>
      <x:c r="C14" s="30"/>
      <x:c r="D14" s="30"/>
      <x:c r="E14" s="30"/>
      <x:c r="F14" s="30"/>
      <x:c r="G14" s="30"/>
      <x:c r="H14" s="30"/>
    </x:row>
    <x:row r="15">
      <x:c r="A15" s="41" t="str">
        <x:v>1. 本包是准备阶段的受控模拟输入候选，不覆盖8份权威原件。</x:v>
      </x:c>
      <x:c r="B15" s="42"/>
      <x:c r="C15" s="42"/>
      <x:c r="D15" s="42"/>
      <x:c r="E15" s="42"/>
      <x:c r="F15" s="42"/>
      <x:c r="G15" s="42"/>
      <x:c r="H15" s="43"/>
    </x:row>
    <x:row r="16">
      <x:c r="A16" s="44" t="str">
        <x:v>2. 所有补数、重分类、修正和估算均在03_来源与变更日志留痕，并保留源行锚点。</x:v>
      </x:c>
      <x:c r="B16" s="45"/>
      <x:c r="C16" s="45"/>
      <x:c r="D16" s="45"/>
      <x:c r="E16" s="45"/>
      <x:c r="F16" s="45"/>
      <x:c r="G16" s="45"/>
      <x:c r="H16" s="46"/>
    </x:row>
    <x:row r="17">
      <x:c r="A17" s="44" t="str">
        <x:v>3. 项目层不形成正式预算执行率；只展示申报、累计实际、净在途和项目可用立项余额。</x:v>
      </x:c>
      <x:c r="B17" s="45"/>
      <x:c r="C17" s="45"/>
      <x:c r="D17" s="45"/>
      <x:c r="E17" s="45"/>
      <x:c r="F17" s="45"/>
      <x:c r="G17" s="45"/>
      <x:c r="H17" s="46"/>
    </x:row>
    <x:row r="18">
      <x:c r="A18" s="47" t="str">
        <x:v>4. 正式预算的外部变化必须由预算系统生效后重新摄取，形成新快照、新T007并经T019采用。</x:v>
      </x:c>
      <x:c r="B18" s="48"/>
      <x:c r="C18" s="48"/>
      <x:c r="D18" s="48"/>
      <x:c r="E18" s="48"/>
      <x:c r="F18" s="48"/>
      <x:c r="G18" s="48"/>
      <x:c r="H18" s="49"/>
    </x:row>
    <x:row r="20" ht="30" customHeight="1">
      <x:c r="A20" s="58" t="str">
        <x:v>S002 准备阶段已启动，完整功能设计和原型建设尚未启动。</x:v>
      </x:c>
      <x:c r="B20" s="59"/>
      <x:c r="C20" s="59"/>
      <x:c r="D20" s="59"/>
      <x:c r="E20" s="59"/>
      <x:c r="F20" s="59"/>
      <x:c r="G20" s="59"/>
      <x:c r="H20" s="60"/>
    </x:row>
  </x:sheetData>
  <x:mergeCells>
    <x:mergeCell ref="A1:H1"/>
    <x:mergeCell ref="A14:H14"/>
    <x:mergeCell ref="A15:H15"/>
    <x:mergeCell ref="A16:H16"/>
    <x:mergeCell ref="A17:H17"/>
    <x:mergeCell ref="A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34" hidden="0" customWidth="1"/>
    <x:col min="5" max="5" width="10" hidden="0" customWidth="1"/>
    <x:col min="6" max="6" width="14" hidden="0" customWidth="1"/>
    <x:col min="7" max="7" width="20" hidden="0" customWidth="1"/>
    <x:col min="8" max="8" width="44" hidden="0" customWidth="1"/>
    <x:col min="9" max="9" width="14" hidden="0" customWidth="1"/>
  </x:cols>
  <x:sheetData>
    <x:row r="1" ht="34" customHeight="1">
      <x:c r="A1" s="68" t="str">
        <x:v>ID</x:v>
      </x:c>
      <x:c r="B1" s="69" t="str">
        <x:v>类别</x:v>
      </x:c>
      <x:c r="C1" s="69" t="str">
        <x:v>裁决/假设</x:v>
      </x:c>
      <x:c r="D1" s="69" t="str">
        <x:v>取值</x:v>
      </x:c>
      <x:c r="E1" s="69" t="str">
        <x:v>单位</x:v>
      </x:c>
      <x:c r="F1" s="69" t="str">
        <x:v>状态</x:v>
      </x:c>
      <x:c r="G1" s="69" t="str">
        <x:v>依据</x:v>
      </x:c>
      <x:c r="H1" s="69" t="str">
        <x:v>影响与边界</x:v>
      </x:c>
      <x:c r="I1" s="70" t="str">
        <x:v>语义Owner</x:v>
      </x:c>
    </x:row>
    <x:row r="2" ht="34" customHeight="1">
      <x:c r="A2" s="62" t="str">
        <x:v>A001</x:v>
      </x:c>
      <x:c r="B2" s="62" t="str">
        <x:v>预算版本</x:v>
      </x:c>
      <x:c r="C2" s="71" t="str">
        <x:v>2024/2025年度下达</x:v>
      </x:c>
      <x:c r="D2" s="71" t="str">
        <x:v>最终批准预算</x:v>
      </x:c>
      <x:c r="E2" s="71" t="str">
        <x:v>-</x:v>
      </x:c>
      <x:c r="F2" s="71" t="str">
        <x:v>用户已确认</x:v>
      </x:c>
      <x:c r="G2" s="71" t="str">
        <x:v>用户裁决1</x:v>
      </x:c>
      <x:c r="H2" s="71" t="str">
        <x:v>可用于年度正式预算比较；项目级下达不在范围</x:v>
      </x:c>
      <x:c r="I2" s="62" t="str">
        <x:v>M01</x:v>
      </x:c>
    </x:row>
    <x:row r="3" ht="34" customHeight="1">
      <x:c r="A3" s="62" t="str">
        <x:v>A002</x:v>
      </x:c>
      <x:c r="B3" s="62" t="str">
        <x:v>申报版本</x:v>
      </x:c>
      <x:c r="C3" s="71" t="str">
        <x:v>2025/2026申报</x:v>
      </x:c>
      <x:c r="D3" s="71" t="str">
        <x:v>部门最初申报</x:v>
      </x:c>
      <x:c r="E3" s="71" t="str">
        <x:v>-</x:v>
      </x:c>
      <x:c r="F3" s="71" t="str">
        <x:v>用户已确认</x:v>
      </x:c>
      <x:c r="G3" s="71" t="str">
        <x:v>用户裁决1</x:v>
      </x:c>
      <x:c r="H3" s="71" t="str">
        <x:v>不得与下达预算相加或替代</x:v>
      </x:c>
      <x:c r="I3" s="62" t="str">
        <x:v>M01</x:v>
      </x:c>
    </x:row>
    <x:row r="4" ht="34" customHeight="1">
      <x:c r="A4" s="62" t="str">
        <x:v>A003</x:v>
      </x:c>
      <x:c r="B4" s="62" t="str">
        <x:v>币种单位</x:v>
      </x:c>
      <x:c r="C4" s="71" t="str">
        <x:v>统一口径</x:v>
      </x:c>
      <x:c r="D4" s="71" t="str">
        <x:v>CNY / 万元</x:v>
      </x:c>
      <x:c r="E4" s="71" t="str">
        <x:v>万元</x:v>
      </x:c>
      <x:c r="F4" s="71" t="str">
        <x:v>用户已确认</x:v>
      </x:c>
      <x:c r="G4" s="71" t="str">
        <x:v>用户裁决2</x:v>
      </x:c>
      <x:c r="H4" s="71" t="str">
        <x:v>所有金额列均为数值，不使用格式化文本</x:v>
      </x:c>
      <x:c r="I4" s="62" t="str">
        <x:v>M01</x:v>
      </x:c>
    </x:row>
    <x:row r="5" ht="34" customHeight="1">
      <x:c r="A5" s="62" t="str">
        <x:v>A004</x:v>
      </x:c>
      <x:c r="B5" s="62" t="str">
        <x:v>税口径</x:v>
      </x:c>
      <x:c r="C5" s="71" t="str">
        <x:v>费用</x:v>
      </x:c>
      <x:c r="D5" s="71" t="str">
        <x:v>不含税</x:v>
      </x:c>
      <x:c r="E5" s="71" t="str">
        <x:v>-</x:v>
      </x:c>
      <x:c r="F5" s="71" t="str">
        <x:v>用户已确认</x:v>
      </x:c>
      <x:c r="G5" s="71" t="str">
        <x:v>用户裁决2</x:v>
      </x:c>
      <x:c r="H5" s="71" t="str">
        <x:v>收入预算暂按净额比较；正式口径仍需政策Owner留档</x:v>
      </x:c>
      <x:c r="I5" s="62" t="str">
        <x:v>M01</x:v>
      </x:c>
    </x:row>
    <x:row r="6" ht="34" customHeight="1">
      <x:c r="A6" s="62" t="str">
        <x:v>A005</x:v>
      </x:c>
      <x:c r="B6" s="62" t="str">
        <x:v>收入符号</x:v>
      </x:c>
      <x:c r="C6" s="71" t="str">
        <x:v>实际营业收入</x:v>
      </x:c>
      <x:c r="D6" s="71" t="str">
        <x:v>源负号=收益；展示转正</x:v>
      </x:c>
      <x:c r="E6" s="71" t="str">
        <x:v>-</x:v>
      </x:c>
      <x:c r="F6" s="71" t="str">
        <x:v>用户已确认</x:v>
      </x:c>
      <x:c r="G6" s="71" t="str">
        <x:v>用户裁决2</x:v>
      </x:c>
      <x:c r="H6" s="71" t="str">
        <x:v>源符号不覆盖，另设语义展示金额</x:v>
      </x:c>
      <x:c r="I6" s="62" t="str">
        <x:v>M01</x:v>
      </x:c>
    </x:row>
    <x:row r="7" ht="34" customHeight="1">
      <x:c r="A7" s="62" t="str">
        <x:v>A006</x:v>
      </x:c>
      <x:c r="B7" s="62" t="str">
        <x:v>凭证</x:v>
      </x:c>
      <x:c r="C7" s="71" t="str">
        <x:v>21组重复凭证</x:v>
      </x:c>
      <x:c r="D7" s="71" t="str">
        <x:v>同凭证不同科目合法行，行号10/20</x:v>
      </x:c>
      <x:c r="E7" s="71" t="str">
        <x:v>-</x:v>
      </x:c>
      <x:c r="F7" s="71" t="str">
        <x:v>用户已确认</x:v>
      </x:c>
      <x:c r="G7" s="71" t="str">
        <x:v>用户裁决3</x:v>
      </x:c>
      <x:c r="H7" s="71" t="str">
        <x:v>203条源记录一条不删</x:v>
      </x:c>
      <x:c r="I7" s="62" t="str">
        <x:v>M02</x:v>
      </x:c>
    </x:row>
    <x:row r="8" ht="34" customHeight="1">
      <x:c r="A8" s="62" t="str">
        <x:v>A007</x:v>
      </x:c>
      <x:c r="B8" s="62" t="str">
        <x:v>日期</x:v>
      </x:c>
      <x:c r="C8" s="71" t="str">
        <x:v>过账期间</x:v>
      </x:c>
      <x:c r="D8" s="71" t="str">
        <x:v>取过账日期月份</x:v>
      </x:c>
      <x:c r="E8" s="71" t="str">
        <x:v>-</x:v>
      </x:c>
      <x:c r="F8" s="71" t="str">
        <x:v>用户授权加工</x:v>
      </x:c>
      <x:c r="G8" s="71" t="str">
        <x:v>用户裁决3</x:v>
      </x:c>
      <x:c r="H8" s="71" t="str">
        <x:v>13条修正并保留原值</x:v>
      </x:c>
      <x:c r="I8" s="62" t="str">
        <x:v>M02</x:v>
      </x:c>
    </x:row>
    <x:row r="9" ht="34" customHeight="1">
      <x:c r="A9" s="62" t="str">
        <x:v>A008</x:v>
      </x:c>
      <x:c r="B9" s="62" t="str">
        <x:v>日期</x:v>
      </x:c>
      <x:c r="C9" s="71" t="str">
        <x:v>凭证日期倒置</x:v>
      </x:c>
      <x:c r="D9" s="71" t="str">
        <x:v>修正为过账日期</x:v>
      </x:c>
      <x:c r="E9" s="71" t="str">
        <x:v>-</x:v>
      </x:c>
      <x:c r="F9" s="71" t="str">
        <x:v>用户授权加工</x:v>
      </x:c>
      <x:c r="G9" s="71" t="str">
        <x:v>用户裁决3</x:v>
      </x:c>
      <x:c r="H9" s="71" t="str">
        <x:v>6条修正并保留原值</x:v>
      </x:c>
      <x:c r="I9" s="62" t="str">
        <x:v>M02</x:v>
      </x:c>
    </x:row>
    <x:row r="10" ht="34" customHeight="1">
      <x:c r="A10" s="62" t="str">
        <x:v>A009</x:v>
      </x:c>
      <x:c r="B10" s="62" t="str">
        <x:v>可比性</x:v>
      </x:c>
      <x:c r="C10" s="71" t="str">
        <x:v>2024缺差旅/交通</x:v>
      </x:c>
      <x:c r="D10" s="71" t="str">
        <x:v>按2025同项目金额和部门科目增长率反推</x:v>
      </x:c>
      <x:c r="E10" s="71" t="str">
        <x:v>-</x:v>
      </x:c>
      <x:c r="F10" s="71" t="str">
        <x:v>模拟假设</x:v>
      </x:c>
      <x:c r="G10" s="71" t="str">
        <x:v>用户裁决4</x:v>
      </x:c>
      <x:c r="H10" s="71" t="str">
        <x:v>42条SYNTHETIC_FOR_DEMO；不冒充源记录</x:v>
      </x:c>
      <x:c r="I10" s="62" t="str">
        <x:v>M02</x:v>
      </x:c>
    </x:row>
    <x:row r="11" ht="34" customHeight="1">
      <x:c r="A11" s="62" t="str">
        <x:v>A010</x:v>
      </x:c>
      <x:c r="B11" s="62" t="str">
        <x:v>跨年计提</x:v>
      </x:c>
      <x:c r="C11" s="71" t="str">
        <x:v>2024计提已于2025确认</x:v>
      </x:c>
      <x:c r="D11" s="71" t="str">
        <x:v>2025补14条冲回</x:v>
      </x:c>
      <x:c r="E11" s="71" t="str">
        <x:v>万元</x:v>
      </x:c>
      <x:c r="F11" s="71" t="str">
        <x:v>模拟派生</x:v>
      </x:c>
      <x:c r="G11" s="71" t="str">
        <x:v>可重复对账规则</x:v>
      </x:c>
      <x:c r="H11" s="71" t="str">
        <x:v>累计实际避免双计；冲回合计-119.8330</x:v>
      </x:c>
      <x:c r="I11" s="62" t="str">
        <x:v>M02/M01</x:v>
      </x:c>
    </x:row>
    <x:row r="12" ht="34" customHeight="1">
      <x:c r="A12" s="62" t="str">
        <x:v>A011</x:v>
      </x:c>
      <x:c r="B12" s="62" t="str">
        <x:v>指标</x:v>
      </x:c>
      <x:c r="C12" s="71" t="str">
        <x:v>源列毛利率</x:v>
      </x:c>
      <x:c r="D12" s="71" t="str">
        <x:v>更名成本占收比</x:v>
      </x:c>
      <x:c r="E12" s="71" t="str">
        <x:v>%</x:v>
      </x:c>
      <x:c r="F12" s="71" t="str">
        <x:v>用户已确认</x:v>
      </x:c>
      <x:c r="G12" s="71" t="str">
        <x:v>用户裁决5</x:v>
      </x:c>
      <x:c r="H12" s="71" t="str">
        <x:v>另定义真正毛利率</x:v>
      </x:c>
      <x:c r="I12" s="62" t="str">
        <x:v>M01</x:v>
      </x:c>
    </x:row>
    <x:row r="13" ht="34" customHeight="1">
      <x:c r="A13" s="62" t="str">
        <x:v>A012</x:v>
      </x:c>
      <x:c r="B13" s="62" t="str">
        <x:v>占用</x:v>
      </x:c>
      <x:c r="C13" s="71" t="str">
        <x:v>净在途占用</x:v>
      </x:c>
      <x:c r="D13" s="71" t="str">
        <x:v>所有PR/PO占用变动带符号累计</x:v>
      </x:c>
      <x:c r="E13" s="71" t="str">
        <x:v>万元</x:v>
      </x:c>
      <x:c r="F13" s="71" t="str">
        <x:v>用户已确认</x:v>
      </x:c>
      <x:c r="G13" s="71" t="str">
        <x:v>用户裁决6</x:v>
      </x:c>
      <x:c r="H13" s="71" t="str">
        <x:v>不把正向PR与PO简单相加</x:v>
      </x:c>
      <x:c r="I13" s="62" t="str">
        <x:v>M01</x:v>
      </x:c>
    </x:row>
    <x:row r="14" ht="34" customHeight="1">
      <x:c r="A14" s="62" t="str">
        <x:v>A013</x:v>
      </x:c>
      <x:c r="B14" s="62" t="str">
        <x:v>占用</x:v>
      </x:c>
      <x:c r="C14" s="71" t="str">
        <x:v>正向毛发起量</x:v>
      </x:c>
      <x:c r="D14" s="71" t="str">
        <x:v>正向PR金额合计</x:v>
      </x:c>
      <x:c r="E14" s="71" t="str">
        <x:v>万元</x:v>
      </x:c>
      <x:c r="F14" s="71" t="str">
        <x:v>用户已确认</x:v>
      </x:c>
      <x:c r="G14" s="71" t="str">
        <x:v>用户裁决6</x:v>
      </x:c>
      <x:c r="H14" s="71" t="str">
        <x:v>代表采购申请发起，不代表PO或付款</x:v>
      </x:c>
      <x:c r="I14" s="62" t="str">
        <x:v>M01</x:v>
      </x:c>
    </x:row>
    <x:row r="15" ht="34" customHeight="1">
      <x:c r="A15" s="62" t="str">
        <x:v>A014</x:v>
      </x:c>
      <x:c r="B15" s="62" t="str">
        <x:v>占用</x:v>
      </x:c>
      <x:c r="C15" s="71" t="str">
        <x:v>12月正向采购发起占比</x:v>
      </x:c>
      <x:c r="D15" s="71" t="str">
        <x:v>12月正向PR/全年正向PR</x:v>
      </x:c>
      <x:c r="E15" s="71" t="str">
        <x:v>%</x:v>
      </x:c>
      <x:c r="F15" s="71" t="str">
        <x:v>用户已确认</x:v>
      </x:c>
      <x:c r="G15" s="71" t="str">
        <x:v>用户裁决6</x:v>
      </x:c>
      <x:c r="H15" s="71" t="str">
        <x:v>Rule阈值仍为候选政策参数</x:v>
      </x:c>
      <x:c r="I15" s="62" t="str">
        <x:v>M01</x:v>
      </x:c>
    </x:row>
    <x:row r="16" ht="34" customHeight="1">
      <x:c r="A16" s="62" t="str">
        <x:v>A015</x:v>
      </x:c>
      <x:c r="B16" s="62" t="str">
        <x:v>命名</x:v>
      </x:c>
      <x:c r="C16" s="71" t="str">
        <x:v>年末集中立项</x:v>
      </x:c>
      <x:c r="D16" s="71" t="str">
        <x:v>年末采购/预算占用集中度</x:v>
      </x:c>
      <x:c r="E16" s="71" t="str">
        <x:v>-</x:v>
      </x:c>
      <x:c r="F16" s="71" t="str">
        <x:v>用户已确认</x:v>
      </x:c>
      <x:c r="G16" s="71" t="str">
        <x:v>用户裁决6</x:v>
      </x:c>
      <x:c r="H16" s="71" t="str">
        <x:v>来源没有立项日期，不再越界命名</x:v>
      </x:c>
      <x:c r="I16" s="62" t="str">
        <x:v>M01</x:v>
      </x:c>
    </x:row>
    <x:row r="17" ht="34" customHeight="1">
      <x:c r="A17" s="62" t="str">
        <x:v>A016</x:v>
      </x:c>
      <x:c r="B17" s="62" t="str">
        <x:v>项目余额</x:v>
      </x:c>
      <x:c r="C17" s="71" t="str">
        <x:v>已使用</x:v>
      </x:c>
      <x:c r="D17" s="71" t="str">
        <x:v>2024-2025累计实际+净在途+未结计提</x:v>
      </x:c>
      <x:c r="E17" s="71" t="str">
        <x:v>万元</x:v>
      </x:c>
      <x:c r="F17" s="71" t="str">
        <x:v>用户授权加工</x:v>
      </x:c>
      <x:c r="G17" s="71" t="str">
        <x:v>用户裁决7</x:v>
      </x:c>
      <x:c r="H17" s="71" t="str">
        <x:v>计提已入实际不重复加；快照未结计提=0</x:v>
      </x:c>
      <x:c r="I17" s="62" t="str">
        <x:v>M01</x:v>
      </x:c>
    </x:row>
    <x:row r="18" ht="34" customHeight="1">
      <x:c r="A18" s="62" t="str">
        <x:v>A017</x:v>
      </x:c>
      <x:c r="B18" s="62" t="str">
        <x:v>项目余额</x:v>
      </x:c>
      <x:c r="C18" s="71" t="str">
        <x:v>名称</x:v>
      </x:c>
      <x:c r="D18" s="71" t="str">
        <x:v>项目可用立项余额</x:v>
      </x:c>
      <x:c r="E18" s="71" t="str">
        <x:v>万元</x:v>
      </x:c>
      <x:c r="F18" s="71" t="str">
        <x:v>用户已确认</x:v>
      </x:c>
      <x:c r="G18" s="71" t="str">
        <x:v>用户裁决7</x:v>
      </x:c>
      <x:c r="H18" s="71" t="str">
        <x:v>不使用合同额，不等同正式预算</x:v>
      </x:c>
      <x:c r="I18" s="62" t="str">
        <x:v>M01</x:v>
      </x:c>
    </x:row>
    <x:row r="19" ht="34" customHeight="1">
      <x:c r="A19" s="62" t="str">
        <x:v>A018</x:v>
      </x:c>
      <x:c r="B19" s="62" t="str">
        <x:v>公共费用</x:v>
      </x:c>
      <x:c r="C19" s="71" t="str">
        <x:v>2026部门公共费</x:v>
      </x:c>
      <x:c r="D19" s="71" t="str">
        <x:v>按部门科目差异化增长</x:v>
      </x:c>
      <x:c r="E19" s="71" t="str">
        <x:v>%</x:v>
      </x:c>
      <x:c r="F19" s="71" t="str">
        <x:v>用户授权加工</x:v>
      </x:c>
      <x:c r="G19" s="71" t="str">
        <x:v>用户裁决8</x:v>
      </x:c>
      <x:c r="H19" s="71" t="str">
        <x:v>12条全部与2025值不同，净额由公式重算</x:v>
      </x:c>
      <x:c r="I19" s="62" t="str">
        <x:v>M02</x:v>
      </x:c>
    </x:row>
    <x:row r="20" ht="34" customHeight="1">
      <x:c r="A20" s="62" t="str">
        <x:v>A019</x:v>
      </x:c>
      <x:c r="B20" s="62" t="str">
        <x:v>场景范围</x:v>
      </x:c>
      <x:c r="C20" s="71" t="str">
        <x:v>项目级预算下达</x:v>
      </x:c>
      <x:c r="D20" s="71" t="str">
        <x:v>不涉及</x:v>
      </x:c>
      <x:c r="E20" s="71" t="str">
        <x:v>-</x:v>
      </x:c>
      <x:c r="F20" s="71" t="str">
        <x:v>用户已确认</x:v>
      </x:c>
      <x:c r="G20" s="71" t="str">
        <x:v>用户裁决9</x:v>
      </x:c>
      <x:c r="H20" s="71" t="str">
        <x:v>禁止项目正式预算执行率</x:v>
      </x:c>
      <x:c r="I20" s="62" t="str">
        <x:v>平台总控</x:v>
      </x:c>
    </x:row>
    <x:row r="21" ht="34" customHeight="1">
      <x:c r="A21" s="62" t="str">
        <x:v>A020</x:v>
      </x:c>
      <x:c r="B21" s="62" t="str">
        <x:v>申报时点</x:v>
      </x:c>
      <x:c r="C21" s="71" t="str">
        <x:v>2025/2026初始申报快照</x:v>
      </x:c>
      <x:c r="D21" s="71" t="str">
        <x:v>2024-10-31 / 2025-10-31</x:v>
      </x:c>
      <x:c r="E21" s="71" t="str">
        <x:v>日期</x:v>
      </x:c>
      <x:c r="F21" s="71" t="str">
        <x:v>模拟假设</x:v>
      </x:c>
      <x:c r="G21" s="71" t="str">
        <x:v>源资料缺日期</x:v>
      </x:c>
      <x:c r="H21" s="71" t="str">
        <x:v>正式设计前可替换，不采用文件mtime</x:v>
      </x:c>
      <x:c r="I21" s="62" t="str">
        <x:v>M02</x:v>
      </x:c>
    </x:row>
    <x:row r="22" ht="34" customHeight="1">
      <x:c r="A22" s="62" t="str">
        <x:v>A021</x:v>
      </x:c>
      <x:c r="B22" s="62" t="str">
        <x:v>占用覆盖</x:v>
      </x:c>
      <x:c r="C22" s="71" t="str">
        <x:v>其余18项目净在途</x:v>
      </x:c>
      <x:c r="D22" s="71" t="str">
        <x:v>演示全量抽取下视为0</x:v>
      </x:c>
      <x:c r="E22" s="71" t="str">
        <x:v>万元</x:v>
      </x:c>
      <x:c r="F22" s="71" t="str">
        <x:v>模拟假设</x:v>
      </x:c>
      <x:c r="G22" s="71" t="str">
        <x:v>占用源仅3项目</x:v>
      </x:c>
      <x:c r="H22" s="71" t="str">
        <x:v>原始资料本身不能证明为0</x:v>
      </x:c>
      <x:c r="I22" s="62" t="str">
        <x:v>M02</x:v>
      </x:c>
    </x:row>
    <x:row r="23" ht="34" customHeight="1">
      <x:c r="A23" s="62" t="str">
        <x:v>A022</x:v>
      </x:c>
      <x:c r="B23" s="62" t="str">
        <x:v>项目ID</x:v>
      </x:c>
      <x:c r="C23" s="71" t="str">
        <x:v>编号中的2024/2025</x:v>
      </x:c>
      <x:c r="D23" s="71" t="str">
        <x:v>仅作不透明ID片段</x:v>
      </x:c>
      <x:c r="E23" s="71" t="str">
        <x:v>-</x:v>
      </x:c>
      <x:c r="F23" s="71" t="str">
        <x:v>数据观察</x:v>
      </x:c>
      <x:c r="G23" s="71" t="str">
        <x:v>带2025编号项目已出现在2024实际</x:v>
      </x:c>
      <x:c r="H23" s="71" t="str">
        <x:v>不得推断项目启动年</x:v>
      </x:c>
      <x:c r="I23" s="62" t="str">
        <x:v>M01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42" hidden="0" customWidth="1"/>
    <x:col min="4" max="4" width="36" hidden="0" customWidth="1"/>
    <x:col min="5" max="5" width="30" hidden="0" customWidth="1"/>
    <x:col min="6" max="6" width="20" hidden="0" customWidth="1"/>
    <x:col min="7" max="7" width="42" hidden="0" customWidth="1"/>
    <x:col min="8" max="8" width="24" hidden="0" customWidth="1"/>
    <x:col min="9" max="9" width="15" hidden="0" customWidth="1"/>
    <x:col min="10" max="10" width="22" hidden="0" customWidth="1"/>
    <x:col min="11" max="11" width="68" hidden="0" customWidth="1"/>
    <x:col min="12" max="12" width="40" hidden="0" customWidth="1"/>
  </x:cols>
  <x:sheetData>
    <x:row r="1" ht="34" customHeight="1">
      <x:c r="A1" s="68" t="str">
        <x:v>序号</x:v>
      </x:c>
      <x:c r="B1" s="69" t="str">
        <x:v>来源文件</x:v>
      </x:c>
      <x:c r="C1" s="69" t="str">
        <x:v>逻辑成员</x:v>
      </x:c>
      <x:c r="D1" s="69" t="str">
        <x:v>完整范围</x:v>
      </x:c>
      <x:c r="E1" s="69" t="str">
        <x:v>候选版本</x:v>
      </x:c>
      <x:c r="F1" s="69" t="str">
        <x:v>业务时点/年度</x:v>
      </x:c>
      <x:c r="G1" s="69" t="str">
        <x:v>用途与数据范围</x:v>
      </x:c>
      <x:c r="H1" s="69" t="str">
        <x:v>敏感性</x:v>
      </x:c>
      <x:c r="I1" s="69" t="str">
        <x:v>文件大小(B)</x:v>
      </x:c>
      <x:c r="J1" s="69" t="str">
        <x:v>文件mtime(非业务时点)</x:v>
      </x:c>
      <x:c r="K1" s="69" t="str">
        <x:v>SHA256</x:v>
      </x:c>
      <x:c r="L1" s="70" t="str">
        <x:v>权威判断</x:v>
      </x:c>
    </x:row>
    <x:row r="2" ht="40" customHeight="1">
      <x:c r="A2" s="62" t="n">
        <x:v>1</x:v>
      </x:c>
      <x:c r="B2" s="71" t="str">
        <x:v>2024年实际执行.xlsx</x:v>
      </x:c>
      <x:c r="C2" s="71" t="str">
        <x:v>Sheet</x:v>
      </x:c>
      <x:c r="D2" s="71" t="str">
        <x:v>Sheet!A1:L162</x:v>
      </x:c>
      <x:c r="E2" s="71" t="str">
        <x:v>data_v5 + SHA256:5064556a172d</x:v>
      </x:c>
      <x:c r="F2" s="71" t="str">
        <x:v>2024-12-31</x:v>
      </x:c>
      <x:c r="G2" s="71" t="str">
        <x:v>2024实际执行、年末计提；161条源记录</x:v>
      </x:c>
      <x:c r="H2" s="71" t="str">
        <x:v>内部财务中高敏感</x:v>
      </x:c>
      <x:c r="I2" s="71" t="n">
        <x:v>20966</x:v>
      </x:c>
      <x:c r="J2" s="72" t="n">
        <x:v>46245.50038340278</x:v>
      </x:c>
      <x:c r="K2" s="73" t="str">
        <x:v>5064556a172d2e91dbc33454987ae12caab2849f00a2888c6646559b50ba92a7</x:v>
      </x:c>
      <x:c r="L2" s="71" t="str">
        <x:v>该事实域的候选权威原件；演示加工包不覆盖原件</x:v>
      </x:c>
    </x:row>
    <x:row r="3" ht="40" customHeight="1">
      <x:c r="A3" s="62" t="n">
        <x:v>2</x:v>
      </x:c>
      <x:c r="B3" s="71" t="str">
        <x:v>2025年实际执行.xlsx</x:v>
      </x:c>
      <x:c r="C3" s="71" t="str">
        <x:v>Sheet</x:v>
      </x:c>
      <x:c r="D3" s="71" t="str">
        <x:v>Sheet!A1:L204</x:v>
      </x:c>
      <x:c r="E3" s="71" t="str">
        <x:v>data_v5 + SHA256:2714661fa346</x:v>
      </x:c>
      <x:c r="F3" s="71" t="str">
        <x:v>2025-12-31</x:v>
      </x:c>
      <x:c r="G3" s="71" t="str">
        <x:v>2025实际执行、次年确认；203条源记录</x:v>
      </x:c>
      <x:c r="H3" s="71" t="str">
        <x:v>内部财务中高敏感</x:v>
      </x:c>
      <x:c r="I3" s="71" t="n">
        <x:v>23249</x:v>
      </x:c>
      <x:c r="J3" s="72" t="n">
        <x:v>46245.500595543985</x:v>
      </x:c>
      <x:c r="K3" s="73" t="str">
        <x:v>2714661fa34651bc01332fa6f58c2f0259357385ac5ef77a2dacaae6b1eb69d2</x:v>
      </x:c>
      <x:c r="L3" s="71" t="str">
        <x:v>该事实域的候选权威原件；演示加工包不覆盖原件</x:v>
      </x:c>
    </x:row>
    <x:row r="4" ht="40" customHeight="1">
      <x:c r="A4" s="62" t="n">
        <x:v>3</x:v>
      </x:c>
      <x:c r="B4" s="71" t="str">
        <x:v>2024年预算下达明细.xlsx</x:v>
      </x:c>
      <x:c r="C4" s="71" t="str">
        <x:v>Sheet</x:v>
      </x:c>
      <x:c r="D4" s="71" t="str">
        <x:v>Sheet!A1:I31</x:v>
      </x:c>
      <x:c r="E4" s="71" t="str">
        <x:v>data_v5 + SHA256:29b6a7060f50</x:v>
      </x:c>
      <x:c r="F4" s="71" t="str">
        <x:v>FY2024</x:v>
      </x:c>
      <x:c r="G4" s="71" t="str">
        <x:v>2024最终批准预算；30条</x:v>
      </x:c>
      <x:c r="H4" s="71" t="str">
        <x:v>内部财务中高敏感</x:v>
      </x:c>
      <x:c r="I4" s="71" t="n">
        <x:v>10929</x:v>
      </x:c>
      <x:c r="J4" s="72" t="n">
        <x:v>46245.500501979164</x:v>
      </x:c>
      <x:c r="K4" s="73" t="str">
        <x:v>29b6a7060f504ba8c96c019e0cb9a295c734e02e6afc70f86d59d628590d3438</x:v>
      </x:c>
      <x:c r="L4" s="71" t="str">
        <x:v>该事实域的候选权威原件；演示加工包不覆盖原件</x:v>
      </x:c>
    </x:row>
    <x:row r="5" ht="40" customHeight="1">
      <x:c r="A5" s="62" t="n">
        <x:v>4</x:v>
      </x:c>
      <x:c r="B5" s="71" t="str">
        <x:v>2025年预算下达明细.xlsx</x:v>
      </x:c>
      <x:c r="C5" s="71" t="str">
        <x:v>Sheet</x:v>
      </x:c>
      <x:c r="D5" s="71" t="str">
        <x:v>Sheet!A1:I31</x:v>
      </x:c>
      <x:c r="E5" s="71" t="str">
        <x:v>data_v5 + SHA256:e194594c61cb</x:v>
      </x:c>
      <x:c r="F5" s="71" t="str">
        <x:v>FY2025</x:v>
      </x:c>
      <x:c r="G5" s="71" t="str">
        <x:v>2025最终批准预算；30条</x:v>
      </x:c>
      <x:c r="H5" s="71" t="str">
        <x:v>内部财务中高敏感</x:v>
      </x:c>
      <x:c r="I5" s="71" t="n">
        <x:v>11012</x:v>
      </x:c>
      <x:c r="J5" s="72" t="n">
        <x:v>46245.500794618056</x:v>
      </x:c>
      <x:c r="K5" s="73" t="str">
        <x:v>e194594c61cb27a5c4355a6e8f75d9c463ccf1686e0def5715921eca8d137c79</x:v>
      </x:c>
      <x:c r="L5" s="71" t="str">
        <x:v>该事实域的候选权威原件；演示加工包不覆盖原件</x:v>
      </x:c>
    </x:row>
    <x:row r="6" ht="40" customHeight="1">
      <x:c r="A6" s="62" t="n">
        <x:v>5</x:v>
      </x:c>
      <x:c r="B6" s="71" t="str">
        <x:v>2025年预算申报明细汇总.xlsx</x:v>
      </x:c>
      <x:c r="C6" s="71" t="str">
        <x:v>收入成本预算汇总表；市场项目预算明细；部门公共费用明细；技术配置</x:v>
      </x:c>
      <x:c r="D6" s="71" t="str">
        <x:v>收入成本预算汇总表!A1:AA11；市场项目预算明细!A1:AN22；部门公共费用明细!A1:G13；技术配置!A1:N22</x:v>
      </x:c>
      <x:c r="E6" s="71" t="str">
        <x:v>data_v5 + SHA256:850af12aaece</x:v>
      </x:c>
      <x:c r="F6" s="71" t="str">
        <x:v>FY2025 initial</x:v>
      </x:c>
      <x:c r="G6" s="71" t="str">
        <x:v>2025部门最初申报；4个逻辑成员</x:v>
      </x:c>
      <x:c r="H6" s="71" t="str">
        <x:v>内部财务中高敏感</x:v>
      </x:c>
      <x:c r="I6" s="71" t="n">
        <x:v>22622</x:v>
      </x:c>
      <x:c r="J6" s="72" t="n">
        <x:v>46245.50068369213</x:v>
      </x:c>
      <x:c r="K6" s="73" t="str">
        <x:v>850af12aaece5fe14adb7c2609018a618e64018fc36724ff7f5f3ea3b51e441a</x:v>
      </x:c>
      <x:c r="L6" s="71" t="str">
        <x:v>该事实域的候选权威原件；演示加工包不覆盖原件</x:v>
      </x:c>
    </x:row>
    <x:row r="7" ht="40" customHeight="1">
      <x:c r="A7" s="62" t="n">
        <x:v>6</x:v>
      </x:c>
      <x:c r="B7" s="71" t="str">
        <x:v>2026年预算申报明细汇总.xlsx</x:v>
      </x:c>
      <x:c r="C7" s="71" t="str">
        <x:v>收入成本预算汇总表；市场项目预算明细；部门公共费用明细；技术配置</x:v>
      </x:c>
      <x:c r="D7" s="71" t="str">
        <x:v>收入成本预算汇总表!A1:AA11；市场项目预算明细!A1:AN22；部门公共费用明细!A1:G13；技术配置!A1:N22</x:v>
      </x:c>
      <x:c r="E7" s="71" t="str">
        <x:v>data_v5 + SHA256:85f0ce556faa</x:v>
      </x:c>
      <x:c r="F7" s="71" t="str">
        <x:v>FY2026 initial</x:v>
      </x:c>
      <x:c r="G7" s="71" t="str">
        <x:v>2026部门最初申报；4个逻辑成员</x:v>
      </x:c>
      <x:c r="H7" s="71" t="str">
        <x:v>内部财务中高敏感</x:v>
      </x:c>
      <x:c r="I7" s="71" t="n">
        <x:v>22929</x:v>
      </x:c>
      <x:c r="J7" s="72" t="n">
        <x:v>46245.50094662037</x:v>
      </x:c>
      <x:c r="K7" s="73" t="str">
        <x:v>85f0ce556faad8d0ef51b3bf7a5f49dc73508321d75f419db6f6bafd8427827f</x:v>
      </x:c>
      <x:c r="L7" s="71" t="str">
        <x:v>该事实域的候选权威原件；演示加工包不覆盖原件</x:v>
      </x:c>
    </x:row>
    <x:row r="8" ht="40" customHeight="1">
      <x:c r="A8" s="62" t="n">
        <x:v>7</x:v>
      </x:c>
      <x:c r="B8" s="71" t="str">
        <x:v>2025年预算占用.XLSX</x:v>
      </x:c>
      <x:c r="C8" s="71" t="str">
        <x:v>Sheet</x:v>
      </x:c>
      <x:c r="D8" s="71" t="str">
        <x:v>Sheet!A1:L109</x:v>
      </x:c>
      <x:c r="E8" s="71" t="str">
        <x:v>data_v5 + SHA256:af94789f3ac8</x:v>
      </x:c>
      <x:c r="F8" s="71" t="str">
        <x:v>2025-12-31</x:v>
      </x:c>
      <x:c r="G8" s="71" t="str">
        <x:v>108条PR/PO占用及释放事件；源仅3项目</x:v>
      </x:c>
      <x:c r="H8" s="71" t="str">
        <x:v>内部采购财务中高敏感</x:v>
      </x:c>
      <x:c r="I8" s="71" t="n">
        <x:v>15900</x:v>
      </x:c>
      <x:c r="J8" s="72" t="n">
        <x:v>46245.50088854167</x:v>
      </x:c>
      <x:c r="K8" s="73" t="str">
        <x:v>af94789f3ac8238ffd076c9006f5a29a096978ce182284efd5478994f249d20a</x:v>
      </x:c>
      <x:c r="L8" s="71" t="str">
        <x:v>该事实域的候选权威原件；演示加工包不覆盖原件</x:v>
      </x:c>
    </x:row>
    <x:row r="9" ht="40" customHeight="1">
      <x:c r="A9" s="62" t="n">
        <x:v>8</x:v>
      </x:c>
      <x:c r="B9" s="71" t="str">
        <x:v>项目预算使用情况表.xlsx</x:v>
      </x:c>
      <x:c r="C9" s="71" t="str">
        <x:v>Sheet</x:v>
      </x:c>
      <x:c r="D9" s="71" t="str">
        <x:v>Sheet!A1:D22</x:v>
      </x:c>
      <x:c r="E9" s="71" t="str">
        <x:v>data_v5 + SHA256:36bbb71e67f9</x:v>
      </x:c>
      <x:c r="F9" s="71" t="str">
        <x:v>源缺失；派生取2025-12-31</x:v>
      </x:c>
      <x:c r="G9" s="71" t="str">
        <x:v>21项目立项金额及源已使用值</x:v>
      </x:c>
      <x:c r="H9" s="71" t="str">
        <x:v>内部项目财务中高敏感</x:v>
      </x:c>
      <x:c r="I9" s="71" t="n">
        <x:v>5605</x:v>
      </x:c>
      <x:c r="J9" s="72" t="n">
        <x:v>46244.6479416088</x:v>
      </x:c>
      <x:c r="K9" s="73" t="str">
        <x:v>36bbb71e67f995ce815703528b9cb1a062df02caa4f816581369a00b7b536d1c</x:v>
      </x:c>
      <x:c r="L9" s="71" t="str">
        <x:v>该事实域的候选权威原件；演示加工包不覆盖原件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8" hidden="0" customWidth="1"/>
    <x:col min="4" max="4" width="22" hidden="0" customWidth="1"/>
    <x:col min="5" max="5" width="42" hidden="0" customWidth="1"/>
    <x:col min="6" max="6" width="24" hidden="0" customWidth="1"/>
    <x:col min="7" max="7" width="36" hidden="0" customWidth="1"/>
    <x:col min="8" max="8" width="50" hidden="0" customWidth="1"/>
    <x:col min="9" max="9" width="38" hidden="0" customWidth="1"/>
    <x:col min="10" max="10" width="48" hidden="0" customWidth="1"/>
    <x:col min="11" max="11" width="24" hidden="0" customWidth="1"/>
    <x:col min="12" max="12" width="14" hidden="0" customWidth="1"/>
    <x:col min="13" max="13" width="10" hidden="0" customWidth="1"/>
    <x:col min="14" max="14" width="28" hidden="0" customWidth="1"/>
  </x:cols>
  <x:sheetData>
    <x:row r="1" ht="34" customHeight="1">
      <x:c r="A1" s="68" t="str">
        <x:v>变更ID</x:v>
      </x:c>
      <x:c r="B1" s="69" t="str">
        <x:v>数据域</x:v>
      </x:c>
      <x:c r="C1" s="69" t="str">
        <x:v>来源文件</x:v>
      </x:c>
      <x:c r="D1" s="69" t="str">
        <x:v>逻辑成员</x:v>
      </x:c>
      <x:c r="E1" s="69" t="str">
        <x:v>源行锚点</x:v>
      </x:c>
      <x:c r="F1" s="69" t="str">
        <x:v>字段</x:v>
      </x:c>
      <x:c r="G1" s="69" t="str">
        <x:v>原值</x:v>
      </x:c>
      <x:c r="H1" s="69" t="str">
        <x:v>新值/公式</x:v>
      </x:c>
      <x:c r="I1" s="69" t="str">
        <x:v>加工规则</x:v>
      </x:c>
      <x:c r="J1" s="69" t="str">
        <x:v>原因</x:v>
      </x:c>
      <x:c r="K1" s="69" t="str">
        <x:v>数据标记</x:v>
      </x:c>
      <x:c r="L1" s="69" t="str">
        <x:v>加工日期</x:v>
      </x:c>
      <x:c r="M1" s="69" t="str">
        <x:v>场景</x:v>
      </x:c>
      <x:c r="N1" s="70" t="str">
        <x:v>派生版本</x:v>
      </x:c>
    </x:row>
    <x:row r="2" ht="44" customHeight="1">
      <x:c r="A2" s="62" t="str">
        <x:v>CHG-KEY-001</x:v>
      </x:c>
      <x:c r="B2" s="62" t="str">
        <x:v>2025实际</x:v>
      </x:c>
      <x:c r="C2" s="71" t="str">
        <x:v>2025年实际执行.xlsx</x:v>
      </x:c>
      <x:c r="D2" s="71" t="str">
        <x:v>Sheet</x:v>
      </x:c>
      <x:c r="E2" s="71" t="str">
        <x:v>Sheet!7:7；Sheet!184:184</x:v>
      </x:c>
      <x:c r="F2" s="71" t="str">
        <x:v>凭证稳定键</x:v>
      </x:c>
      <x:c r="G2" s="71" t="str">
        <x:v>DOC2005</x:v>
      </x:c>
      <x:c r="H2" s="71" t="str">
        <x:v>DOC2005/10；DOC2005/20</x:v>
      </x:c>
      <x:c r="I2" s="71" t="str">
        <x:v>同凭证不同科目补行号</x:v>
      </x:c>
      <x:c r="J2" s="71" t="str">
        <x:v>用户确认21组均为合法业务记录，不删除、不合并</x:v>
      </x:c>
      <x:c r="K2" s="71" t="str">
        <x:v>CORRECTED</x:v>
      </x:c>
      <x:c r="L2" s="74" t="n">
        <x:v>46249</x:v>
      </x:c>
      <x:c r="M2" s="62" t="str">
        <x:v>S002</x:v>
      </x:c>
      <x:c r="N2" s="62" t="str">
        <x:v>SIMULATED_CURATED-v0.1</x:v>
      </x:c>
    </x:row>
    <x:row r="3" ht="44" customHeight="1">
      <x:c r="A3" s="62" t="str">
        <x:v>CHG-KEY-002</x:v>
      </x:c>
      <x:c r="B3" s="62" t="str">
        <x:v>2025实际</x:v>
      </x:c>
      <x:c r="C3" s="71" t="str">
        <x:v>2025年实际执行.xlsx</x:v>
      </x:c>
      <x:c r="D3" s="71" t="str">
        <x:v>Sheet</x:v>
      </x:c>
      <x:c r="E3" s="71" t="str">
        <x:v>Sheet!16:16；Sheet!185:185</x:v>
      </x:c>
      <x:c r="F3" s="71" t="str">
        <x:v>凭证稳定键</x:v>
      </x:c>
      <x:c r="G3" s="71" t="str">
        <x:v>DOC2014</x:v>
      </x:c>
      <x:c r="H3" s="71" t="str">
        <x:v>DOC2014/10；DOC2014/20</x:v>
      </x:c>
      <x:c r="I3" s="71" t="str">
        <x:v>同凭证不同科目补行号</x:v>
      </x:c>
      <x:c r="J3" s="71" t="str">
        <x:v>用户确认21组均为合法业务记录，不删除、不合并</x:v>
      </x:c>
      <x:c r="K3" s="71" t="str">
        <x:v>CORRECTED</x:v>
      </x:c>
      <x:c r="L3" s="74" t="n">
        <x:v>46249</x:v>
      </x:c>
      <x:c r="M3" s="62" t="str">
        <x:v>S002</x:v>
      </x:c>
      <x:c r="N3" s="62" t="str">
        <x:v>SIMULATED_CURATED-v0.1</x:v>
      </x:c>
    </x:row>
    <x:row r="4" ht="44" customHeight="1">
      <x:c r="A4" s="62" t="str">
        <x:v>CHG-KEY-003</x:v>
      </x:c>
      <x:c r="B4" s="62" t="str">
        <x:v>2025实际</x:v>
      </x:c>
      <x:c r="C4" s="71" t="str">
        <x:v>2025年实际执行.xlsx</x:v>
      </x:c>
      <x:c r="D4" s="71" t="str">
        <x:v>Sheet</x:v>
      </x:c>
      <x:c r="E4" s="71" t="str">
        <x:v>Sheet!25:25；Sheet!186:186</x:v>
      </x:c>
      <x:c r="F4" s="71" t="str">
        <x:v>凭证稳定键</x:v>
      </x:c>
      <x:c r="G4" s="71" t="str">
        <x:v>DOC2023</x:v>
      </x:c>
      <x:c r="H4" s="71" t="str">
        <x:v>DOC2023/10；DOC2023/20</x:v>
      </x:c>
      <x:c r="I4" s="71" t="str">
        <x:v>同凭证不同科目补行号</x:v>
      </x:c>
      <x:c r="J4" s="71" t="str">
        <x:v>用户确认21组均为合法业务记录，不删除、不合并</x:v>
      </x:c>
      <x:c r="K4" s="71" t="str">
        <x:v>CORRECTED</x:v>
      </x:c>
      <x:c r="L4" s="74" t="n">
        <x:v>46249</x:v>
      </x:c>
      <x:c r="M4" s="62" t="str">
        <x:v>S002</x:v>
      </x:c>
      <x:c r="N4" s="62" t="str">
        <x:v>SIMULATED_CURATED-v0.1</x:v>
      </x:c>
    </x:row>
    <x:row r="5" ht="44" customHeight="1">
      <x:c r="A5" s="62" t="str">
        <x:v>CHG-KEY-004</x:v>
      </x:c>
      <x:c r="B5" s="62" t="str">
        <x:v>2025实际</x:v>
      </x:c>
      <x:c r="C5" s="71" t="str">
        <x:v>2025年实际执行.xlsx</x:v>
      </x:c>
      <x:c r="D5" s="71" t="str">
        <x:v>Sheet</x:v>
      </x:c>
      <x:c r="E5" s="71" t="str">
        <x:v>Sheet!33:33；Sheet!187:187</x:v>
      </x:c>
      <x:c r="F5" s="71" t="str">
        <x:v>凭证稳定键</x:v>
      </x:c>
      <x:c r="G5" s="71" t="str">
        <x:v>DOC2031</x:v>
      </x:c>
      <x:c r="H5" s="71" t="str">
        <x:v>DOC2031/10；DOC2031/20</x:v>
      </x:c>
      <x:c r="I5" s="71" t="str">
        <x:v>同凭证不同科目补行号</x:v>
      </x:c>
      <x:c r="J5" s="71" t="str">
        <x:v>用户确认21组均为合法业务记录，不删除、不合并</x:v>
      </x:c>
      <x:c r="K5" s="71" t="str">
        <x:v>CORRECTED</x:v>
      </x:c>
      <x:c r="L5" s="74" t="n">
        <x:v>46249</x:v>
      </x:c>
      <x:c r="M5" s="62" t="str">
        <x:v>S002</x:v>
      </x:c>
      <x:c r="N5" s="62" t="str">
        <x:v>SIMULATED_CURATED-v0.1</x:v>
      </x:c>
    </x:row>
    <x:row r="6" ht="44" customHeight="1">
      <x:c r="A6" s="62" t="str">
        <x:v>CHG-KEY-005</x:v>
      </x:c>
      <x:c r="B6" s="62" t="str">
        <x:v>2025实际</x:v>
      </x:c>
      <x:c r="C6" s="71" t="str">
        <x:v>2025年实际执行.xlsx</x:v>
      </x:c>
      <x:c r="D6" s="71" t="str">
        <x:v>Sheet</x:v>
      </x:c>
      <x:c r="E6" s="71" t="str">
        <x:v>Sheet!42:42；Sheet!188:188</x:v>
      </x:c>
      <x:c r="F6" s="71" t="str">
        <x:v>凭证稳定键</x:v>
      </x:c>
      <x:c r="G6" s="71" t="str">
        <x:v>DOC2040</x:v>
      </x:c>
      <x:c r="H6" s="71" t="str">
        <x:v>DOC2040/10；DOC2040/20</x:v>
      </x:c>
      <x:c r="I6" s="71" t="str">
        <x:v>同凭证不同科目补行号</x:v>
      </x:c>
      <x:c r="J6" s="71" t="str">
        <x:v>用户确认21组均为合法业务记录，不删除、不合并</x:v>
      </x:c>
      <x:c r="K6" s="71" t="str">
        <x:v>CORRECTED</x:v>
      </x:c>
      <x:c r="L6" s="74" t="n">
        <x:v>46249</x:v>
      </x:c>
      <x:c r="M6" s="62" t="str">
        <x:v>S002</x:v>
      </x:c>
      <x:c r="N6" s="62" t="str">
        <x:v>SIMULATED_CURATED-v0.1</x:v>
      </x:c>
    </x:row>
    <x:row r="7" ht="44" customHeight="1">
      <x:c r="A7" s="62" t="str">
        <x:v>CHG-KEY-006</x:v>
      </x:c>
      <x:c r="B7" s="62" t="str">
        <x:v>2025实际</x:v>
      </x:c>
      <x:c r="C7" s="71" t="str">
        <x:v>2025年实际执行.xlsx</x:v>
      </x:c>
      <x:c r="D7" s="71" t="str">
        <x:v>Sheet</x:v>
      </x:c>
      <x:c r="E7" s="71" t="str">
        <x:v>Sheet!51:51；Sheet!189:189</x:v>
      </x:c>
      <x:c r="F7" s="71" t="str">
        <x:v>凭证稳定键</x:v>
      </x:c>
      <x:c r="G7" s="71" t="str">
        <x:v>DOC2049</x:v>
      </x:c>
      <x:c r="H7" s="71" t="str">
        <x:v>DOC2049/10；DOC2049/20</x:v>
      </x:c>
      <x:c r="I7" s="71" t="str">
        <x:v>同凭证不同科目补行号</x:v>
      </x:c>
      <x:c r="J7" s="71" t="str">
        <x:v>用户确认21组均为合法业务记录，不删除、不合并</x:v>
      </x:c>
      <x:c r="K7" s="71" t="str">
        <x:v>CORRECTED</x:v>
      </x:c>
      <x:c r="L7" s="74" t="n">
        <x:v>46249</x:v>
      </x:c>
      <x:c r="M7" s="62" t="str">
        <x:v>S002</x:v>
      </x:c>
      <x:c r="N7" s="62" t="str">
        <x:v>SIMULATED_CURATED-v0.1</x:v>
      </x:c>
    </x:row>
    <x:row r="8" ht="44" customHeight="1">
      <x:c r="A8" s="62" t="str">
        <x:v>CHG-KEY-007</x:v>
      </x:c>
      <x:c r="B8" s="62" t="str">
        <x:v>2025实际</x:v>
      </x:c>
      <x:c r="C8" s="71" t="str">
        <x:v>2025年实际执行.xlsx</x:v>
      </x:c>
      <x:c r="D8" s="71" t="str">
        <x:v>Sheet</x:v>
      </x:c>
      <x:c r="E8" s="71" t="str">
        <x:v>Sheet!59:59；Sheet!190:190</x:v>
      </x:c>
      <x:c r="F8" s="71" t="str">
        <x:v>凭证稳定键</x:v>
      </x:c>
      <x:c r="G8" s="71" t="str">
        <x:v>DOC2057</x:v>
      </x:c>
      <x:c r="H8" s="71" t="str">
        <x:v>DOC2057/10；DOC2057/20</x:v>
      </x:c>
      <x:c r="I8" s="71" t="str">
        <x:v>同凭证不同科目补行号</x:v>
      </x:c>
      <x:c r="J8" s="71" t="str">
        <x:v>用户确认21组均为合法业务记录，不删除、不合并</x:v>
      </x:c>
      <x:c r="K8" s="71" t="str">
        <x:v>CORRECTED</x:v>
      </x:c>
      <x:c r="L8" s="74" t="n">
        <x:v>46249</x:v>
      </x:c>
      <x:c r="M8" s="62" t="str">
        <x:v>S002</x:v>
      </x:c>
      <x:c r="N8" s="62" t="str">
        <x:v>SIMULATED_CURATED-v0.1</x:v>
      </x:c>
    </x:row>
    <x:row r="9" ht="44" customHeight="1">
      <x:c r="A9" s="62" t="str">
        <x:v>CHG-KEY-008</x:v>
      </x:c>
      <x:c r="B9" s="62" t="str">
        <x:v>2025实际</x:v>
      </x:c>
      <x:c r="C9" s="71" t="str">
        <x:v>2025年实际执行.xlsx</x:v>
      </x:c>
      <x:c r="D9" s="71" t="str">
        <x:v>Sheet</x:v>
      </x:c>
      <x:c r="E9" s="71" t="str">
        <x:v>Sheet!68:68；Sheet!191:191</x:v>
      </x:c>
      <x:c r="F9" s="71" t="str">
        <x:v>凭证稳定键</x:v>
      </x:c>
      <x:c r="G9" s="71" t="str">
        <x:v>DOC2066</x:v>
      </x:c>
      <x:c r="H9" s="71" t="str">
        <x:v>DOC2066/10；DOC2066/20</x:v>
      </x:c>
      <x:c r="I9" s="71" t="str">
        <x:v>同凭证不同科目补行号</x:v>
      </x:c>
      <x:c r="J9" s="71" t="str">
        <x:v>用户确认21组均为合法业务记录，不删除、不合并</x:v>
      </x:c>
      <x:c r="K9" s="71" t="str">
        <x:v>CORRECTED</x:v>
      </x:c>
      <x:c r="L9" s="74" t="n">
        <x:v>46249</x:v>
      </x:c>
      <x:c r="M9" s="62" t="str">
        <x:v>S002</x:v>
      </x:c>
      <x:c r="N9" s="62" t="str">
        <x:v>SIMULATED_CURATED-v0.1</x:v>
      </x:c>
    </x:row>
    <x:row r="10" ht="44" customHeight="1">
      <x:c r="A10" s="62" t="str">
        <x:v>CHG-KEY-009</x:v>
      </x:c>
      <x:c r="B10" s="62" t="str">
        <x:v>2025实际</x:v>
      </x:c>
      <x:c r="C10" s="71" t="str">
        <x:v>2025年实际执行.xlsx</x:v>
      </x:c>
      <x:c r="D10" s="71" t="str">
        <x:v>Sheet</x:v>
      </x:c>
      <x:c r="E10" s="71" t="str">
        <x:v>Sheet!77:77；Sheet!192:192</x:v>
      </x:c>
      <x:c r="F10" s="71" t="str">
        <x:v>凭证稳定键</x:v>
      </x:c>
      <x:c r="G10" s="71" t="str">
        <x:v>DOC2075</x:v>
      </x:c>
      <x:c r="H10" s="71" t="str">
        <x:v>DOC2075/10；DOC2075/20</x:v>
      </x:c>
      <x:c r="I10" s="71" t="str">
        <x:v>同凭证不同科目补行号</x:v>
      </x:c>
      <x:c r="J10" s="71" t="str">
        <x:v>用户确认21组均为合法业务记录，不删除、不合并</x:v>
      </x:c>
      <x:c r="K10" s="71" t="str">
        <x:v>CORRECTED</x:v>
      </x:c>
      <x:c r="L10" s="74" t="n">
        <x:v>46249</x:v>
      </x:c>
      <x:c r="M10" s="62" t="str">
        <x:v>S002</x:v>
      </x:c>
      <x:c r="N10" s="62" t="str">
        <x:v>SIMULATED_CURATED-v0.1</x:v>
      </x:c>
    </x:row>
    <x:row r="11" ht="44" customHeight="1">
      <x:c r="A11" s="62" t="str">
        <x:v>CHG-KEY-010</x:v>
      </x:c>
      <x:c r="B11" s="62" t="str">
        <x:v>2025实际</x:v>
      </x:c>
      <x:c r="C11" s="71" t="str">
        <x:v>2025年实际执行.xlsx</x:v>
      </x:c>
      <x:c r="D11" s="71" t="str">
        <x:v>Sheet</x:v>
      </x:c>
      <x:c r="E11" s="71" t="str">
        <x:v>Sheet!85:85；Sheet!193:193</x:v>
      </x:c>
      <x:c r="F11" s="71" t="str">
        <x:v>凭证稳定键</x:v>
      </x:c>
      <x:c r="G11" s="71" t="str">
        <x:v>DOC2083</x:v>
      </x:c>
      <x:c r="H11" s="71" t="str">
        <x:v>DOC2083/10；DOC2083/20</x:v>
      </x:c>
      <x:c r="I11" s="71" t="str">
        <x:v>同凭证不同科目补行号</x:v>
      </x:c>
      <x:c r="J11" s="71" t="str">
        <x:v>用户确认21组均为合法业务记录，不删除、不合并</x:v>
      </x:c>
      <x:c r="K11" s="71" t="str">
        <x:v>CORRECTED</x:v>
      </x:c>
      <x:c r="L11" s="74" t="n">
        <x:v>46249</x:v>
      </x:c>
      <x:c r="M11" s="62" t="str">
        <x:v>S002</x:v>
      </x:c>
      <x:c r="N11" s="62" t="str">
        <x:v>SIMULATED_CURATED-v0.1</x:v>
      </x:c>
    </x:row>
    <x:row r="12" ht="44" customHeight="1">
      <x:c r="A12" s="62" t="str">
        <x:v>CHG-KEY-011</x:v>
      </x:c>
      <x:c r="B12" s="62" t="str">
        <x:v>2025实际</x:v>
      </x:c>
      <x:c r="C12" s="71" t="str">
        <x:v>2025年实际执行.xlsx</x:v>
      </x:c>
      <x:c r="D12" s="71" t="str">
        <x:v>Sheet</x:v>
      </x:c>
      <x:c r="E12" s="71" t="str">
        <x:v>Sheet!94:94；Sheet!194:194</x:v>
      </x:c>
      <x:c r="F12" s="71" t="str">
        <x:v>凭证稳定键</x:v>
      </x:c>
      <x:c r="G12" s="71" t="str">
        <x:v>DOC2092</x:v>
      </x:c>
      <x:c r="H12" s="71" t="str">
        <x:v>DOC2092/10；DOC2092/20</x:v>
      </x:c>
      <x:c r="I12" s="71" t="str">
        <x:v>同凭证不同科目补行号</x:v>
      </x:c>
      <x:c r="J12" s="71" t="str">
        <x:v>用户确认21组均为合法业务记录，不删除、不合并</x:v>
      </x:c>
      <x:c r="K12" s="71" t="str">
        <x:v>CORRECTED</x:v>
      </x:c>
      <x:c r="L12" s="74" t="n">
        <x:v>46249</x:v>
      </x:c>
      <x:c r="M12" s="62" t="str">
        <x:v>S002</x:v>
      </x:c>
      <x:c r="N12" s="62" t="str">
        <x:v>SIMULATED_CURATED-v0.1</x:v>
      </x:c>
    </x:row>
    <x:row r="13" ht="44" customHeight="1">
      <x:c r="A13" s="62" t="str">
        <x:v>CHG-KEY-012</x:v>
      </x:c>
      <x:c r="B13" s="62" t="str">
        <x:v>2025实际</x:v>
      </x:c>
      <x:c r="C13" s="71" t="str">
        <x:v>2025年实际执行.xlsx</x:v>
      </x:c>
      <x:c r="D13" s="71" t="str">
        <x:v>Sheet</x:v>
      </x:c>
      <x:c r="E13" s="71" t="str">
        <x:v>Sheet!103:103；Sheet!195:195</x:v>
      </x:c>
      <x:c r="F13" s="71" t="str">
        <x:v>凭证稳定键</x:v>
      </x:c>
      <x:c r="G13" s="71" t="str">
        <x:v>DOC2101</x:v>
      </x:c>
      <x:c r="H13" s="71" t="str">
        <x:v>DOC2101/10；DOC2101/20</x:v>
      </x:c>
      <x:c r="I13" s="71" t="str">
        <x:v>同凭证不同科目补行号</x:v>
      </x:c>
      <x:c r="J13" s="71" t="str">
        <x:v>用户确认21组均为合法业务记录，不删除、不合并</x:v>
      </x:c>
      <x:c r="K13" s="71" t="str">
        <x:v>CORRECTED</x:v>
      </x:c>
      <x:c r="L13" s="74" t="n">
        <x:v>46249</x:v>
      </x:c>
      <x:c r="M13" s="62" t="str">
        <x:v>S002</x:v>
      </x:c>
      <x:c r="N13" s="62" t="str">
        <x:v>SIMULATED_CURATED-v0.1</x:v>
      </x:c>
    </x:row>
    <x:row r="14" ht="44" customHeight="1">
      <x:c r="A14" s="62" t="str">
        <x:v>CHG-KEY-013</x:v>
      </x:c>
      <x:c r="B14" s="62" t="str">
        <x:v>2025实际</x:v>
      </x:c>
      <x:c r="C14" s="71" t="str">
        <x:v>2025年实际执行.xlsx</x:v>
      </x:c>
      <x:c r="D14" s="71" t="str">
        <x:v>Sheet</x:v>
      </x:c>
      <x:c r="E14" s="71" t="str">
        <x:v>Sheet!111:111；Sheet!196:196</x:v>
      </x:c>
      <x:c r="F14" s="71" t="str">
        <x:v>凭证稳定键</x:v>
      </x:c>
      <x:c r="G14" s="71" t="str">
        <x:v>DOC2109</x:v>
      </x:c>
      <x:c r="H14" s="71" t="str">
        <x:v>DOC2109/10；DOC2109/20</x:v>
      </x:c>
      <x:c r="I14" s="71" t="str">
        <x:v>同凭证不同科目补行号</x:v>
      </x:c>
      <x:c r="J14" s="71" t="str">
        <x:v>用户确认21组均为合法业务记录，不删除、不合并</x:v>
      </x:c>
      <x:c r="K14" s="71" t="str">
        <x:v>CORRECTED</x:v>
      </x:c>
      <x:c r="L14" s="74" t="n">
        <x:v>46249</x:v>
      </x:c>
      <x:c r="M14" s="62" t="str">
        <x:v>S002</x:v>
      </x:c>
      <x:c r="N14" s="62" t="str">
        <x:v>SIMULATED_CURATED-v0.1</x:v>
      </x:c>
    </x:row>
    <x:row r="15" ht="44" customHeight="1">
      <x:c r="A15" s="62" t="str">
        <x:v>CHG-KEY-014</x:v>
      </x:c>
      <x:c r="B15" s="62" t="str">
        <x:v>2025实际</x:v>
      </x:c>
      <x:c r="C15" s="71" t="str">
        <x:v>2025年实际执行.xlsx</x:v>
      </x:c>
      <x:c r="D15" s="71" t="str">
        <x:v>Sheet</x:v>
      </x:c>
      <x:c r="E15" s="71" t="str">
        <x:v>Sheet!120:120；Sheet!197:197</x:v>
      </x:c>
      <x:c r="F15" s="71" t="str">
        <x:v>凭证稳定键</x:v>
      </x:c>
      <x:c r="G15" s="71" t="str">
        <x:v>DOC2118</x:v>
      </x:c>
      <x:c r="H15" s="71" t="str">
        <x:v>DOC2118/10；DOC2118/20</x:v>
      </x:c>
      <x:c r="I15" s="71" t="str">
        <x:v>同凭证不同科目补行号</x:v>
      </x:c>
      <x:c r="J15" s="71" t="str">
        <x:v>用户确认21组均为合法业务记录，不删除、不合并</x:v>
      </x:c>
      <x:c r="K15" s="71" t="str">
        <x:v>CORRECTED</x:v>
      </x:c>
      <x:c r="L15" s="74" t="n">
        <x:v>46249</x:v>
      </x:c>
      <x:c r="M15" s="62" t="str">
        <x:v>S002</x:v>
      </x:c>
      <x:c r="N15" s="62" t="str">
        <x:v>SIMULATED_CURATED-v0.1</x:v>
      </x:c>
    </x:row>
    <x:row r="16" ht="44" customHeight="1">
      <x:c r="A16" s="62" t="str">
        <x:v>CHG-KEY-015</x:v>
      </x:c>
      <x:c r="B16" s="62" t="str">
        <x:v>2025实际</x:v>
      </x:c>
      <x:c r="C16" s="71" t="str">
        <x:v>2025年实际执行.xlsx</x:v>
      </x:c>
      <x:c r="D16" s="71" t="str">
        <x:v>Sheet</x:v>
      </x:c>
      <x:c r="E16" s="71" t="str">
        <x:v>Sheet!129:129；Sheet!198:198</x:v>
      </x:c>
      <x:c r="F16" s="71" t="str">
        <x:v>凭证稳定键</x:v>
      </x:c>
      <x:c r="G16" s="71" t="str">
        <x:v>DOC2127</x:v>
      </x:c>
      <x:c r="H16" s="71" t="str">
        <x:v>DOC2127/10；DOC2127/20</x:v>
      </x:c>
      <x:c r="I16" s="71" t="str">
        <x:v>同凭证不同科目补行号</x:v>
      </x:c>
      <x:c r="J16" s="71" t="str">
        <x:v>用户确认21组均为合法业务记录，不删除、不合并</x:v>
      </x:c>
      <x:c r="K16" s="71" t="str">
        <x:v>CORRECTED</x:v>
      </x:c>
      <x:c r="L16" s="74" t="n">
        <x:v>46249</x:v>
      </x:c>
      <x:c r="M16" s="62" t="str">
        <x:v>S002</x:v>
      </x:c>
      <x:c r="N16" s="62" t="str">
        <x:v>SIMULATED_CURATED-v0.1</x:v>
      </x:c>
    </x:row>
    <x:row r="17" ht="44" customHeight="1">
      <x:c r="A17" s="62" t="str">
        <x:v>CHG-KEY-016</x:v>
      </x:c>
      <x:c r="B17" s="62" t="str">
        <x:v>2025实际</x:v>
      </x:c>
      <x:c r="C17" s="71" t="str">
        <x:v>2025年实际执行.xlsx</x:v>
      </x:c>
      <x:c r="D17" s="71" t="str">
        <x:v>Sheet</x:v>
      </x:c>
      <x:c r="E17" s="71" t="str">
        <x:v>Sheet!137:137；Sheet!199:199</x:v>
      </x:c>
      <x:c r="F17" s="71" t="str">
        <x:v>凭证稳定键</x:v>
      </x:c>
      <x:c r="G17" s="71" t="str">
        <x:v>DOC2135</x:v>
      </x:c>
      <x:c r="H17" s="71" t="str">
        <x:v>DOC2135/10；DOC2135/20</x:v>
      </x:c>
      <x:c r="I17" s="71" t="str">
        <x:v>同凭证不同科目补行号</x:v>
      </x:c>
      <x:c r="J17" s="71" t="str">
        <x:v>用户确认21组均为合法业务记录，不删除、不合并</x:v>
      </x:c>
      <x:c r="K17" s="71" t="str">
        <x:v>CORRECTED</x:v>
      </x:c>
      <x:c r="L17" s="74" t="n">
        <x:v>46249</x:v>
      </x:c>
      <x:c r="M17" s="62" t="str">
        <x:v>S002</x:v>
      </x:c>
      <x:c r="N17" s="62" t="str">
        <x:v>SIMULATED_CURATED-v0.1</x:v>
      </x:c>
    </x:row>
    <x:row r="18" ht="44" customHeight="1">
      <x:c r="A18" s="62" t="str">
        <x:v>CHG-KEY-017</x:v>
      </x:c>
      <x:c r="B18" s="62" t="str">
        <x:v>2025实际</x:v>
      </x:c>
      <x:c r="C18" s="71" t="str">
        <x:v>2025年实际执行.xlsx</x:v>
      </x:c>
      <x:c r="D18" s="71" t="str">
        <x:v>Sheet</x:v>
      </x:c>
      <x:c r="E18" s="71" t="str">
        <x:v>Sheet!146:146；Sheet!200:200</x:v>
      </x:c>
      <x:c r="F18" s="71" t="str">
        <x:v>凭证稳定键</x:v>
      </x:c>
      <x:c r="G18" s="71" t="str">
        <x:v>DOC2144</x:v>
      </x:c>
      <x:c r="H18" s="71" t="str">
        <x:v>DOC2144/10；DOC2144/20</x:v>
      </x:c>
      <x:c r="I18" s="71" t="str">
        <x:v>同凭证不同科目补行号</x:v>
      </x:c>
      <x:c r="J18" s="71" t="str">
        <x:v>用户确认21组均为合法业务记录，不删除、不合并</x:v>
      </x:c>
      <x:c r="K18" s="71" t="str">
        <x:v>CORRECTED</x:v>
      </x:c>
      <x:c r="L18" s="74" t="n">
        <x:v>46249</x:v>
      </x:c>
      <x:c r="M18" s="62" t="str">
        <x:v>S002</x:v>
      </x:c>
      <x:c r="N18" s="62" t="str">
        <x:v>SIMULATED_CURATED-v0.1</x:v>
      </x:c>
    </x:row>
    <x:row r="19" ht="44" customHeight="1">
      <x:c r="A19" s="62" t="str">
        <x:v>CHG-KEY-018</x:v>
      </x:c>
      <x:c r="B19" s="62" t="str">
        <x:v>2025实际</x:v>
      </x:c>
      <x:c r="C19" s="71" t="str">
        <x:v>2025年实际执行.xlsx</x:v>
      </x:c>
      <x:c r="D19" s="71" t="str">
        <x:v>Sheet</x:v>
      </x:c>
      <x:c r="E19" s="71" t="str">
        <x:v>Sheet!155:155；Sheet!201:201</x:v>
      </x:c>
      <x:c r="F19" s="71" t="str">
        <x:v>凭证稳定键</x:v>
      </x:c>
      <x:c r="G19" s="71" t="str">
        <x:v>DOC2153</x:v>
      </x:c>
      <x:c r="H19" s="71" t="str">
        <x:v>DOC2153/10；DOC2153/20</x:v>
      </x:c>
      <x:c r="I19" s="71" t="str">
        <x:v>同凭证不同科目补行号</x:v>
      </x:c>
      <x:c r="J19" s="71" t="str">
        <x:v>用户确认21组均为合法业务记录，不删除、不合并</x:v>
      </x:c>
      <x:c r="K19" s="71" t="str">
        <x:v>CORRECTED</x:v>
      </x:c>
      <x:c r="L19" s="74" t="n">
        <x:v>46249</x:v>
      </x:c>
      <x:c r="M19" s="62" t="str">
        <x:v>S002</x:v>
      </x:c>
      <x:c r="N19" s="62" t="str">
        <x:v>SIMULATED_CURATED-v0.1</x:v>
      </x:c>
    </x:row>
    <x:row r="20" ht="44" customHeight="1">
      <x:c r="A20" s="62" t="str">
        <x:v>CHG-KEY-019</x:v>
      </x:c>
      <x:c r="B20" s="62" t="str">
        <x:v>2025实际</x:v>
      </x:c>
      <x:c r="C20" s="71" t="str">
        <x:v>2025年实际执行.xlsx</x:v>
      </x:c>
      <x:c r="D20" s="71" t="str">
        <x:v>Sheet</x:v>
      </x:c>
      <x:c r="E20" s="71" t="str">
        <x:v>Sheet!163:163；Sheet!202:202</x:v>
      </x:c>
      <x:c r="F20" s="71" t="str">
        <x:v>凭证稳定键</x:v>
      </x:c>
      <x:c r="G20" s="71" t="str">
        <x:v>DOC2161</x:v>
      </x:c>
      <x:c r="H20" s="71" t="str">
        <x:v>DOC2161/10；DOC2161/20</x:v>
      </x:c>
      <x:c r="I20" s="71" t="str">
        <x:v>同凭证不同科目补行号</x:v>
      </x:c>
      <x:c r="J20" s="71" t="str">
        <x:v>用户确认21组均为合法业务记录，不删除、不合并</x:v>
      </x:c>
      <x:c r="K20" s="71" t="str">
        <x:v>CORRECTED</x:v>
      </x:c>
      <x:c r="L20" s="74" t="n">
        <x:v>46249</x:v>
      </x:c>
      <x:c r="M20" s="62" t="str">
        <x:v>S002</x:v>
      </x:c>
      <x:c r="N20" s="62" t="str">
        <x:v>SIMULATED_CURATED-v0.1</x:v>
      </x:c>
    </x:row>
    <x:row r="21" ht="44" customHeight="1">
      <x:c r="A21" s="62" t="str">
        <x:v>CHG-KEY-020</x:v>
      </x:c>
      <x:c r="B21" s="62" t="str">
        <x:v>2025实际</x:v>
      </x:c>
      <x:c r="C21" s="71" t="str">
        <x:v>2025年实际执行.xlsx</x:v>
      </x:c>
      <x:c r="D21" s="71" t="str">
        <x:v>Sheet</x:v>
      </x:c>
      <x:c r="E21" s="71" t="str">
        <x:v>Sheet!172:172；Sheet!203:203</x:v>
      </x:c>
      <x:c r="F21" s="71" t="str">
        <x:v>凭证稳定键</x:v>
      </x:c>
      <x:c r="G21" s="71" t="str">
        <x:v>DOC2170</x:v>
      </x:c>
      <x:c r="H21" s="71" t="str">
        <x:v>DOC2170/10；DOC2170/20</x:v>
      </x:c>
      <x:c r="I21" s="71" t="str">
        <x:v>同凭证不同科目补行号</x:v>
      </x:c>
      <x:c r="J21" s="71" t="str">
        <x:v>用户确认21组均为合法业务记录，不删除、不合并</x:v>
      </x:c>
      <x:c r="K21" s="71" t="str">
        <x:v>CORRECTED</x:v>
      </x:c>
      <x:c r="L21" s="74" t="n">
        <x:v>46249</x:v>
      </x:c>
      <x:c r="M21" s="62" t="str">
        <x:v>S002</x:v>
      </x:c>
      <x:c r="N21" s="62" t="str">
        <x:v>SIMULATED_CURATED-v0.1</x:v>
      </x:c>
    </x:row>
    <x:row r="22" ht="44" customHeight="1">
      <x:c r="A22" s="62" t="str">
        <x:v>CHG-KEY-021</x:v>
      </x:c>
      <x:c r="B22" s="62" t="str">
        <x:v>2025实际</x:v>
      </x:c>
      <x:c r="C22" s="71" t="str">
        <x:v>2025年实际执行.xlsx</x:v>
      </x:c>
      <x:c r="D22" s="71" t="str">
        <x:v>Sheet</x:v>
      </x:c>
      <x:c r="E22" s="71" t="str">
        <x:v>Sheet!181:181；Sheet!204:204</x:v>
      </x:c>
      <x:c r="F22" s="71" t="str">
        <x:v>凭证稳定键</x:v>
      </x:c>
      <x:c r="G22" s="71" t="str">
        <x:v>DOC2179</x:v>
      </x:c>
      <x:c r="H22" s="71" t="str">
        <x:v>DOC2179/10；DOC2179/20</x:v>
      </x:c>
      <x:c r="I22" s="71" t="str">
        <x:v>同凭证不同科目补行号</x:v>
      </x:c>
      <x:c r="J22" s="71" t="str">
        <x:v>用户确认21组均为合法业务记录，不删除、不合并</x:v>
      </x:c>
      <x:c r="K22" s="71" t="str">
        <x:v>CORRECTED</x:v>
      </x:c>
      <x:c r="L22" s="74" t="n">
        <x:v>46249</x:v>
      </x:c>
      <x:c r="M22" s="62" t="str">
        <x:v>S002</x:v>
      </x:c>
      <x:c r="N22" s="62" t="str">
        <x:v>SIMULATED_CURATED-v0.1</x:v>
      </x:c>
    </x:row>
    <x:row r="23" ht="44" customHeight="1">
      <x:c r="A23" s="62" t="str">
        <x:v>CHG-IMP-001</x:v>
      </x:c>
      <x:c r="B23" s="62" t="str">
        <x:v>2024实际</x:v>
      </x:c>
      <x:c r="C23" s="71" t="str">
        <x:v>2025年实际执行.xlsx</x:v>
      </x:c>
      <x:c r="D23" s="71" t="str">
        <x:v>Sheet</x:v>
      </x:c>
      <x:c r="E23" s="71" t="str">
        <x:v>Sheet!7:7</x:v>
      </x:c>
      <x:c r="F23" s="71" t="str">
        <x:v>交通运输费金额</x:v>
      </x:c>
      <x:c r="G23" s="71" t="str">
        <x:v>2024源缺失</x:v>
      </x:c>
      <x:c r="H23" s="71" t="str">
        <x:v>DOC1161: 2025参考金额/(1+3.0%)</x:v>
      </x:c>
      <x:c r="I23" s="71" t="str">
        <x:v>同项目反推可比基期</x:v>
      </x:c>
      <x:c r="J23" s="71" t="str">
        <x:v>补全跨年趋势与21项目×9科目覆盖</x:v>
      </x:c>
      <x:c r="K23" s="71" t="str">
        <x:v>SYNTHETIC_FOR_DEMO</x:v>
      </x:c>
      <x:c r="L23" s="74" t="n">
        <x:v>46249</x:v>
      </x:c>
      <x:c r="M23" s="62" t="str">
        <x:v>S002</x:v>
      </x:c>
      <x:c r="N23" s="62" t="str">
        <x:v>SIMULATED_CURATED-v0.1</x:v>
      </x:c>
    </x:row>
    <x:row r="24" ht="44" customHeight="1">
      <x:c r="A24" s="62" t="str">
        <x:v>CHG-IMP-002</x:v>
      </x:c>
      <x:c r="B24" s="62" t="str">
        <x:v>2024实际</x:v>
      </x:c>
      <x:c r="C24" s="71" t="str">
        <x:v>2025年实际执行.xlsx</x:v>
      </x:c>
      <x:c r="D24" s="71" t="str">
        <x:v>Sheet</x:v>
      </x:c>
      <x:c r="E24" s="71" t="str">
        <x:v>Sheet!16:16</x:v>
      </x:c>
      <x:c r="F24" s="71" t="str">
        <x:v>交通运输费金额</x:v>
      </x:c>
      <x:c r="G24" s="71" t="str">
        <x:v>2024源缺失</x:v>
      </x:c>
      <x:c r="H24" s="71" t="str">
        <x:v>DOC1162: 2025参考金额/(1+3.0%)</x:v>
      </x:c>
      <x:c r="I24" s="71" t="str">
        <x:v>同项目反推可比基期</x:v>
      </x:c>
      <x:c r="J24" s="71" t="str">
        <x:v>补全跨年趋势与21项目×9科目覆盖</x:v>
      </x:c>
      <x:c r="K24" s="71" t="str">
        <x:v>SYNTHETIC_FOR_DEMO</x:v>
      </x:c>
      <x:c r="L24" s="74" t="n">
        <x:v>46249</x:v>
      </x:c>
      <x:c r="M24" s="62" t="str">
        <x:v>S002</x:v>
      </x:c>
      <x:c r="N24" s="62" t="str">
        <x:v>SIMULATED_CURATED-v0.1</x:v>
      </x:c>
    </x:row>
    <x:row r="25" ht="44" customHeight="1">
      <x:c r="A25" s="62" t="str">
        <x:v>CHG-IMP-003</x:v>
      </x:c>
      <x:c r="B25" s="62" t="str">
        <x:v>2024实际</x:v>
      </x:c>
      <x:c r="C25" s="71" t="str">
        <x:v>2025年实际执行.xlsx</x:v>
      </x:c>
      <x:c r="D25" s="71" t="str">
        <x:v>Sheet</x:v>
      </x:c>
      <x:c r="E25" s="71" t="str">
        <x:v>Sheet!25:25</x:v>
      </x:c>
      <x:c r="F25" s="71" t="str">
        <x:v>交通运输费金额</x:v>
      </x:c>
      <x:c r="G25" s="71" t="str">
        <x:v>2024源缺失</x:v>
      </x:c>
      <x:c r="H25" s="71" t="str">
        <x:v>DOC1163: 2025参考金额/(1+3.0%)</x:v>
      </x:c>
      <x:c r="I25" s="71" t="str">
        <x:v>同项目反推可比基期</x:v>
      </x:c>
      <x:c r="J25" s="71" t="str">
        <x:v>补全跨年趋势与21项目×9科目覆盖</x:v>
      </x:c>
      <x:c r="K25" s="71" t="str">
        <x:v>SYNTHETIC_FOR_DEMO</x:v>
      </x:c>
      <x:c r="L25" s="74" t="n">
        <x:v>46249</x:v>
      </x:c>
      <x:c r="M25" s="62" t="str">
        <x:v>S002</x:v>
      </x:c>
      <x:c r="N25" s="62" t="str">
        <x:v>SIMULATED_CURATED-v0.1</x:v>
      </x:c>
    </x:row>
    <x:row r="26" ht="44" customHeight="1">
      <x:c r="A26" s="62" t="str">
        <x:v>CHG-IMP-004</x:v>
      </x:c>
      <x:c r="B26" s="62" t="str">
        <x:v>2024实际</x:v>
      </x:c>
      <x:c r="C26" s="71" t="str">
        <x:v>2025年实际执行.xlsx</x:v>
      </x:c>
      <x:c r="D26" s="71" t="str">
        <x:v>Sheet</x:v>
      </x:c>
      <x:c r="E26" s="71" t="str">
        <x:v>Sheet!33:33</x:v>
      </x:c>
      <x:c r="F26" s="71" t="str">
        <x:v>交通运输费金额</x:v>
      </x:c>
      <x:c r="G26" s="71" t="str">
        <x:v>2024源缺失</x:v>
      </x:c>
      <x:c r="H26" s="71" t="str">
        <x:v>DOC1164: 2025参考金额/(1+4.0%)</x:v>
      </x:c>
      <x:c r="I26" s="71" t="str">
        <x:v>同项目反推可比基期</x:v>
      </x:c>
      <x:c r="J26" s="71" t="str">
        <x:v>补全跨年趋势与21项目×9科目覆盖</x:v>
      </x:c>
      <x:c r="K26" s="71" t="str">
        <x:v>SYNTHETIC_FOR_DEMO</x:v>
      </x:c>
      <x:c r="L26" s="74" t="n">
        <x:v>46249</x:v>
      </x:c>
      <x:c r="M26" s="62" t="str">
        <x:v>S002</x:v>
      </x:c>
      <x:c r="N26" s="62" t="str">
        <x:v>SIMULATED_CURATED-v0.1</x:v>
      </x:c>
    </x:row>
    <x:row r="27" ht="44" customHeight="1">
      <x:c r="A27" s="62" t="str">
        <x:v>CHG-IMP-005</x:v>
      </x:c>
      <x:c r="B27" s="62" t="str">
        <x:v>2024实际</x:v>
      </x:c>
      <x:c r="C27" s="71" t="str">
        <x:v>2025年实际执行.xlsx</x:v>
      </x:c>
      <x:c r="D27" s="71" t="str">
        <x:v>Sheet</x:v>
      </x:c>
      <x:c r="E27" s="71" t="str">
        <x:v>Sheet!42:42</x:v>
      </x:c>
      <x:c r="F27" s="71" t="str">
        <x:v>交通运输费金额</x:v>
      </x:c>
      <x:c r="G27" s="71" t="str">
        <x:v>2024源缺失</x:v>
      </x:c>
      <x:c r="H27" s="71" t="str">
        <x:v>DOC1165: 2025参考金额/(1+4.0%)</x:v>
      </x:c>
      <x:c r="I27" s="71" t="str">
        <x:v>同项目反推可比基期</x:v>
      </x:c>
      <x:c r="J27" s="71" t="str">
        <x:v>补全跨年趋势与21项目×9科目覆盖</x:v>
      </x:c>
      <x:c r="K27" s="71" t="str">
        <x:v>SYNTHETIC_FOR_DEMO</x:v>
      </x:c>
      <x:c r="L27" s="74" t="n">
        <x:v>46249</x:v>
      </x:c>
      <x:c r="M27" s="62" t="str">
        <x:v>S002</x:v>
      </x:c>
      <x:c r="N27" s="62" t="str">
        <x:v>SIMULATED_CURATED-v0.1</x:v>
      </x:c>
    </x:row>
    <x:row r="28" ht="44" customHeight="1">
      <x:c r="A28" s="62" t="str">
        <x:v>CHG-IMP-006</x:v>
      </x:c>
      <x:c r="B28" s="62" t="str">
        <x:v>2024实际</x:v>
      </x:c>
      <x:c r="C28" s="71" t="str">
        <x:v>2025年实际执行.xlsx</x:v>
      </x:c>
      <x:c r="D28" s="71" t="str">
        <x:v>Sheet</x:v>
      </x:c>
      <x:c r="E28" s="71" t="str">
        <x:v>Sheet!51:51</x:v>
      </x:c>
      <x:c r="F28" s="71" t="str">
        <x:v>交通运输费金额</x:v>
      </x:c>
      <x:c r="G28" s="71" t="str">
        <x:v>2024源缺失</x:v>
      </x:c>
      <x:c r="H28" s="71" t="str">
        <x:v>DOC1166: 2025参考金额/(1+4.0%)</x:v>
      </x:c>
      <x:c r="I28" s="71" t="str">
        <x:v>同项目反推可比基期</x:v>
      </x:c>
      <x:c r="J28" s="71" t="str">
        <x:v>补全跨年趋势与21项目×9科目覆盖</x:v>
      </x:c>
      <x:c r="K28" s="71" t="str">
        <x:v>SYNTHETIC_FOR_DEMO</x:v>
      </x:c>
      <x:c r="L28" s="74" t="n">
        <x:v>46249</x:v>
      </x:c>
      <x:c r="M28" s="62" t="str">
        <x:v>S002</x:v>
      </x:c>
      <x:c r="N28" s="62" t="str">
        <x:v>SIMULATED_CURATED-v0.1</x:v>
      </x:c>
    </x:row>
    <x:row r="29" ht="44" customHeight="1">
      <x:c r="A29" s="62" t="str">
        <x:v>CHG-IMP-007</x:v>
      </x:c>
      <x:c r="B29" s="62" t="str">
        <x:v>2024实际</x:v>
      </x:c>
      <x:c r="C29" s="71" t="str">
        <x:v>2025年实际执行.xlsx</x:v>
      </x:c>
      <x:c r="D29" s="71" t="str">
        <x:v>Sheet</x:v>
      </x:c>
      <x:c r="E29" s="71" t="str">
        <x:v>Sheet!59:59</x:v>
      </x:c>
      <x:c r="F29" s="71" t="str">
        <x:v>交通运输费金额</x:v>
      </x:c>
      <x:c r="G29" s="71" t="str">
        <x:v>2024源缺失</x:v>
      </x:c>
      <x:c r="H29" s="71" t="str">
        <x:v>DOC1167: 2025参考金额/(1+4.0%)</x:v>
      </x:c>
      <x:c r="I29" s="71" t="str">
        <x:v>同项目反推可比基期</x:v>
      </x:c>
      <x:c r="J29" s="71" t="str">
        <x:v>补全跨年趋势与21项目×9科目覆盖</x:v>
      </x:c>
      <x:c r="K29" s="71" t="str">
        <x:v>SYNTHETIC_FOR_DEMO</x:v>
      </x:c>
      <x:c r="L29" s="74" t="n">
        <x:v>46249</x:v>
      </x:c>
      <x:c r="M29" s="62" t="str">
        <x:v>S002</x:v>
      </x:c>
      <x:c r="N29" s="62" t="str">
        <x:v>SIMULATED_CURATED-v0.1</x:v>
      </x:c>
    </x:row>
    <x:row r="30" ht="44" customHeight="1">
      <x:c r="A30" s="62" t="str">
        <x:v>CHG-IMP-008</x:v>
      </x:c>
      <x:c r="B30" s="62" t="str">
        <x:v>2024实际</x:v>
      </x:c>
      <x:c r="C30" s="71" t="str">
        <x:v>2025年实际执行.xlsx</x:v>
      </x:c>
      <x:c r="D30" s="71" t="str">
        <x:v>Sheet</x:v>
      </x:c>
      <x:c r="E30" s="71" t="str">
        <x:v>Sheet!68:68</x:v>
      </x:c>
      <x:c r="F30" s="71" t="str">
        <x:v>交通运输费金额</x:v>
      </x:c>
      <x:c r="G30" s="71" t="str">
        <x:v>2024源缺失</x:v>
      </x:c>
      <x:c r="H30" s="71" t="str">
        <x:v>DOC1168: 2025参考金额/(1+4.0%)</x:v>
      </x:c>
      <x:c r="I30" s="71" t="str">
        <x:v>同项目反推可比基期</x:v>
      </x:c>
      <x:c r="J30" s="71" t="str">
        <x:v>补全跨年趋势与21项目×9科目覆盖</x:v>
      </x:c>
      <x:c r="K30" s="71" t="str">
        <x:v>SYNTHETIC_FOR_DEMO</x:v>
      </x:c>
      <x:c r="L30" s="74" t="n">
        <x:v>46249</x:v>
      </x:c>
      <x:c r="M30" s="62" t="str">
        <x:v>S002</x:v>
      </x:c>
      <x:c r="N30" s="62" t="str">
        <x:v>SIMULATED_CURATED-v0.1</x:v>
      </x:c>
    </x:row>
    <x:row r="31" ht="44" customHeight="1">
      <x:c r="A31" s="62" t="str">
        <x:v>CHG-IMP-009</x:v>
      </x:c>
      <x:c r="B31" s="62" t="str">
        <x:v>2024实际</x:v>
      </x:c>
      <x:c r="C31" s="71" t="str">
        <x:v>2025年实际执行.xlsx</x:v>
      </x:c>
      <x:c r="D31" s="71" t="str">
        <x:v>Sheet</x:v>
      </x:c>
      <x:c r="E31" s="71" t="str">
        <x:v>Sheet!77:77</x:v>
      </x:c>
      <x:c r="F31" s="71" t="str">
        <x:v>交通运输费金额</x:v>
      </x:c>
      <x:c r="G31" s="71" t="str">
        <x:v>2024源缺失</x:v>
      </x:c>
      <x:c r="H31" s="71" t="str">
        <x:v>DOC1169: 2025参考金额/(1+4.0%)</x:v>
      </x:c>
      <x:c r="I31" s="71" t="str">
        <x:v>同项目反推可比基期</x:v>
      </x:c>
      <x:c r="J31" s="71" t="str">
        <x:v>补全跨年趋势与21项目×9科目覆盖</x:v>
      </x:c>
      <x:c r="K31" s="71" t="str">
        <x:v>SYNTHETIC_FOR_DEMO</x:v>
      </x:c>
      <x:c r="L31" s="74" t="n">
        <x:v>46249</x:v>
      </x:c>
      <x:c r="M31" s="62" t="str">
        <x:v>S002</x:v>
      </x:c>
      <x:c r="N31" s="62" t="str">
        <x:v>SIMULATED_CURATED-v0.1</x:v>
      </x:c>
    </x:row>
    <x:row r="32" ht="44" customHeight="1">
      <x:c r="A32" s="62" t="str">
        <x:v>CHG-IMP-010</x:v>
      </x:c>
      <x:c r="B32" s="62" t="str">
        <x:v>2024实际</x:v>
      </x:c>
      <x:c r="C32" s="71" t="str">
        <x:v>2025年实际执行.xlsx</x:v>
      </x:c>
      <x:c r="D32" s="71" t="str">
        <x:v>Sheet</x:v>
      </x:c>
      <x:c r="E32" s="71" t="str">
        <x:v>Sheet!85:85</x:v>
      </x:c>
      <x:c r="F32" s="71" t="str">
        <x:v>交通运输费金额</x:v>
      </x:c>
      <x:c r="G32" s="71" t="str">
        <x:v>2024源缺失</x:v>
      </x:c>
      <x:c r="H32" s="71" t="str">
        <x:v>DOC1170: 2025参考金额/(1+4.0%)</x:v>
      </x:c>
      <x:c r="I32" s="71" t="str">
        <x:v>同项目反推可比基期</x:v>
      </x:c>
      <x:c r="J32" s="71" t="str">
        <x:v>补全跨年趋势与21项目×9科目覆盖</x:v>
      </x:c>
      <x:c r="K32" s="71" t="str">
        <x:v>SYNTHETIC_FOR_DEMO</x:v>
      </x:c>
      <x:c r="L32" s="74" t="n">
        <x:v>46249</x:v>
      </x:c>
      <x:c r="M32" s="62" t="str">
        <x:v>S002</x:v>
      </x:c>
      <x:c r="N32" s="62" t="str">
        <x:v>SIMULATED_CURATED-v0.1</x:v>
      </x:c>
    </x:row>
    <x:row r="33" ht="44" customHeight="1">
      <x:c r="A33" s="62" t="str">
        <x:v>CHG-IMP-011</x:v>
      </x:c>
      <x:c r="B33" s="62" t="str">
        <x:v>2024实际</x:v>
      </x:c>
      <x:c r="C33" s="71" t="str">
        <x:v>2025年实际执行.xlsx</x:v>
      </x:c>
      <x:c r="D33" s="71" t="str">
        <x:v>Sheet</x:v>
      </x:c>
      <x:c r="E33" s="71" t="str">
        <x:v>Sheet!94:94</x:v>
      </x:c>
      <x:c r="F33" s="71" t="str">
        <x:v>交通运输费金额</x:v>
      </x:c>
      <x:c r="G33" s="71" t="str">
        <x:v>2024源缺失</x:v>
      </x:c>
      <x:c r="H33" s="71" t="str">
        <x:v>DOC1171: 2025参考金额/(1+4.0%)</x:v>
      </x:c>
      <x:c r="I33" s="71" t="str">
        <x:v>同项目反推可比基期</x:v>
      </x:c>
      <x:c r="J33" s="71" t="str">
        <x:v>补全跨年趋势与21项目×9科目覆盖</x:v>
      </x:c>
      <x:c r="K33" s="71" t="str">
        <x:v>SYNTHETIC_FOR_DEMO</x:v>
      </x:c>
      <x:c r="L33" s="74" t="n">
        <x:v>46249</x:v>
      </x:c>
      <x:c r="M33" s="62" t="str">
        <x:v>S002</x:v>
      </x:c>
      <x:c r="N33" s="62" t="str">
        <x:v>SIMULATED_CURATED-v0.1</x:v>
      </x:c>
    </x:row>
    <x:row r="34" ht="44" customHeight="1">
      <x:c r="A34" s="62" t="str">
        <x:v>CHG-IMP-012</x:v>
      </x:c>
      <x:c r="B34" s="62" t="str">
        <x:v>2024实际</x:v>
      </x:c>
      <x:c r="C34" s="71" t="str">
        <x:v>2025年实际执行.xlsx</x:v>
      </x:c>
      <x:c r="D34" s="71" t="str">
        <x:v>Sheet</x:v>
      </x:c>
      <x:c r="E34" s="71" t="str">
        <x:v>Sheet!103:103</x:v>
      </x:c>
      <x:c r="F34" s="71" t="str">
        <x:v>交通运输费金额</x:v>
      </x:c>
      <x:c r="G34" s="71" t="str">
        <x:v>2024源缺失</x:v>
      </x:c>
      <x:c r="H34" s="71" t="str">
        <x:v>DOC1172: 2025参考金额/(1+4.0%)</x:v>
      </x:c>
      <x:c r="I34" s="71" t="str">
        <x:v>同项目反推可比基期</x:v>
      </x:c>
      <x:c r="J34" s="71" t="str">
        <x:v>补全跨年趋势与21项目×9科目覆盖</x:v>
      </x:c>
      <x:c r="K34" s="71" t="str">
        <x:v>SYNTHETIC_FOR_DEMO</x:v>
      </x:c>
      <x:c r="L34" s="74" t="n">
        <x:v>46249</x:v>
      </x:c>
      <x:c r="M34" s="62" t="str">
        <x:v>S002</x:v>
      </x:c>
      <x:c r="N34" s="62" t="str">
        <x:v>SIMULATED_CURATED-v0.1</x:v>
      </x:c>
    </x:row>
    <x:row r="35" ht="44" customHeight="1">
      <x:c r="A35" s="62" t="str">
        <x:v>CHG-IMP-013</x:v>
      </x:c>
      <x:c r="B35" s="62" t="str">
        <x:v>2024实际</x:v>
      </x:c>
      <x:c r="C35" s="71" t="str">
        <x:v>2025年实际执行.xlsx</x:v>
      </x:c>
      <x:c r="D35" s="71" t="str">
        <x:v>Sheet</x:v>
      </x:c>
      <x:c r="E35" s="71" t="str">
        <x:v>Sheet!111:111</x:v>
      </x:c>
      <x:c r="F35" s="71" t="str">
        <x:v>交通运输费金额</x:v>
      </x:c>
      <x:c r="G35" s="71" t="str">
        <x:v>2024源缺失</x:v>
      </x:c>
      <x:c r="H35" s="71" t="str">
        <x:v>DOC1173: 2025参考金额/(1+5.0%)</x:v>
      </x:c>
      <x:c r="I35" s="71" t="str">
        <x:v>同项目反推可比基期</x:v>
      </x:c>
      <x:c r="J35" s="71" t="str">
        <x:v>补全跨年趋势与21项目×9科目覆盖</x:v>
      </x:c>
      <x:c r="K35" s="71" t="str">
        <x:v>SYNTHETIC_FOR_DEMO</x:v>
      </x:c>
      <x:c r="L35" s="74" t="n">
        <x:v>46249</x:v>
      </x:c>
      <x:c r="M35" s="62" t="str">
        <x:v>S002</x:v>
      </x:c>
      <x:c r="N35" s="62" t="str">
        <x:v>SIMULATED_CURATED-v0.1</x:v>
      </x:c>
    </x:row>
    <x:row r="36" ht="44" customHeight="1">
      <x:c r="A36" s="62" t="str">
        <x:v>CHG-IMP-014</x:v>
      </x:c>
      <x:c r="B36" s="62" t="str">
        <x:v>2024实际</x:v>
      </x:c>
      <x:c r="C36" s="71" t="str">
        <x:v>2025年实际执行.xlsx</x:v>
      </x:c>
      <x:c r="D36" s="71" t="str">
        <x:v>Sheet</x:v>
      </x:c>
      <x:c r="E36" s="71" t="str">
        <x:v>Sheet!120:120</x:v>
      </x:c>
      <x:c r="F36" s="71" t="str">
        <x:v>交通运输费金额</x:v>
      </x:c>
      <x:c r="G36" s="71" t="str">
        <x:v>2024源缺失</x:v>
      </x:c>
      <x:c r="H36" s="71" t="str">
        <x:v>DOC1174: 2025参考金额/(1+5.0%)</x:v>
      </x:c>
      <x:c r="I36" s="71" t="str">
        <x:v>同项目反推可比基期</x:v>
      </x:c>
      <x:c r="J36" s="71" t="str">
        <x:v>补全跨年趋势与21项目×9科目覆盖</x:v>
      </x:c>
      <x:c r="K36" s="71" t="str">
        <x:v>SYNTHETIC_FOR_DEMO</x:v>
      </x:c>
      <x:c r="L36" s="74" t="n">
        <x:v>46249</x:v>
      </x:c>
      <x:c r="M36" s="62" t="str">
        <x:v>S002</x:v>
      </x:c>
      <x:c r="N36" s="62" t="str">
        <x:v>SIMULATED_CURATED-v0.1</x:v>
      </x:c>
    </x:row>
    <x:row r="37" ht="44" customHeight="1">
      <x:c r="A37" s="62" t="str">
        <x:v>CHG-IMP-015</x:v>
      </x:c>
      <x:c r="B37" s="62" t="str">
        <x:v>2024实际</x:v>
      </x:c>
      <x:c r="C37" s="71" t="str">
        <x:v>2025年实际执行.xlsx</x:v>
      </x:c>
      <x:c r="D37" s="71" t="str">
        <x:v>Sheet</x:v>
      </x:c>
      <x:c r="E37" s="71" t="str">
        <x:v>Sheet!129:129</x:v>
      </x:c>
      <x:c r="F37" s="71" t="str">
        <x:v>交通运输费金额</x:v>
      </x:c>
      <x:c r="G37" s="71" t="str">
        <x:v>2024源缺失</x:v>
      </x:c>
      <x:c r="H37" s="71" t="str">
        <x:v>DOC1175: 2025参考金额/(1+5.0%)</x:v>
      </x:c>
      <x:c r="I37" s="71" t="str">
        <x:v>同项目反推可比基期</x:v>
      </x:c>
      <x:c r="J37" s="71" t="str">
        <x:v>补全跨年趋势与21项目×9科目覆盖</x:v>
      </x:c>
      <x:c r="K37" s="71" t="str">
        <x:v>SYNTHETIC_FOR_DEMO</x:v>
      </x:c>
      <x:c r="L37" s="74" t="n">
        <x:v>46249</x:v>
      </x:c>
      <x:c r="M37" s="62" t="str">
        <x:v>S002</x:v>
      </x:c>
      <x:c r="N37" s="62" t="str">
        <x:v>SIMULATED_CURATED-v0.1</x:v>
      </x:c>
    </x:row>
    <x:row r="38" ht="44" customHeight="1">
      <x:c r="A38" s="62" t="str">
        <x:v>CHG-IMP-016</x:v>
      </x:c>
      <x:c r="B38" s="62" t="str">
        <x:v>2024实际</x:v>
      </x:c>
      <x:c r="C38" s="71" t="str">
        <x:v>2025年实际执行.xlsx</x:v>
      </x:c>
      <x:c r="D38" s="71" t="str">
        <x:v>Sheet</x:v>
      </x:c>
      <x:c r="E38" s="71" t="str">
        <x:v>Sheet!137:137</x:v>
      </x:c>
      <x:c r="F38" s="71" t="str">
        <x:v>交通运输费金额</x:v>
      </x:c>
      <x:c r="G38" s="71" t="str">
        <x:v>2024源缺失</x:v>
      </x:c>
      <x:c r="H38" s="71" t="str">
        <x:v>DOC1176: 2025参考金额/(1+5.0%)</x:v>
      </x:c>
      <x:c r="I38" s="71" t="str">
        <x:v>同项目反推可比基期</x:v>
      </x:c>
      <x:c r="J38" s="71" t="str">
        <x:v>补全跨年趋势与21项目×9科目覆盖</x:v>
      </x:c>
      <x:c r="K38" s="71" t="str">
        <x:v>SYNTHETIC_FOR_DEMO</x:v>
      </x:c>
      <x:c r="L38" s="74" t="n">
        <x:v>46249</x:v>
      </x:c>
      <x:c r="M38" s="62" t="str">
        <x:v>S002</x:v>
      </x:c>
      <x:c r="N38" s="62" t="str">
        <x:v>SIMULATED_CURATED-v0.1</x:v>
      </x:c>
    </x:row>
    <x:row r="39" ht="44" customHeight="1">
      <x:c r="A39" s="62" t="str">
        <x:v>CHG-IMP-017</x:v>
      </x:c>
      <x:c r="B39" s="62" t="str">
        <x:v>2024实际</x:v>
      </x:c>
      <x:c r="C39" s="71" t="str">
        <x:v>2025年实际执行.xlsx</x:v>
      </x:c>
      <x:c r="D39" s="71" t="str">
        <x:v>Sheet</x:v>
      </x:c>
      <x:c r="E39" s="71" t="str">
        <x:v>Sheet!146:146</x:v>
      </x:c>
      <x:c r="F39" s="71" t="str">
        <x:v>交通运输费金额</x:v>
      </x:c>
      <x:c r="G39" s="71" t="str">
        <x:v>2024源缺失</x:v>
      </x:c>
      <x:c r="H39" s="71" t="str">
        <x:v>DOC1177: 2025参考金额/(1+5.0%)</x:v>
      </x:c>
      <x:c r="I39" s="71" t="str">
        <x:v>同项目反推可比基期</x:v>
      </x:c>
      <x:c r="J39" s="71" t="str">
        <x:v>补全跨年趋势与21项目×9科目覆盖</x:v>
      </x:c>
      <x:c r="K39" s="71" t="str">
        <x:v>SYNTHETIC_FOR_DEMO</x:v>
      </x:c>
      <x:c r="L39" s="74" t="n">
        <x:v>46249</x:v>
      </x:c>
      <x:c r="M39" s="62" t="str">
        <x:v>S002</x:v>
      </x:c>
      <x:c r="N39" s="62" t="str">
        <x:v>SIMULATED_CURATED-v0.1</x:v>
      </x:c>
    </x:row>
    <x:row r="40" ht="44" customHeight="1">
      <x:c r="A40" s="62" t="str">
        <x:v>CHG-IMP-018</x:v>
      </x:c>
      <x:c r="B40" s="62" t="str">
        <x:v>2024实际</x:v>
      </x:c>
      <x:c r="C40" s="71" t="str">
        <x:v>2025年实际执行.xlsx</x:v>
      </x:c>
      <x:c r="D40" s="71" t="str">
        <x:v>Sheet</x:v>
      </x:c>
      <x:c r="E40" s="71" t="str">
        <x:v>Sheet!155:155</x:v>
      </x:c>
      <x:c r="F40" s="71" t="str">
        <x:v>交通运输费金额</x:v>
      </x:c>
      <x:c r="G40" s="71" t="str">
        <x:v>2024源缺失</x:v>
      </x:c>
      <x:c r="H40" s="71" t="str">
        <x:v>DOC1178: 2025参考金额/(1+5.0%)</x:v>
      </x:c>
      <x:c r="I40" s="71" t="str">
        <x:v>同项目反推可比基期</x:v>
      </x:c>
      <x:c r="J40" s="71" t="str">
        <x:v>补全跨年趋势与21项目×9科目覆盖</x:v>
      </x:c>
      <x:c r="K40" s="71" t="str">
        <x:v>SYNTHETIC_FOR_DEMO</x:v>
      </x:c>
      <x:c r="L40" s="74" t="n">
        <x:v>46249</x:v>
      </x:c>
      <x:c r="M40" s="62" t="str">
        <x:v>S002</x:v>
      </x:c>
      <x:c r="N40" s="62" t="str">
        <x:v>SIMULATED_CURATED-v0.1</x:v>
      </x:c>
    </x:row>
    <x:row r="41" ht="44" customHeight="1">
      <x:c r="A41" s="62" t="str">
        <x:v>CHG-IMP-019</x:v>
      </x:c>
      <x:c r="B41" s="62" t="str">
        <x:v>2024实际</x:v>
      </x:c>
      <x:c r="C41" s="71" t="str">
        <x:v>2025年实际执行.xlsx</x:v>
      </x:c>
      <x:c r="D41" s="71" t="str">
        <x:v>Sheet</x:v>
      </x:c>
      <x:c r="E41" s="71" t="str">
        <x:v>Sheet!163:163</x:v>
      </x:c>
      <x:c r="F41" s="71" t="str">
        <x:v>交通运输费金额</x:v>
      </x:c>
      <x:c r="G41" s="71" t="str">
        <x:v>2024源缺失</x:v>
      </x:c>
      <x:c r="H41" s="71" t="str">
        <x:v>DOC1179: 2025参考金额/(1+5.0%)</x:v>
      </x:c>
      <x:c r="I41" s="71" t="str">
        <x:v>同项目反推可比基期</x:v>
      </x:c>
      <x:c r="J41" s="71" t="str">
        <x:v>补全跨年趋势与21项目×9科目覆盖</x:v>
      </x:c>
      <x:c r="K41" s="71" t="str">
        <x:v>SYNTHETIC_FOR_DEMO</x:v>
      </x:c>
      <x:c r="L41" s="74" t="n">
        <x:v>46249</x:v>
      </x:c>
      <x:c r="M41" s="62" t="str">
        <x:v>S002</x:v>
      </x:c>
      <x:c r="N41" s="62" t="str">
        <x:v>SIMULATED_CURATED-v0.1</x:v>
      </x:c>
    </x:row>
    <x:row r="42" ht="44" customHeight="1">
      <x:c r="A42" s="62" t="str">
        <x:v>CHG-IMP-020</x:v>
      </x:c>
      <x:c r="B42" s="62" t="str">
        <x:v>2024实际</x:v>
      </x:c>
      <x:c r="C42" s="71" t="str">
        <x:v>2025年实际执行.xlsx</x:v>
      </x:c>
      <x:c r="D42" s="71" t="str">
        <x:v>Sheet</x:v>
      </x:c>
      <x:c r="E42" s="71" t="str">
        <x:v>Sheet!172:172</x:v>
      </x:c>
      <x:c r="F42" s="71" t="str">
        <x:v>交通运输费金额</x:v>
      </x:c>
      <x:c r="G42" s="71" t="str">
        <x:v>2024源缺失</x:v>
      </x:c>
      <x:c r="H42" s="71" t="str">
        <x:v>DOC1180: 2025参考金额/(1+5.0%)</x:v>
      </x:c>
      <x:c r="I42" s="71" t="str">
        <x:v>同项目反推可比基期</x:v>
      </x:c>
      <x:c r="J42" s="71" t="str">
        <x:v>补全跨年趋势与21项目×9科目覆盖</x:v>
      </x:c>
      <x:c r="K42" s="71" t="str">
        <x:v>SYNTHETIC_FOR_DEMO</x:v>
      </x:c>
      <x:c r="L42" s="74" t="n">
        <x:v>46249</x:v>
      </x:c>
      <x:c r="M42" s="62" t="str">
        <x:v>S002</x:v>
      </x:c>
      <x:c r="N42" s="62" t="str">
        <x:v>SIMULATED_CURATED-v0.1</x:v>
      </x:c>
    </x:row>
    <x:row r="43" ht="44" customHeight="1">
      <x:c r="A43" s="62" t="str">
        <x:v>CHG-IMP-021</x:v>
      </x:c>
      <x:c r="B43" s="62" t="str">
        <x:v>2024实际</x:v>
      </x:c>
      <x:c r="C43" s="71" t="str">
        <x:v>2025年实际执行.xlsx</x:v>
      </x:c>
      <x:c r="D43" s="71" t="str">
        <x:v>Sheet</x:v>
      </x:c>
      <x:c r="E43" s="71" t="str">
        <x:v>Sheet!181:181</x:v>
      </x:c>
      <x:c r="F43" s="71" t="str">
        <x:v>交通运输费金额</x:v>
      </x:c>
      <x:c r="G43" s="71" t="str">
        <x:v>2024源缺失</x:v>
      </x:c>
      <x:c r="H43" s="71" t="str">
        <x:v>DOC1181: 2025参考金额/(1+5.0%)</x:v>
      </x:c>
      <x:c r="I43" s="71" t="str">
        <x:v>同项目反推可比基期</x:v>
      </x:c>
      <x:c r="J43" s="71" t="str">
        <x:v>补全跨年趋势与21项目×9科目覆盖</x:v>
      </x:c>
      <x:c r="K43" s="71" t="str">
        <x:v>SYNTHETIC_FOR_DEMO</x:v>
      </x:c>
      <x:c r="L43" s="74" t="n">
        <x:v>46249</x:v>
      </x:c>
      <x:c r="M43" s="62" t="str">
        <x:v>S002</x:v>
      </x:c>
      <x:c r="N43" s="62" t="str">
        <x:v>SIMULATED_CURATED-v0.1</x:v>
      </x:c>
    </x:row>
    <x:row r="44" ht="44" customHeight="1">
      <x:c r="A44" s="62" t="str">
        <x:v>CHG-IMP-022</x:v>
      </x:c>
      <x:c r="B44" s="62" t="str">
        <x:v>2024实际</x:v>
      </x:c>
      <x:c r="C44" s="71" t="str">
        <x:v>2025年实际执行.xlsx</x:v>
      </x:c>
      <x:c r="D44" s="71" t="str">
        <x:v>Sheet</x:v>
      </x:c>
      <x:c r="E44" s="71" t="str">
        <x:v>Sheet!184:184</x:v>
      </x:c>
      <x:c r="F44" s="71" t="str">
        <x:v>差旅费金额</x:v>
      </x:c>
      <x:c r="G44" s="71" t="str">
        <x:v>2024源缺失</x:v>
      </x:c>
      <x:c r="H44" s="71" t="str">
        <x:v>DOC1182: 2025参考金额/(1+6.0%)</x:v>
      </x:c>
      <x:c r="I44" s="71" t="str">
        <x:v>同项目反推可比基期</x:v>
      </x:c>
      <x:c r="J44" s="71" t="str">
        <x:v>补全跨年趋势与21项目×9科目覆盖</x:v>
      </x:c>
      <x:c r="K44" s="71" t="str">
        <x:v>SYNTHETIC_FOR_DEMO</x:v>
      </x:c>
      <x:c r="L44" s="74" t="n">
        <x:v>46249</x:v>
      </x:c>
      <x:c r="M44" s="62" t="str">
        <x:v>S002</x:v>
      </x:c>
      <x:c r="N44" s="62" t="str">
        <x:v>SIMULATED_CURATED-v0.1</x:v>
      </x:c>
    </x:row>
    <x:row r="45" ht="44" customHeight="1">
      <x:c r="A45" s="62" t="str">
        <x:v>CHG-IMP-023</x:v>
      </x:c>
      <x:c r="B45" s="62" t="str">
        <x:v>2024实际</x:v>
      </x:c>
      <x:c r="C45" s="71" t="str">
        <x:v>2025年实际执行.xlsx</x:v>
      </x:c>
      <x:c r="D45" s="71" t="str">
        <x:v>Sheet</x:v>
      </x:c>
      <x:c r="E45" s="71" t="str">
        <x:v>Sheet!185:185</x:v>
      </x:c>
      <x:c r="F45" s="71" t="str">
        <x:v>差旅费金额</x:v>
      </x:c>
      <x:c r="G45" s="71" t="str">
        <x:v>2024源缺失</x:v>
      </x:c>
      <x:c r="H45" s="71" t="str">
        <x:v>DOC1183: 2025参考金额/(1+6.0%)</x:v>
      </x:c>
      <x:c r="I45" s="71" t="str">
        <x:v>同项目反推可比基期</x:v>
      </x:c>
      <x:c r="J45" s="71" t="str">
        <x:v>补全跨年趋势与21项目×9科目覆盖</x:v>
      </x:c>
      <x:c r="K45" s="71" t="str">
        <x:v>SYNTHETIC_FOR_DEMO</x:v>
      </x:c>
      <x:c r="L45" s="74" t="n">
        <x:v>46249</x:v>
      </x:c>
      <x:c r="M45" s="62" t="str">
        <x:v>S002</x:v>
      </x:c>
      <x:c r="N45" s="62" t="str">
        <x:v>SIMULATED_CURATED-v0.1</x:v>
      </x:c>
    </x:row>
    <x:row r="46" ht="44" customHeight="1">
      <x:c r="A46" s="62" t="str">
        <x:v>CHG-IMP-024</x:v>
      </x:c>
      <x:c r="B46" s="62" t="str">
        <x:v>2024实际</x:v>
      </x:c>
      <x:c r="C46" s="71" t="str">
        <x:v>2025年实际执行.xlsx</x:v>
      </x:c>
      <x:c r="D46" s="71" t="str">
        <x:v>Sheet</x:v>
      </x:c>
      <x:c r="E46" s="71" t="str">
        <x:v>Sheet!186:186</x:v>
      </x:c>
      <x:c r="F46" s="71" t="str">
        <x:v>差旅费金额</x:v>
      </x:c>
      <x:c r="G46" s="71" t="str">
        <x:v>2024源缺失</x:v>
      </x:c>
      <x:c r="H46" s="71" t="str">
        <x:v>DOC1184: 2025参考金额/(1+6.0%)</x:v>
      </x:c>
      <x:c r="I46" s="71" t="str">
        <x:v>同项目反推可比基期</x:v>
      </x:c>
      <x:c r="J46" s="71" t="str">
        <x:v>补全跨年趋势与21项目×9科目覆盖</x:v>
      </x:c>
      <x:c r="K46" s="71" t="str">
        <x:v>SYNTHETIC_FOR_DEMO</x:v>
      </x:c>
      <x:c r="L46" s="74" t="n">
        <x:v>46249</x:v>
      </x:c>
      <x:c r="M46" s="62" t="str">
        <x:v>S002</x:v>
      </x:c>
      <x:c r="N46" s="62" t="str">
        <x:v>SIMULATED_CURATED-v0.1</x:v>
      </x:c>
    </x:row>
    <x:row r="47" ht="44" customHeight="1">
      <x:c r="A47" s="62" t="str">
        <x:v>CHG-IMP-025</x:v>
      </x:c>
      <x:c r="B47" s="62" t="str">
        <x:v>2024实际</x:v>
      </x:c>
      <x:c r="C47" s="71" t="str">
        <x:v>2025年实际执行.xlsx</x:v>
      </x:c>
      <x:c r="D47" s="71" t="str">
        <x:v>Sheet</x:v>
      </x:c>
      <x:c r="E47" s="71" t="str">
        <x:v>Sheet!187:187</x:v>
      </x:c>
      <x:c r="F47" s="71" t="str">
        <x:v>差旅费金额</x:v>
      </x:c>
      <x:c r="G47" s="71" t="str">
        <x:v>2024源缺失</x:v>
      </x:c>
      <x:c r="H47" s="71" t="str">
        <x:v>DOC1185: 2025参考金额/(1+8.0%)</x:v>
      </x:c>
      <x:c r="I47" s="71" t="str">
        <x:v>同项目反推可比基期</x:v>
      </x:c>
      <x:c r="J47" s="71" t="str">
        <x:v>补全跨年趋势与21项目×9科目覆盖</x:v>
      </x:c>
      <x:c r="K47" s="71" t="str">
        <x:v>SYNTHETIC_FOR_DEMO</x:v>
      </x:c>
      <x:c r="L47" s="74" t="n">
        <x:v>46249</x:v>
      </x:c>
      <x:c r="M47" s="62" t="str">
        <x:v>S002</x:v>
      </x:c>
      <x:c r="N47" s="62" t="str">
        <x:v>SIMULATED_CURATED-v0.1</x:v>
      </x:c>
    </x:row>
    <x:row r="48" ht="44" customHeight="1">
      <x:c r="A48" s="62" t="str">
        <x:v>CHG-IMP-026</x:v>
      </x:c>
      <x:c r="B48" s="62" t="str">
        <x:v>2024实际</x:v>
      </x:c>
      <x:c r="C48" s="71" t="str">
        <x:v>2025年实际执行.xlsx</x:v>
      </x:c>
      <x:c r="D48" s="71" t="str">
        <x:v>Sheet</x:v>
      </x:c>
      <x:c r="E48" s="71" t="str">
        <x:v>Sheet!188:188</x:v>
      </x:c>
      <x:c r="F48" s="71" t="str">
        <x:v>差旅费金额</x:v>
      </x:c>
      <x:c r="G48" s="71" t="str">
        <x:v>2024源缺失</x:v>
      </x:c>
      <x:c r="H48" s="71" t="str">
        <x:v>DOC1186: 2025参考金额/(1+8.0%)</x:v>
      </x:c>
      <x:c r="I48" s="71" t="str">
        <x:v>同项目反推可比基期</x:v>
      </x:c>
      <x:c r="J48" s="71" t="str">
        <x:v>补全跨年趋势与21项目×9科目覆盖</x:v>
      </x:c>
      <x:c r="K48" s="71" t="str">
        <x:v>SYNTHETIC_FOR_DEMO</x:v>
      </x:c>
      <x:c r="L48" s="74" t="n">
        <x:v>46249</x:v>
      </x:c>
      <x:c r="M48" s="62" t="str">
        <x:v>S002</x:v>
      </x:c>
      <x:c r="N48" s="62" t="str">
        <x:v>SIMULATED_CURATED-v0.1</x:v>
      </x:c>
    </x:row>
    <x:row r="49" ht="44" customHeight="1">
      <x:c r="A49" s="62" t="str">
        <x:v>CHG-IMP-027</x:v>
      </x:c>
      <x:c r="B49" s="62" t="str">
        <x:v>2024实际</x:v>
      </x:c>
      <x:c r="C49" s="71" t="str">
        <x:v>2025年实际执行.xlsx</x:v>
      </x:c>
      <x:c r="D49" s="71" t="str">
        <x:v>Sheet</x:v>
      </x:c>
      <x:c r="E49" s="71" t="str">
        <x:v>Sheet!189:189</x:v>
      </x:c>
      <x:c r="F49" s="71" t="str">
        <x:v>差旅费金额</x:v>
      </x:c>
      <x:c r="G49" s="71" t="str">
        <x:v>2024源缺失</x:v>
      </x:c>
      <x:c r="H49" s="71" t="str">
        <x:v>DOC1187: 2025参考金额/(1+8.0%)</x:v>
      </x:c>
      <x:c r="I49" s="71" t="str">
        <x:v>同项目反推可比基期</x:v>
      </x:c>
      <x:c r="J49" s="71" t="str">
        <x:v>补全跨年趋势与21项目×9科目覆盖</x:v>
      </x:c>
      <x:c r="K49" s="71" t="str">
        <x:v>SYNTHETIC_FOR_DEMO</x:v>
      </x:c>
      <x:c r="L49" s="74" t="n">
        <x:v>46249</x:v>
      </x:c>
      <x:c r="M49" s="62" t="str">
        <x:v>S002</x:v>
      </x:c>
      <x:c r="N49" s="62" t="str">
        <x:v>SIMULATED_CURATED-v0.1</x:v>
      </x:c>
    </x:row>
    <x:row r="50" ht="44" customHeight="1">
      <x:c r="A50" s="62" t="str">
        <x:v>CHG-IMP-028</x:v>
      </x:c>
      <x:c r="B50" s="62" t="str">
        <x:v>2024实际</x:v>
      </x:c>
      <x:c r="C50" s="71" t="str">
        <x:v>2025年实际执行.xlsx</x:v>
      </x:c>
      <x:c r="D50" s="71" t="str">
        <x:v>Sheet</x:v>
      </x:c>
      <x:c r="E50" s="71" t="str">
        <x:v>Sheet!190:190</x:v>
      </x:c>
      <x:c r="F50" s="71" t="str">
        <x:v>差旅费金额</x:v>
      </x:c>
      <x:c r="G50" s="71" t="str">
        <x:v>2024源缺失</x:v>
      </x:c>
      <x:c r="H50" s="71" t="str">
        <x:v>DOC1188: 2025参考金额/(1+8.0%)</x:v>
      </x:c>
      <x:c r="I50" s="71" t="str">
        <x:v>同项目反推可比基期</x:v>
      </x:c>
      <x:c r="J50" s="71" t="str">
        <x:v>补全跨年趋势与21项目×9科目覆盖</x:v>
      </x:c>
      <x:c r="K50" s="71" t="str">
        <x:v>SYNTHETIC_FOR_DEMO</x:v>
      </x:c>
      <x:c r="L50" s="74" t="n">
        <x:v>46249</x:v>
      </x:c>
      <x:c r="M50" s="62" t="str">
        <x:v>S002</x:v>
      </x:c>
      <x:c r="N50" s="62" t="str">
        <x:v>SIMULATED_CURATED-v0.1</x:v>
      </x:c>
    </x:row>
    <x:row r="51" ht="44" customHeight="1">
      <x:c r="A51" s="62" t="str">
        <x:v>CHG-IMP-029</x:v>
      </x:c>
      <x:c r="B51" s="62" t="str">
        <x:v>2024实际</x:v>
      </x:c>
      <x:c r="C51" s="71" t="str">
        <x:v>2025年实际执行.xlsx</x:v>
      </x:c>
      <x:c r="D51" s="71" t="str">
        <x:v>Sheet</x:v>
      </x:c>
      <x:c r="E51" s="71" t="str">
        <x:v>Sheet!191:191</x:v>
      </x:c>
      <x:c r="F51" s="71" t="str">
        <x:v>差旅费金额</x:v>
      </x:c>
      <x:c r="G51" s="71" t="str">
        <x:v>2024源缺失</x:v>
      </x:c>
      <x:c r="H51" s="71" t="str">
        <x:v>DOC1189: 2025参考金额/(1+8.0%)</x:v>
      </x:c>
      <x:c r="I51" s="71" t="str">
        <x:v>同项目反推可比基期</x:v>
      </x:c>
      <x:c r="J51" s="71" t="str">
        <x:v>补全跨年趋势与21项目×9科目覆盖</x:v>
      </x:c>
      <x:c r="K51" s="71" t="str">
        <x:v>SYNTHETIC_FOR_DEMO</x:v>
      </x:c>
      <x:c r="L51" s="74" t="n">
        <x:v>46249</x:v>
      </x:c>
      <x:c r="M51" s="62" t="str">
        <x:v>S002</x:v>
      </x:c>
      <x:c r="N51" s="62" t="str">
        <x:v>SIMULATED_CURATED-v0.1</x:v>
      </x:c>
    </x:row>
    <x:row r="52" ht="44" customHeight="1">
      <x:c r="A52" s="62" t="str">
        <x:v>CHG-IMP-030</x:v>
      </x:c>
      <x:c r="B52" s="62" t="str">
        <x:v>2024实际</x:v>
      </x:c>
      <x:c r="C52" s="71" t="str">
        <x:v>2025年实际执行.xlsx</x:v>
      </x:c>
      <x:c r="D52" s="71" t="str">
        <x:v>Sheet</x:v>
      </x:c>
      <x:c r="E52" s="71" t="str">
        <x:v>Sheet!192:192</x:v>
      </x:c>
      <x:c r="F52" s="71" t="str">
        <x:v>差旅费金额</x:v>
      </x:c>
      <x:c r="G52" s="71" t="str">
        <x:v>2024源缺失</x:v>
      </x:c>
      <x:c r="H52" s="71" t="str">
        <x:v>DOC1190: 2025参考金额/(1+8.0%)</x:v>
      </x:c>
      <x:c r="I52" s="71" t="str">
        <x:v>同项目反推可比基期</x:v>
      </x:c>
      <x:c r="J52" s="71" t="str">
        <x:v>补全跨年趋势与21项目×9科目覆盖</x:v>
      </x:c>
      <x:c r="K52" s="71" t="str">
        <x:v>SYNTHETIC_FOR_DEMO</x:v>
      </x:c>
      <x:c r="L52" s="74" t="n">
        <x:v>46249</x:v>
      </x:c>
      <x:c r="M52" s="62" t="str">
        <x:v>S002</x:v>
      </x:c>
      <x:c r="N52" s="62" t="str">
        <x:v>SIMULATED_CURATED-v0.1</x:v>
      </x:c>
    </x:row>
    <x:row r="53" ht="44" customHeight="1">
      <x:c r="A53" s="62" t="str">
        <x:v>CHG-IMP-031</x:v>
      </x:c>
      <x:c r="B53" s="62" t="str">
        <x:v>2024实际</x:v>
      </x:c>
      <x:c r="C53" s="71" t="str">
        <x:v>2025年实际执行.xlsx</x:v>
      </x:c>
      <x:c r="D53" s="71" t="str">
        <x:v>Sheet</x:v>
      </x:c>
      <x:c r="E53" s="71" t="str">
        <x:v>Sheet!193:193</x:v>
      </x:c>
      <x:c r="F53" s="71" t="str">
        <x:v>差旅费金额</x:v>
      </x:c>
      <x:c r="G53" s="71" t="str">
        <x:v>2024源缺失</x:v>
      </x:c>
      <x:c r="H53" s="71" t="str">
        <x:v>DOC1191: 2025参考金额/(1+8.0%)</x:v>
      </x:c>
      <x:c r="I53" s="71" t="str">
        <x:v>同项目反推可比基期</x:v>
      </x:c>
      <x:c r="J53" s="71" t="str">
        <x:v>补全跨年趋势与21项目×9科目覆盖</x:v>
      </x:c>
      <x:c r="K53" s="71" t="str">
        <x:v>SYNTHETIC_FOR_DEMO</x:v>
      </x:c>
      <x:c r="L53" s="74" t="n">
        <x:v>46249</x:v>
      </x:c>
      <x:c r="M53" s="62" t="str">
        <x:v>S002</x:v>
      </x:c>
      <x:c r="N53" s="62" t="str">
        <x:v>SIMULATED_CURATED-v0.1</x:v>
      </x:c>
    </x:row>
    <x:row r="54" ht="44" customHeight="1">
      <x:c r="A54" s="62" t="str">
        <x:v>CHG-IMP-032</x:v>
      </x:c>
      <x:c r="B54" s="62" t="str">
        <x:v>2024实际</x:v>
      </x:c>
      <x:c r="C54" s="71" t="str">
        <x:v>2025年实际执行.xlsx</x:v>
      </x:c>
      <x:c r="D54" s="71" t="str">
        <x:v>Sheet</x:v>
      </x:c>
      <x:c r="E54" s="71" t="str">
        <x:v>Sheet!194:194</x:v>
      </x:c>
      <x:c r="F54" s="71" t="str">
        <x:v>差旅费金额</x:v>
      </x:c>
      <x:c r="G54" s="71" t="str">
        <x:v>2024源缺失</x:v>
      </x:c>
      <x:c r="H54" s="71" t="str">
        <x:v>DOC1192: 2025参考金额/(1+8.0%)</x:v>
      </x:c>
      <x:c r="I54" s="71" t="str">
        <x:v>同项目反推可比基期</x:v>
      </x:c>
      <x:c r="J54" s="71" t="str">
        <x:v>补全跨年趋势与21项目×9科目覆盖</x:v>
      </x:c>
      <x:c r="K54" s="71" t="str">
        <x:v>SYNTHETIC_FOR_DEMO</x:v>
      </x:c>
      <x:c r="L54" s="74" t="n">
        <x:v>46249</x:v>
      </x:c>
      <x:c r="M54" s="62" t="str">
        <x:v>S002</x:v>
      </x:c>
      <x:c r="N54" s="62" t="str">
        <x:v>SIMULATED_CURATED-v0.1</x:v>
      </x:c>
    </x:row>
    <x:row r="55" ht="44" customHeight="1">
      <x:c r="A55" s="62" t="str">
        <x:v>CHG-IMP-033</x:v>
      </x:c>
      <x:c r="B55" s="62" t="str">
        <x:v>2024实际</x:v>
      </x:c>
      <x:c r="C55" s="71" t="str">
        <x:v>2025年实际执行.xlsx</x:v>
      </x:c>
      <x:c r="D55" s="71" t="str">
        <x:v>Sheet</x:v>
      </x:c>
      <x:c r="E55" s="71" t="str">
        <x:v>Sheet!195:195</x:v>
      </x:c>
      <x:c r="F55" s="71" t="str">
        <x:v>差旅费金额</x:v>
      </x:c>
      <x:c r="G55" s="71" t="str">
        <x:v>2024源缺失</x:v>
      </x:c>
      <x:c r="H55" s="71" t="str">
        <x:v>DOC1193: 2025参考金额/(1+8.0%)</x:v>
      </x:c>
      <x:c r="I55" s="71" t="str">
        <x:v>同项目反推可比基期</x:v>
      </x:c>
      <x:c r="J55" s="71" t="str">
        <x:v>补全跨年趋势与21项目×9科目覆盖</x:v>
      </x:c>
      <x:c r="K55" s="71" t="str">
        <x:v>SYNTHETIC_FOR_DEMO</x:v>
      </x:c>
      <x:c r="L55" s="74" t="n">
        <x:v>46249</x:v>
      </x:c>
      <x:c r="M55" s="62" t="str">
        <x:v>S002</x:v>
      </x:c>
      <x:c r="N55" s="62" t="str">
        <x:v>SIMULATED_CURATED-v0.1</x:v>
      </x:c>
    </x:row>
    <x:row r="56" ht="44" customHeight="1">
      <x:c r="A56" s="62" t="str">
        <x:v>CHG-IMP-034</x:v>
      </x:c>
      <x:c r="B56" s="62" t="str">
        <x:v>2024实际</x:v>
      </x:c>
      <x:c r="C56" s="71" t="str">
        <x:v>2025年实际执行.xlsx</x:v>
      </x:c>
      <x:c r="D56" s="71" t="str">
        <x:v>Sheet</x:v>
      </x:c>
      <x:c r="E56" s="71" t="str">
        <x:v>Sheet!196:196</x:v>
      </x:c>
      <x:c r="F56" s="71" t="str">
        <x:v>差旅费金额</x:v>
      </x:c>
      <x:c r="G56" s="71" t="str">
        <x:v>2024源缺失</x:v>
      </x:c>
      <x:c r="H56" s="71" t="str">
        <x:v>DOC1194: 2025参考金额/(1+10.0%)</x:v>
      </x:c>
      <x:c r="I56" s="71" t="str">
        <x:v>同项目反推可比基期</x:v>
      </x:c>
      <x:c r="J56" s="71" t="str">
        <x:v>补全跨年趋势与21项目×9科目覆盖</x:v>
      </x:c>
      <x:c r="K56" s="71" t="str">
        <x:v>SYNTHETIC_FOR_DEMO</x:v>
      </x:c>
      <x:c r="L56" s="74" t="n">
        <x:v>46249</x:v>
      </x:c>
      <x:c r="M56" s="62" t="str">
        <x:v>S002</x:v>
      </x:c>
      <x:c r="N56" s="62" t="str">
        <x:v>SIMULATED_CURATED-v0.1</x:v>
      </x:c>
    </x:row>
    <x:row r="57" ht="44" customHeight="1">
      <x:c r="A57" s="62" t="str">
        <x:v>CHG-IMP-035</x:v>
      </x:c>
      <x:c r="B57" s="62" t="str">
        <x:v>2024实际</x:v>
      </x:c>
      <x:c r="C57" s="71" t="str">
        <x:v>2025年实际执行.xlsx</x:v>
      </x:c>
      <x:c r="D57" s="71" t="str">
        <x:v>Sheet</x:v>
      </x:c>
      <x:c r="E57" s="71" t="str">
        <x:v>Sheet!197:197</x:v>
      </x:c>
      <x:c r="F57" s="71" t="str">
        <x:v>差旅费金额</x:v>
      </x:c>
      <x:c r="G57" s="71" t="str">
        <x:v>2024源缺失</x:v>
      </x:c>
      <x:c r="H57" s="71" t="str">
        <x:v>DOC1195: 2025参考金额/(1+10.0%)</x:v>
      </x:c>
      <x:c r="I57" s="71" t="str">
        <x:v>同项目反推可比基期</x:v>
      </x:c>
      <x:c r="J57" s="71" t="str">
        <x:v>补全跨年趋势与21项目×9科目覆盖</x:v>
      </x:c>
      <x:c r="K57" s="71" t="str">
        <x:v>SYNTHETIC_FOR_DEMO</x:v>
      </x:c>
      <x:c r="L57" s="74" t="n">
        <x:v>46249</x:v>
      </x:c>
      <x:c r="M57" s="62" t="str">
        <x:v>S002</x:v>
      </x:c>
      <x:c r="N57" s="62" t="str">
        <x:v>SIMULATED_CURATED-v0.1</x:v>
      </x:c>
    </x:row>
    <x:row r="58" ht="44" customHeight="1">
      <x:c r="A58" s="62" t="str">
        <x:v>CHG-IMP-036</x:v>
      </x:c>
      <x:c r="B58" s="62" t="str">
        <x:v>2024实际</x:v>
      </x:c>
      <x:c r="C58" s="71" t="str">
        <x:v>2025年实际执行.xlsx</x:v>
      </x:c>
      <x:c r="D58" s="71" t="str">
        <x:v>Sheet</x:v>
      </x:c>
      <x:c r="E58" s="71" t="str">
        <x:v>Sheet!198:198</x:v>
      </x:c>
      <x:c r="F58" s="71" t="str">
        <x:v>差旅费金额</x:v>
      </x:c>
      <x:c r="G58" s="71" t="str">
        <x:v>2024源缺失</x:v>
      </x:c>
      <x:c r="H58" s="71" t="str">
        <x:v>DOC1196: 2025参考金额/(1+10.0%)</x:v>
      </x:c>
      <x:c r="I58" s="71" t="str">
        <x:v>同项目反推可比基期</x:v>
      </x:c>
      <x:c r="J58" s="71" t="str">
        <x:v>补全跨年趋势与21项目×9科目覆盖</x:v>
      </x:c>
      <x:c r="K58" s="71" t="str">
        <x:v>SYNTHETIC_FOR_DEMO</x:v>
      </x:c>
      <x:c r="L58" s="74" t="n">
        <x:v>46249</x:v>
      </x:c>
      <x:c r="M58" s="62" t="str">
        <x:v>S002</x:v>
      </x:c>
      <x:c r="N58" s="62" t="str">
        <x:v>SIMULATED_CURATED-v0.1</x:v>
      </x:c>
    </x:row>
    <x:row r="59" ht="44" customHeight="1">
      <x:c r="A59" s="62" t="str">
        <x:v>CHG-IMP-037</x:v>
      </x:c>
      <x:c r="B59" s="62" t="str">
        <x:v>2024实际</x:v>
      </x:c>
      <x:c r="C59" s="71" t="str">
        <x:v>2025年实际执行.xlsx</x:v>
      </x:c>
      <x:c r="D59" s="71" t="str">
        <x:v>Sheet</x:v>
      </x:c>
      <x:c r="E59" s="71" t="str">
        <x:v>Sheet!199:199</x:v>
      </x:c>
      <x:c r="F59" s="71" t="str">
        <x:v>差旅费金额</x:v>
      </x:c>
      <x:c r="G59" s="71" t="str">
        <x:v>2024源缺失</x:v>
      </x:c>
      <x:c r="H59" s="71" t="str">
        <x:v>DOC1197: 2025参考金额/(1+10.0%)</x:v>
      </x:c>
      <x:c r="I59" s="71" t="str">
        <x:v>同项目反推可比基期</x:v>
      </x:c>
      <x:c r="J59" s="71" t="str">
        <x:v>补全跨年趋势与21项目×9科目覆盖</x:v>
      </x:c>
      <x:c r="K59" s="71" t="str">
        <x:v>SYNTHETIC_FOR_DEMO</x:v>
      </x:c>
      <x:c r="L59" s="74" t="n">
        <x:v>46249</x:v>
      </x:c>
      <x:c r="M59" s="62" t="str">
        <x:v>S002</x:v>
      </x:c>
      <x:c r="N59" s="62" t="str">
        <x:v>SIMULATED_CURATED-v0.1</x:v>
      </x:c>
    </x:row>
    <x:row r="60" ht="44" customHeight="1">
      <x:c r="A60" s="62" t="str">
        <x:v>CHG-IMP-038</x:v>
      </x:c>
      <x:c r="B60" s="62" t="str">
        <x:v>2024实际</x:v>
      </x:c>
      <x:c r="C60" s="71" t="str">
        <x:v>2025年实际执行.xlsx</x:v>
      </x:c>
      <x:c r="D60" s="71" t="str">
        <x:v>Sheet</x:v>
      </x:c>
      <x:c r="E60" s="71" t="str">
        <x:v>Sheet!200:200</x:v>
      </x:c>
      <x:c r="F60" s="71" t="str">
        <x:v>差旅费金额</x:v>
      </x:c>
      <x:c r="G60" s="71" t="str">
        <x:v>2024源缺失</x:v>
      </x:c>
      <x:c r="H60" s="71" t="str">
        <x:v>DOC1198: 2025参考金额/(1+10.0%)</x:v>
      </x:c>
      <x:c r="I60" s="71" t="str">
        <x:v>同项目反推可比基期</x:v>
      </x:c>
      <x:c r="J60" s="71" t="str">
        <x:v>补全跨年趋势与21项目×9科目覆盖</x:v>
      </x:c>
      <x:c r="K60" s="71" t="str">
        <x:v>SYNTHETIC_FOR_DEMO</x:v>
      </x:c>
      <x:c r="L60" s="74" t="n">
        <x:v>46249</x:v>
      </x:c>
      <x:c r="M60" s="62" t="str">
        <x:v>S002</x:v>
      </x:c>
      <x:c r="N60" s="62" t="str">
        <x:v>SIMULATED_CURATED-v0.1</x:v>
      </x:c>
    </x:row>
    <x:row r="61" ht="44" customHeight="1">
      <x:c r="A61" s="62" t="str">
        <x:v>CHG-IMP-039</x:v>
      </x:c>
      <x:c r="B61" s="62" t="str">
        <x:v>2024实际</x:v>
      </x:c>
      <x:c r="C61" s="71" t="str">
        <x:v>2025年实际执行.xlsx</x:v>
      </x:c>
      <x:c r="D61" s="71" t="str">
        <x:v>Sheet</x:v>
      </x:c>
      <x:c r="E61" s="71" t="str">
        <x:v>Sheet!201:201</x:v>
      </x:c>
      <x:c r="F61" s="71" t="str">
        <x:v>差旅费金额</x:v>
      </x:c>
      <x:c r="G61" s="71" t="str">
        <x:v>2024源缺失</x:v>
      </x:c>
      <x:c r="H61" s="71" t="str">
        <x:v>DOC1199: 2025参考金额/(1+10.0%)</x:v>
      </x:c>
      <x:c r="I61" s="71" t="str">
        <x:v>同项目反推可比基期</x:v>
      </x:c>
      <x:c r="J61" s="71" t="str">
        <x:v>补全跨年趋势与21项目×9科目覆盖</x:v>
      </x:c>
      <x:c r="K61" s="71" t="str">
        <x:v>SYNTHETIC_FOR_DEMO</x:v>
      </x:c>
      <x:c r="L61" s="74" t="n">
        <x:v>46249</x:v>
      </x:c>
      <x:c r="M61" s="62" t="str">
        <x:v>S002</x:v>
      </x:c>
      <x:c r="N61" s="62" t="str">
        <x:v>SIMULATED_CURATED-v0.1</x:v>
      </x:c>
    </x:row>
    <x:row r="62" ht="44" customHeight="1">
      <x:c r="A62" s="62" t="str">
        <x:v>CHG-IMP-040</x:v>
      </x:c>
      <x:c r="B62" s="62" t="str">
        <x:v>2024实际</x:v>
      </x:c>
      <x:c r="C62" s="71" t="str">
        <x:v>2025年实际执行.xlsx</x:v>
      </x:c>
      <x:c r="D62" s="71" t="str">
        <x:v>Sheet</x:v>
      </x:c>
      <x:c r="E62" s="71" t="str">
        <x:v>Sheet!202:202</x:v>
      </x:c>
      <x:c r="F62" s="71" t="str">
        <x:v>差旅费金额</x:v>
      </x:c>
      <x:c r="G62" s="71" t="str">
        <x:v>2024源缺失</x:v>
      </x:c>
      <x:c r="H62" s="71" t="str">
        <x:v>DOC1200: 2025参考金额/(1+10.0%)</x:v>
      </x:c>
      <x:c r="I62" s="71" t="str">
        <x:v>同项目反推可比基期</x:v>
      </x:c>
      <x:c r="J62" s="71" t="str">
        <x:v>补全跨年趋势与21项目×9科目覆盖</x:v>
      </x:c>
      <x:c r="K62" s="71" t="str">
        <x:v>SYNTHETIC_FOR_DEMO</x:v>
      </x:c>
      <x:c r="L62" s="74" t="n">
        <x:v>46249</x:v>
      </x:c>
      <x:c r="M62" s="62" t="str">
        <x:v>S002</x:v>
      </x:c>
      <x:c r="N62" s="62" t="str">
        <x:v>SIMULATED_CURATED-v0.1</x:v>
      </x:c>
    </x:row>
    <x:row r="63" ht="44" customHeight="1">
      <x:c r="A63" s="62" t="str">
        <x:v>CHG-IMP-041</x:v>
      </x:c>
      <x:c r="B63" s="62" t="str">
        <x:v>2024实际</x:v>
      </x:c>
      <x:c r="C63" s="71" t="str">
        <x:v>2025年实际执行.xlsx</x:v>
      </x:c>
      <x:c r="D63" s="71" t="str">
        <x:v>Sheet</x:v>
      </x:c>
      <x:c r="E63" s="71" t="str">
        <x:v>Sheet!203:203</x:v>
      </x:c>
      <x:c r="F63" s="71" t="str">
        <x:v>差旅费金额</x:v>
      </x:c>
      <x:c r="G63" s="71" t="str">
        <x:v>2024源缺失</x:v>
      </x:c>
      <x:c r="H63" s="71" t="str">
        <x:v>DOC1201: 2025参考金额/(1+10.0%)</x:v>
      </x:c>
      <x:c r="I63" s="71" t="str">
        <x:v>同项目反推可比基期</x:v>
      </x:c>
      <x:c r="J63" s="71" t="str">
        <x:v>补全跨年趋势与21项目×9科目覆盖</x:v>
      </x:c>
      <x:c r="K63" s="71" t="str">
        <x:v>SYNTHETIC_FOR_DEMO</x:v>
      </x:c>
      <x:c r="L63" s="74" t="n">
        <x:v>46249</x:v>
      </x:c>
      <x:c r="M63" s="62" t="str">
        <x:v>S002</x:v>
      </x:c>
      <x:c r="N63" s="62" t="str">
        <x:v>SIMULATED_CURATED-v0.1</x:v>
      </x:c>
    </x:row>
    <x:row r="64" ht="44" customHeight="1">
      <x:c r="A64" s="62" t="str">
        <x:v>CHG-IMP-042</x:v>
      </x:c>
      <x:c r="B64" s="62" t="str">
        <x:v>2024实际</x:v>
      </x:c>
      <x:c r="C64" s="71" t="str">
        <x:v>2025年实际执行.xlsx</x:v>
      </x:c>
      <x:c r="D64" s="71" t="str">
        <x:v>Sheet</x:v>
      </x:c>
      <x:c r="E64" s="71" t="str">
        <x:v>Sheet!204:204</x:v>
      </x:c>
      <x:c r="F64" s="71" t="str">
        <x:v>差旅费金额</x:v>
      </x:c>
      <x:c r="G64" s="71" t="str">
        <x:v>2024源缺失</x:v>
      </x:c>
      <x:c r="H64" s="71" t="str">
        <x:v>DOC1202: 2025参考金额/(1+10.0%)</x:v>
      </x:c>
      <x:c r="I64" s="71" t="str">
        <x:v>同项目反推可比基期</x:v>
      </x:c>
      <x:c r="J64" s="71" t="str">
        <x:v>补全跨年趋势与21项目×9科目覆盖</x:v>
      </x:c>
      <x:c r="K64" s="71" t="str">
        <x:v>SYNTHETIC_FOR_DEMO</x:v>
      </x:c>
      <x:c r="L64" s="74" t="n">
        <x:v>46249</x:v>
      </x:c>
      <x:c r="M64" s="62" t="str">
        <x:v>S002</x:v>
      </x:c>
      <x:c r="N64" s="62" t="str">
        <x:v>SIMULATED_CURATED-v0.1</x:v>
      </x:c>
    </x:row>
    <x:row r="65" ht="44" customHeight="1">
      <x:c r="A65" s="62" t="str">
        <x:v>CHG-PER-DOC2008</x:v>
      </x:c>
      <x:c r="B65" s="62" t="str">
        <x:v>2025实际</x:v>
      </x:c>
      <x:c r="C65" s="71" t="str">
        <x:v>2025年实际执行.xlsx</x:v>
      </x:c>
      <x:c r="D65" s="71" t="str">
        <x:v>Sheet</x:v>
      </x:c>
      <x:c r="E65" s="71" t="str">
        <x:v>Sheet!10:10</x:v>
      </x:c>
      <x:c r="F65" s="71" t="str">
        <x:v>过账期间</x:v>
      </x:c>
      <x:c r="G65" s="71" t="n">
        <x:v>5</x:v>
      </x:c>
      <x:c r="H65" s="71" t="n">
        <x:v>4</x:v>
      </x:c>
      <x:c r="I65" s="71" t="str">
        <x:v>过账日期月份为会计期间权威</x:v>
      </x:c>
      <x:c r="J65" s="71" t="str">
        <x:v>修复13条期间异常</x:v>
      </x:c>
      <x:c r="K65" s="71" t="str">
        <x:v>CORRECTED</x:v>
      </x:c>
      <x:c r="L65" s="74" t="n">
        <x:v>46249</x:v>
      </x:c>
      <x:c r="M65" s="62" t="str">
        <x:v>S002</x:v>
      </x:c>
      <x:c r="N65" s="62" t="str">
        <x:v>SIMULATED_CURATED-v0.1</x:v>
      </x:c>
    </x:row>
    <x:row r="66" ht="44" customHeight="1">
      <x:c r="A66" s="62" t="str">
        <x:v>CHG-PER-DOC2017</x:v>
      </x:c>
      <x:c r="B66" s="62" t="str">
        <x:v>2025实际</x:v>
      </x:c>
      <x:c r="C66" s="71" t="str">
        <x:v>2025年实际执行.xlsx</x:v>
      </x:c>
      <x:c r="D66" s="71" t="str">
        <x:v>Sheet</x:v>
      </x:c>
      <x:c r="E66" s="71" t="str">
        <x:v>Sheet!19:19</x:v>
      </x:c>
      <x:c r="F66" s="71" t="str">
        <x:v>过账期间</x:v>
      </x:c>
      <x:c r="G66" s="71" t="n">
        <x:v>6</x:v>
      </x:c>
      <x:c r="H66" s="71" t="n">
        <x:v>4</x:v>
      </x:c>
      <x:c r="I66" s="71" t="str">
        <x:v>过账日期月份为会计期间权威</x:v>
      </x:c>
      <x:c r="J66" s="71" t="str">
        <x:v>修复13条期间异常</x:v>
      </x:c>
      <x:c r="K66" s="71" t="str">
        <x:v>CORRECTED</x:v>
      </x:c>
      <x:c r="L66" s="74" t="n">
        <x:v>46249</x:v>
      </x:c>
      <x:c r="M66" s="62" t="str">
        <x:v>S002</x:v>
      </x:c>
      <x:c r="N66" s="62" t="str">
        <x:v>SIMULATED_CURATED-v0.1</x:v>
      </x:c>
    </x:row>
    <x:row r="67" ht="44" customHeight="1">
      <x:c r="A67" s="62" t="str">
        <x:v>CHG-DAT-DOC2017</x:v>
      </x:c>
      <x:c r="B67" s="62" t="str">
        <x:v>2025实际</x:v>
      </x:c>
      <x:c r="C67" s="71" t="str">
        <x:v>2025年实际执行.xlsx</x:v>
      </x:c>
      <x:c r="D67" s="71" t="str">
        <x:v>Sheet</x:v>
      </x:c>
      <x:c r="E67" s="71" t="str">
        <x:v>Sheet!19:19</x:v>
      </x:c>
      <x:c r="F67" s="71" t="str">
        <x:v>凭证日期</x:v>
      </x:c>
      <x:c r="G67" s="71" t="str">
        <x:v>2025-06-20</x:v>
      </x:c>
      <x:c r="H67" s="71" t="str">
        <x:v>2025-04-20</x:v>
      </x:c>
      <x:c r="I67" s="71" t="str">
        <x:v>凭证日期不得晚于过账日期</x:v>
      </x:c>
      <x:c r="J67" s="71" t="str">
        <x:v>修复6条日期倒置</x:v>
      </x:c>
      <x:c r="K67" s="71" t="str">
        <x:v>CORRECTED</x:v>
      </x:c>
      <x:c r="L67" s="74" t="n">
        <x:v>46249</x:v>
      </x:c>
      <x:c r="M67" s="62" t="str">
        <x:v>S002</x:v>
      </x:c>
      <x:c r="N67" s="62" t="str">
        <x:v>SIMULATED_CURATED-v0.1</x:v>
      </x:c>
    </x:row>
    <x:row r="68" ht="44" customHeight="1">
      <x:c r="A68" s="62" t="str">
        <x:v>CHG-PER-DOC2034</x:v>
      </x:c>
      <x:c r="B68" s="62" t="str">
        <x:v>2025实际</x:v>
      </x:c>
      <x:c r="C68" s="71" t="str">
        <x:v>2025年实际执行.xlsx</x:v>
      </x:c>
      <x:c r="D68" s="71" t="str">
        <x:v>Sheet</x:v>
      </x:c>
      <x:c r="E68" s="71" t="str">
        <x:v>Sheet!36:36</x:v>
      </x:c>
      <x:c r="F68" s="71" t="str">
        <x:v>过账期间</x:v>
      </x:c>
      <x:c r="G68" s="71" t="n">
        <x:v>5</x:v>
      </x:c>
      <x:c r="H68" s="71" t="n">
        <x:v>4</x:v>
      </x:c>
      <x:c r="I68" s="71" t="str">
        <x:v>过账日期月份为会计期间权威</x:v>
      </x:c>
      <x:c r="J68" s="71" t="str">
        <x:v>修复13条期间异常</x:v>
      </x:c>
      <x:c r="K68" s="71" t="str">
        <x:v>CORRECTED</x:v>
      </x:c>
      <x:c r="L68" s="74" t="n">
        <x:v>46249</x:v>
      </x:c>
      <x:c r="M68" s="62" t="str">
        <x:v>S002</x:v>
      </x:c>
      <x:c r="N68" s="62" t="str">
        <x:v>SIMULATED_CURATED-v0.1</x:v>
      </x:c>
    </x:row>
    <x:row r="69" ht="44" customHeight="1">
      <x:c r="A69" s="62" t="str">
        <x:v>CHG-PER-DOC2043</x:v>
      </x:c>
      <x:c r="B69" s="62" t="str">
        <x:v>2025实际</x:v>
      </x:c>
      <x:c r="C69" s="71" t="str">
        <x:v>2025年实际执行.xlsx</x:v>
      </x:c>
      <x:c r="D69" s="71" t="str">
        <x:v>Sheet</x:v>
      </x:c>
      <x:c r="E69" s="71" t="str">
        <x:v>Sheet!45:45</x:v>
      </x:c>
      <x:c r="F69" s="71" t="str">
        <x:v>过账期间</x:v>
      </x:c>
      <x:c r="G69" s="71" t="n">
        <x:v>4</x:v>
      </x:c>
      <x:c r="H69" s="71" t="n">
        <x:v>3</x:v>
      </x:c>
      <x:c r="I69" s="71" t="str">
        <x:v>过账日期月份为会计期间权威</x:v>
      </x:c>
      <x:c r="J69" s="71" t="str">
        <x:v>修复13条期间异常</x:v>
      </x:c>
      <x:c r="K69" s="71" t="str">
        <x:v>CORRECTED</x:v>
      </x:c>
      <x:c r="L69" s="74" t="n">
        <x:v>46249</x:v>
      </x:c>
      <x:c r="M69" s="62" t="str">
        <x:v>S002</x:v>
      </x:c>
      <x:c r="N69" s="62" t="str">
        <x:v>SIMULATED_CURATED-v0.1</x:v>
      </x:c>
    </x:row>
    <x:row r="70" ht="44" customHeight="1">
      <x:c r="A70" s="62" t="str">
        <x:v>CHG-DAT-DOC2043</x:v>
      </x:c>
      <x:c r="B70" s="62" t="str">
        <x:v>2025实际</x:v>
      </x:c>
      <x:c r="C70" s="71" t="str">
        <x:v>2025年实际执行.xlsx</x:v>
      </x:c>
      <x:c r="D70" s="71" t="str">
        <x:v>Sheet</x:v>
      </x:c>
      <x:c r="E70" s="71" t="str">
        <x:v>Sheet!45:45</x:v>
      </x:c>
      <x:c r="F70" s="71" t="str">
        <x:v>凭证日期</x:v>
      </x:c>
      <x:c r="G70" s="71" t="str">
        <x:v>2025-06-20</x:v>
      </x:c>
      <x:c r="H70" s="71" t="str">
        <x:v>2025-03-20</x:v>
      </x:c>
      <x:c r="I70" s="71" t="str">
        <x:v>凭证日期不得晚于过账日期</x:v>
      </x:c>
      <x:c r="J70" s="71" t="str">
        <x:v>修复6条日期倒置</x:v>
      </x:c>
      <x:c r="K70" s="71" t="str">
        <x:v>CORRECTED</x:v>
      </x:c>
      <x:c r="L70" s="74" t="n">
        <x:v>46249</x:v>
      </x:c>
      <x:c r="M70" s="62" t="str">
        <x:v>S002</x:v>
      </x:c>
      <x:c r="N70" s="62" t="str">
        <x:v>SIMULATED_CURATED-v0.1</x:v>
      </x:c>
    </x:row>
    <x:row r="71" ht="44" customHeight="1">
      <x:c r="A71" s="62" t="str">
        <x:v>CHG-PER-DOC2060</x:v>
      </x:c>
      <x:c r="B71" s="62" t="str">
        <x:v>2025实际</x:v>
      </x:c>
      <x:c r="C71" s="71" t="str">
        <x:v>2025年实际执行.xlsx</x:v>
      </x:c>
      <x:c r="D71" s="71" t="str">
        <x:v>Sheet</x:v>
      </x:c>
      <x:c r="E71" s="71" t="str">
        <x:v>Sheet!62:62</x:v>
      </x:c>
      <x:c r="F71" s="71" t="str">
        <x:v>过账期间</x:v>
      </x:c>
      <x:c r="G71" s="71" t="n">
        <x:v>5</x:v>
      </x:c>
      <x:c r="H71" s="71" t="n">
        <x:v>3</x:v>
      </x:c>
      <x:c r="I71" s="71" t="str">
        <x:v>过账日期月份为会计期间权威</x:v>
      </x:c>
      <x:c r="J71" s="71" t="str">
        <x:v>修复13条期间异常</x:v>
      </x:c>
      <x:c r="K71" s="71" t="str">
        <x:v>CORRECTED</x:v>
      </x:c>
      <x:c r="L71" s="74" t="n">
        <x:v>46249</x:v>
      </x:c>
      <x:c r="M71" s="62" t="str">
        <x:v>S002</x:v>
      </x:c>
      <x:c r="N71" s="62" t="str">
        <x:v>SIMULATED_CURATED-v0.1</x:v>
      </x:c>
    </x:row>
    <x:row r="72" ht="44" customHeight="1">
      <x:c r="A72" s="62" t="str">
        <x:v>CHG-DAT-DOC2060</x:v>
      </x:c>
      <x:c r="B72" s="62" t="str">
        <x:v>2025实际</x:v>
      </x:c>
      <x:c r="C72" s="71" t="str">
        <x:v>2025年实际执行.xlsx</x:v>
      </x:c>
      <x:c r="D72" s="71" t="str">
        <x:v>Sheet</x:v>
      </x:c>
      <x:c r="E72" s="71" t="str">
        <x:v>Sheet!62:62</x:v>
      </x:c>
      <x:c r="F72" s="71" t="str">
        <x:v>凭证日期</x:v>
      </x:c>
      <x:c r="G72" s="71" t="str">
        <x:v>2025-05-20</x:v>
      </x:c>
      <x:c r="H72" s="71" t="str">
        <x:v>2025-03-20</x:v>
      </x:c>
      <x:c r="I72" s="71" t="str">
        <x:v>凭证日期不得晚于过账日期</x:v>
      </x:c>
      <x:c r="J72" s="71" t="str">
        <x:v>修复6条日期倒置</x:v>
      </x:c>
      <x:c r="K72" s="71" t="str">
        <x:v>CORRECTED</x:v>
      </x:c>
      <x:c r="L72" s="74" t="n">
        <x:v>46249</x:v>
      </x:c>
      <x:c r="M72" s="62" t="str">
        <x:v>S002</x:v>
      </x:c>
      <x:c r="N72" s="62" t="str">
        <x:v>SIMULATED_CURATED-v0.1</x:v>
      </x:c>
    </x:row>
    <x:row r="73" ht="44" customHeight="1">
      <x:c r="A73" s="62" t="str">
        <x:v>CHG-PER-DOC2069</x:v>
      </x:c>
      <x:c r="B73" s="62" t="str">
        <x:v>2025实际</x:v>
      </x:c>
      <x:c r="C73" s="71" t="str">
        <x:v>2025年实际执行.xlsx</x:v>
      </x:c>
      <x:c r="D73" s="71" t="str">
        <x:v>Sheet</x:v>
      </x:c>
      <x:c r="E73" s="71" t="str">
        <x:v>Sheet!71:71</x:v>
      </x:c>
      <x:c r="F73" s="71" t="str">
        <x:v>过账期间</x:v>
      </x:c>
      <x:c r="G73" s="71" t="n">
        <x:v>5</x:v>
      </x:c>
      <x:c r="H73" s="71" t="n">
        <x:v>3</x:v>
      </x:c>
      <x:c r="I73" s="71" t="str">
        <x:v>过账日期月份为会计期间权威</x:v>
      </x:c>
      <x:c r="J73" s="71" t="str">
        <x:v>修复13条期间异常</x:v>
      </x:c>
      <x:c r="K73" s="71" t="str">
        <x:v>CORRECTED</x:v>
      </x:c>
      <x:c r="L73" s="74" t="n">
        <x:v>46249</x:v>
      </x:c>
      <x:c r="M73" s="62" t="str">
        <x:v>S002</x:v>
      </x:c>
      <x:c r="N73" s="62" t="str">
        <x:v>SIMULATED_CURATED-v0.1</x:v>
      </x:c>
    </x:row>
    <x:row r="74" ht="44" customHeight="1">
      <x:c r="A74" s="62" t="str">
        <x:v>CHG-DAT-DOC2069</x:v>
      </x:c>
      <x:c r="B74" s="62" t="str">
        <x:v>2025实际</x:v>
      </x:c>
      <x:c r="C74" s="71" t="str">
        <x:v>2025年实际执行.xlsx</x:v>
      </x:c>
      <x:c r="D74" s="71" t="str">
        <x:v>Sheet</x:v>
      </x:c>
      <x:c r="E74" s="71" t="str">
        <x:v>Sheet!71:71</x:v>
      </x:c>
      <x:c r="F74" s="71" t="str">
        <x:v>凭证日期</x:v>
      </x:c>
      <x:c r="G74" s="71" t="str">
        <x:v>2025-04-20</x:v>
      </x:c>
      <x:c r="H74" s="71" t="str">
        <x:v>2025-03-20</x:v>
      </x:c>
      <x:c r="I74" s="71" t="str">
        <x:v>凭证日期不得晚于过账日期</x:v>
      </x:c>
      <x:c r="J74" s="71" t="str">
        <x:v>修复6条日期倒置</x:v>
      </x:c>
      <x:c r="K74" s="71" t="str">
        <x:v>CORRECTED</x:v>
      </x:c>
      <x:c r="L74" s="74" t="n">
        <x:v>46249</x:v>
      </x:c>
      <x:c r="M74" s="62" t="str">
        <x:v>S002</x:v>
      </x:c>
      <x:c r="N74" s="62" t="str">
        <x:v>SIMULATED_CURATED-v0.1</x:v>
      </x:c>
    </x:row>
    <x:row r="75" ht="44" customHeight="1">
      <x:c r="A75" s="62" t="str">
        <x:v>CHG-PER-DOC2086</x:v>
      </x:c>
      <x:c r="B75" s="62" t="str">
        <x:v>2025实际</x:v>
      </x:c>
      <x:c r="C75" s="71" t="str">
        <x:v>2025年实际执行.xlsx</x:v>
      </x:c>
      <x:c r="D75" s="71" t="str">
        <x:v>Sheet</x:v>
      </x:c>
      <x:c r="E75" s="71" t="str">
        <x:v>Sheet!88:88</x:v>
      </x:c>
      <x:c r="F75" s="71" t="str">
        <x:v>过账期间</x:v>
      </x:c>
      <x:c r="G75" s="71" t="n">
        <x:v>5</x:v>
      </x:c>
      <x:c r="H75" s="71" t="n">
        <x:v>3</x:v>
      </x:c>
      <x:c r="I75" s="71" t="str">
        <x:v>过账日期月份为会计期间权威</x:v>
      </x:c>
      <x:c r="J75" s="71" t="str">
        <x:v>修复13条期间异常</x:v>
      </x:c>
      <x:c r="K75" s="71" t="str">
        <x:v>CORRECTED</x:v>
      </x:c>
      <x:c r="L75" s="74" t="n">
        <x:v>46249</x:v>
      </x:c>
      <x:c r="M75" s="62" t="str">
        <x:v>S002</x:v>
      </x:c>
      <x:c r="N75" s="62" t="str">
        <x:v>SIMULATED_CURATED-v0.1</x:v>
      </x:c>
    </x:row>
    <x:row r="76" ht="44" customHeight="1">
      <x:c r="A76" s="62" t="str">
        <x:v>CHG-DAT-DOC2086</x:v>
      </x:c>
      <x:c r="B76" s="62" t="str">
        <x:v>2025实际</x:v>
      </x:c>
      <x:c r="C76" s="71" t="str">
        <x:v>2025年实际执行.xlsx</x:v>
      </x:c>
      <x:c r="D76" s="71" t="str">
        <x:v>Sheet</x:v>
      </x:c>
      <x:c r="E76" s="71" t="str">
        <x:v>Sheet!88:88</x:v>
      </x:c>
      <x:c r="F76" s="71" t="str">
        <x:v>凭证日期</x:v>
      </x:c>
      <x:c r="G76" s="71" t="str">
        <x:v>2025-06-20</x:v>
      </x:c>
      <x:c r="H76" s="71" t="str">
        <x:v>2025-03-20</x:v>
      </x:c>
      <x:c r="I76" s="71" t="str">
        <x:v>凭证日期不得晚于过账日期</x:v>
      </x:c>
      <x:c r="J76" s="71" t="str">
        <x:v>修复6条日期倒置</x:v>
      </x:c>
      <x:c r="K76" s="71" t="str">
        <x:v>CORRECTED</x:v>
      </x:c>
      <x:c r="L76" s="74" t="n">
        <x:v>46249</x:v>
      </x:c>
      <x:c r="M76" s="62" t="str">
        <x:v>S002</x:v>
      </x:c>
      <x:c r="N76" s="62" t="str">
        <x:v>SIMULATED_CURATED-v0.1</x:v>
      </x:c>
    </x:row>
    <x:row r="77" ht="44" customHeight="1">
      <x:c r="A77" s="62" t="str">
        <x:v>CHG-PER-DOC2095</x:v>
      </x:c>
      <x:c r="B77" s="62" t="str">
        <x:v>2025实际</x:v>
      </x:c>
      <x:c r="C77" s="71" t="str">
        <x:v>2025年实际执行.xlsx</x:v>
      </x:c>
      <x:c r="D77" s="71" t="str">
        <x:v>Sheet</x:v>
      </x:c>
      <x:c r="E77" s="71" t="str">
        <x:v>Sheet!97:97</x:v>
      </x:c>
      <x:c r="F77" s="71" t="str">
        <x:v>过账期间</x:v>
      </x:c>
      <x:c r="G77" s="71" t="n">
        <x:v>3</x:v>
      </x:c>
      <x:c r="H77" s="71" t="n">
        <x:v>6</x:v>
      </x:c>
      <x:c r="I77" s="71" t="str">
        <x:v>过账日期月份为会计期间权威</x:v>
      </x:c>
      <x:c r="J77" s="71" t="str">
        <x:v>修复13条期间异常</x:v>
      </x:c>
      <x:c r="K77" s="71" t="str">
        <x:v>CORRECTED</x:v>
      </x:c>
      <x:c r="L77" s="74" t="n">
        <x:v>46249</x:v>
      </x:c>
      <x:c r="M77" s="62" t="str">
        <x:v>S002</x:v>
      </x:c>
      <x:c r="N77" s="62" t="str">
        <x:v>SIMULATED_CURATED-v0.1</x:v>
      </x:c>
    </x:row>
    <x:row r="78" ht="44" customHeight="1">
      <x:c r="A78" s="62" t="str">
        <x:v>CHG-PER-DOC2112</x:v>
      </x:c>
      <x:c r="B78" s="62" t="str">
        <x:v>2025实际</x:v>
      </x:c>
      <x:c r="C78" s="71" t="str">
        <x:v>2025年实际执行.xlsx</x:v>
      </x:c>
      <x:c r="D78" s="71" t="str">
        <x:v>Sheet</x:v>
      </x:c>
      <x:c r="E78" s="71" t="str">
        <x:v>Sheet!114:114</x:v>
      </x:c>
      <x:c r="F78" s="71" t="str">
        <x:v>过账期间</x:v>
      </x:c>
      <x:c r="G78" s="71" t="n">
        <x:v>4</x:v>
      </x:c>
      <x:c r="H78" s="71" t="n">
        <x:v>5</x:v>
      </x:c>
      <x:c r="I78" s="71" t="str">
        <x:v>过账日期月份为会计期间权威</x:v>
      </x:c>
      <x:c r="J78" s="71" t="str">
        <x:v>修复13条期间异常</x:v>
      </x:c>
      <x:c r="K78" s="71" t="str">
        <x:v>CORRECTED</x:v>
      </x:c>
      <x:c r="L78" s="74" t="n">
        <x:v>46249</x:v>
      </x:c>
      <x:c r="M78" s="62" t="str">
        <x:v>S002</x:v>
      </x:c>
      <x:c r="N78" s="62" t="str">
        <x:v>SIMULATED_CURATED-v0.1</x:v>
      </x:c>
    </x:row>
    <x:row r="79" ht="44" customHeight="1">
      <x:c r="A79" s="62" t="str">
        <x:v>CHG-PER-DOC2121</x:v>
      </x:c>
      <x:c r="B79" s="62" t="str">
        <x:v>2025实际</x:v>
      </x:c>
      <x:c r="C79" s="71" t="str">
        <x:v>2025年实际执行.xlsx</x:v>
      </x:c>
      <x:c r="D79" s="71" t="str">
        <x:v>Sheet</x:v>
      </x:c>
      <x:c r="E79" s="71" t="str">
        <x:v>Sheet!123:123</x:v>
      </x:c>
      <x:c r="F79" s="71" t="str">
        <x:v>过账期间</x:v>
      </x:c>
      <x:c r="G79" s="71" t="n">
        <x:v>6</x:v>
      </x:c>
      <x:c r="H79" s="71" t="n">
        <x:v>4</x:v>
      </x:c>
      <x:c r="I79" s="71" t="str">
        <x:v>过账日期月份为会计期间权威</x:v>
      </x:c>
      <x:c r="J79" s="71" t="str">
        <x:v>修复13条期间异常</x:v>
      </x:c>
      <x:c r="K79" s="71" t="str">
        <x:v>CORRECTED</x:v>
      </x:c>
      <x:c r="L79" s="74" t="n">
        <x:v>46249</x:v>
      </x:c>
      <x:c r="M79" s="62" t="str">
        <x:v>S002</x:v>
      </x:c>
      <x:c r="N79" s="62" t="str">
        <x:v>SIMULATED_CURATED-v0.1</x:v>
      </x:c>
    </x:row>
    <x:row r="80" ht="44" customHeight="1">
      <x:c r="A80" s="62" t="str">
        <x:v>CHG-DAT-DOC2138</x:v>
      </x:c>
      <x:c r="B80" s="62" t="str">
        <x:v>2025实际</x:v>
      </x:c>
      <x:c r="C80" s="71" t="str">
        <x:v>2025年实际执行.xlsx</x:v>
      </x:c>
      <x:c r="D80" s="71" t="str">
        <x:v>Sheet</x:v>
      </x:c>
      <x:c r="E80" s="71" t="str">
        <x:v>Sheet!140:140</x:v>
      </x:c>
      <x:c r="F80" s="71" t="str">
        <x:v>凭证日期</x:v>
      </x:c>
      <x:c r="G80" s="71" t="str">
        <x:v>2025-04-20</x:v>
      </x:c>
      <x:c r="H80" s="71" t="str">
        <x:v>2025-03-20</x:v>
      </x:c>
      <x:c r="I80" s="71" t="str">
        <x:v>凭证日期不得晚于过账日期</x:v>
      </x:c>
      <x:c r="J80" s="71" t="str">
        <x:v>修复6条日期倒置</x:v>
      </x:c>
      <x:c r="K80" s="71" t="str">
        <x:v>CORRECTED</x:v>
      </x:c>
      <x:c r="L80" s="74" t="n">
        <x:v>46249</x:v>
      </x:c>
      <x:c r="M80" s="62" t="str">
        <x:v>S002</x:v>
      </x:c>
      <x:c r="N80" s="62" t="str">
        <x:v>SIMULATED_CURATED-v0.1</x:v>
      </x:c>
    </x:row>
    <x:row r="81" ht="44" customHeight="1">
      <x:c r="A81" s="62" t="str">
        <x:v>CHG-PER-DOC2147</x:v>
      </x:c>
      <x:c r="B81" s="62" t="str">
        <x:v>2025实际</x:v>
      </x:c>
      <x:c r="C81" s="71" t="str">
        <x:v>2025年实际执行.xlsx</x:v>
      </x:c>
      <x:c r="D81" s="71" t="str">
        <x:v>Sheet</x:v>
      </x:c>
      <x:c r="E81" s="71" t="str">
        <x:v>Sheet!149:149</x:v>
      </x:c>
      <x:c r="F81" s="71" t="str">
        <x:v>过账期间</x:v>
      </x:c>
      <x:c r="G81" s="71" t="n">
        <x:v>6</x:v>
      </x:c>
      <x:c r="H81" s="71" t="n">
        <x:v>4</x:v>
      </x:c>
      <x:c r="I81" s="71" t="str">
        <x:v>过账日期月份为会计期间权威</x:v>
      </x:c>
      <x:c r="J81" s="71" t="str">
        <x:v>修复13条期间异常</x:v>
      </x:c>
      <x:c r="K81" s="71" t="str">
        <x:v>CORRECTED</x:v>
      </x:c>
      <x:c r="L81" s="74" t="n">
        <x:v>46249</x:v>
      </x:c>
      <x:c r="M81" s="62" t="str">
        <x:v>S002</x:v>
      </x:c>
      <x:c r="N81" s="62" t="str">
        <x:v>SIMULATED_CURATED-v0.1</x:v>
      </x:c>
    </x:row>
    <x:row r="82" ht="44" customHeight="1">
      <x:c r="A82" s="62" t="str">
        <x:v>CHG-PER-DOC2164</x:v>
      </x:c>
      <x:c r="B82" s="62" t="str">
        <x:v>2025实际</x:v>
      </x:c>
      <x:c r="C82" s="71" t="str">
        <x:v>2025年实际执行.xlsx</x:v>
      </x:c>
      <x:c r="D82" s="71" t="str">
        <x:v>Sheet</x:v>
      </x:c>
      <x:c r="E82" s="71" t="str">
        <x:v>Sheet!166:166</x:v>
      </x:c>
      <x:c r="F82" s="71" t="str">
        <x:v>过账期间</x:v>
      </x:c>
      <x:c r="G82" s="71" t="n">
        <x:v>5</x:v>
      </x:c>
      <x:c r="H82" s="71" t="n">
        <x:v>6</x:v>
      </x:c>
      <x:c r="I82" s="71" t="str">
        <x:v>过账日期月份为会计期间权威</x:v>
      </x:c>
      <x:c r="J82" s="71" t="str">
        <x:v>修复13条期间异常</x:v>
      </x:c>
      <x:c r="K82" s="71" t="str">
        <x:v>CORRECTED</x:v>
      </x:c>
      <x:c r="L82" s="74" t="n">
        <x:v>46249</x:v>
      </x:c>
      <x:c r="M82" s="62" t="str">
        <x:v>S002</x:v>
      </x:c>
      <x:c r="N82" s="62" t="str">
        <x:v>SIMULATED_CURATED-v0.1</x:v>
      </x:c>
    </x:row>
    <x:row r="83" ht="44" customHeight="1">
      <x:c r="A83" s="62" t="str">
        <x:v>CHG-PER-DOC2173</x:v>
      </x:c>
      <x:c r="B83" s="62" t="str">
        <x:v>2025实际</x:v>
      </x:c>
      <x:c r="C83" s="71" t="str">
        <x:v>2025年实际执行.xlsx</x:v>
      </x:c>
      <x:c r="D83" s="71" t="str">
        <x:v>Sheet</x:v>
      </x:c>
      <x:c r="E83" s="71" t="str">
        <x:v>Sheet!175:175</x:v>
      </x:c>
      <x:c r="F83" s="71" t="str">
        <x:v>过账期间</x:v>
      </x:c>
      <x:c r="G83" s="71" t="n">
        <x:v>3</x:v>
      </x:c>
      <x:c r="H83" s="71" t="n">
        <x:v>6</x:v>
      </x:c>
      <x:c r="I83" s="71" t="str">
        <x:v>过账日期月份为会计期间权威</x:v>
      </x:c>
      <x:c r="J83" s="71" t="str">
        <x:v>修复13条期间异常</x:v>
      </x:c>
      <x:c r="K83" s="71" t="str">
        <x:v>CORRECTED</x:v>
      </x:c>
      <x:c r="L83" s="74" t="n">
        <x:v>46249</x:v>
      </x:c>
      <x:c r="M83" s="62" t="str">
        <x:v>S002</x:v>
      </x:c>
      <x:c r="N83" s="62" t="str">
        <x:v>SIMULATED_CURATED-v0.1</x:v>
      </x:c>
    </x:row>
    <x:row r="84" ht="44" customHeight="1">
      <x:c r="A84" s="62" t="str">
        <x:v>CHG-TXT-DOC2005</x:v>
      </x:c>
      <x:c r="B84" s="62" t="str">
        <x:v>2025实际</x:v>
      </x:c>
      <x:c r="C84" s="71" t="str">
        <x:v>2025年实际执行.xlsx</x:v>
      </x:c>
      <x:c r="D84" s="71" t="str">
        <x:v>Sheet</x:v>
      </x:c>
      <x:c r="E84" s="71" t="str">
        <x:v>Sheet!184:184</x:v>
      </x:c>
      <x:c r="F84" s="71" t="str">
        <x:v>文本</x:v>
      </x:c>
      <x:c r="G84" s="71" t="str">
        <x:v>设备维护材料运输</x:v>
      </x:c>
      <x:c r="H84" s="71" t="str">
        <x:v>设备维护项目差旅报销</x:v>
      </x:c>
      <x:c r="I84" s="71" t="str">
        <x:v>同凭证不同科目文本语义对齐</x:v>
      </x:c>
      <x:c r="J84" s="71" t="str">
        <x:v>避免合法双科目凭证被误判为重复造数</x:v>
      </x:c>
      <x:c r="K84" s="71" t="str">
        <x:v>CORRECTED</x:v>
      </x:c>
      <x:c r="L84" s="74" t="n">
        <x:v>46249</x:v>
      </x:c>
      <x:c r="M84" s="62" t="str">
        <x:v>S002</x:v>
      </x:c>
      <x:c r="N84" s="62" t="str">
        <x:v>SIMULATED_CURATED-v0.1</x:v>
      </x:c>
    </x:row>
    <x:row r="85" ht="44" customHeight="1">
      <x:c r="A85" s="62" t="str">
        <x:v>CHG-TXT-DOC2014</x:v>
      </x:c>
      <x:c r="B85" s="62" t="str">
        <x:v>2025实际</x:v>
      </x:c>
      <x:c r="C85" s="71" t="str">
        <x:v>2025年实际执行.xlsx</x:v>
      </x:c>
      <x:c r="D85" s="71" t="str">
        <x:v>Sheet</x:v>
      </x:c>
      <x:c r="E85" s="71" t="str">
        <x:v>Sheet!185:185</x:v>
      </x:c>
      <x:c r="F85" s="71" t="str">
        <x:v>文本</x:v>
      </x:c>
      <x:c r="G85" s="71" t="str">
        <x:v>设备维护材料运输</x:v>
      </x:c>
      <x:c r="H85" s="71" t="str">
        <x:v>设备维护项目差旅报销</x:v>
      </x:c>
      <x:c r="I85" s="71" t="str">
        <x:v>同凭证不同科目文本语义对齐</x:v>
      </x:c>
      <x:c r="J85" s="71" t="str">
        <x:v>避免合法双科目凭证被误判为重复造数</x:v>
      </x:c>
      <x:c r="K85" s="71" t="str">
        <x:v>CORRECTED</x:v>
      </x:c>
      <x:c r="L85" s="74" t="n">
        <x:v>46249</x:v>
      </x:c>
      <x:c r="M85" s="62" t="str">
        <x:v>S002</x:v>
      </x:c>
      <x:c r="N85" s="62" t="str">
        <x:v>SIMULATED_CURATED-v0.1</x:v>
      </x:c>
    </x:row>
    <x:row r="86" ht="44" customHeight="1">
      <x:c r="A86" s="62" t="str">
        <x:v>CHG-TXT-DOC2023</x:v>
      </x:c>
      <x:c r="B86" s="62" t="str">
        <x:v>2025实际</x:v>
      </x:c>
      <x:c r="C86" s="71" t="str">
        <x:v>2025年实际执行.xlsx</x:v>
      </x:c>
      <x:c r="D86" s="71" t="str">
        <x:v>Sheet</x:v>
      </x:c>
      <x:c r="E86" s="71" t="str">
        <x:v>Sheet!186:186</x:v>
      </x:c>
      <x:c r="F86" s="71" t="str">
        <x:v>文本</x:v>
      </x:c>
      <x:c r="G86" s="71" t="str">
        <x:v>设备维护材料运输</x:v>
      </x:c>
      <x:c r="H86" s="71" t="str">
        <x:v>设备维护项目差旅报销</x:v>
      </x:c>
      <x:c r="I86" s="71" t="str">
        <x:v>同凭证不同科目文本语义对齐</x:v>
      </x:c>
      <x:c r="J86" s="71" t="str">
        <x:v>避免合法双科目凭证被误判为重复造数</x:v>
      </x:c>
      <x:c r="K86" s="71" t="str">
        <x:v>CORRECTED</x:v>
      </x:c>
      <x:c r="L86" s="74" t="n">
        <x:v>46249</x:v>
      </x:c>
      <x:c r="M86" s="62" t="str">
        <x:v>S002</x:v>
      </x:c>
      <x:c r="N86" s="62" t="str">
        <x:v>SIMULATED_CURATED-v0.1</x:v>
      </x:c>
    </x:row>
    <x:row r="87" ht="44" customHeight="1">
      <x:c r="A87" s="62" t="str">
        <x:v>CHG-TXT-DOC2031</x:v>
      </x:c>
      <x:c r="B87" s="62" t="str">
        <x:v>2025实际</x:v>
      </x:c>
      <x:c r="C87" s="71" t="str">
        <x:v>2025年实际执行.xlsx</x:v>
      </x:c>
      <x:c r="D87" s="71" t="str">
        <x:v>Sheet</x:v>
      </x:c>
      <x:c r="E87" s="71" t="str">
        <x:v>Sheet!187:187</x:v>
      </x:c>
      <x:c r="F87" s="71" t="str">
        <x:v>文本</x:v>
      </x:c>
      <x:c r="G87" s="71" t="str">
        <x:v>热能动力研究材料运输</x:v>
      </x:c>
      <x:c r="H87" s="71" t="str">
        <x:v>热能动力研究项目差旅报销</x:v>
      </x:c>
      <x:c r="I87" s="71" t="str">
        <x:v>同凭证不同科目文本语义对齐</x:v>
      </x:c>
      <x:c r="J87" s="71" t="str">
        <x:v>避免合法双科目凭证被误判为重复造数</x:v>
      </x:c>
      <x:c r="K87" s="71" t="str">
        <x:v>CORRECTED</x:v>
      </x:c>
      <x:c r="L87" s="74" t="n">
        <x:v>46249</x:v>
      </x:c>
      <x:c r="M87" s="62" t="str">
        <x:v>S002</x:v>
      </x:c>
      <x:c r="N87" s="62" t="str">
        <x:v>SIMULATED_CURATED-v0.1</x:v>
      </x:c>
    </x:row>
    <x:row r="88" ht="44" customHeight="1">
      <x:c r="A88" s="62" t="str">
        <x:v>CHG-TXT-DOC2040</x:v>
      </x:c>
      <x:c r="B88" s="62" t="str">
        <x:v>2025实际</x:v>
      </x:c>
      <x:c r="C88" s="71" t="str">
        <x:v>2025年实际执行.xlsx</x:v>
      </x:c>
      <x:c r="D88" s="71" t="str">
        <x:v>Sheet</x:v>
      </x:c>
      <x:c r="E88" s="71" t="str">
        <x:v>Sheet!188:188</x:v>
      </x:c>
      <x:c r="F88" s="71" t="str">
        <x:v>文本</x:v>
      </x:c>
      <x:c r="G88" s="71" t="str">
        <x:v>热能动力研究材料运输</x:v>
      </x:c>
      <x:c r="H88" s="71" t="str">
        <x:v>热能动力研究项目差旅报销</x:v>
      </x:c>
      <x:c r="I88" s="71" t="str">
        <x:v>同凭证不同科目文本语义对齐</x:v>
      </x:c>
      <x:c r="J88" s="71" t="str">
        <x:v>避免合法双科目凭证被误判为重复造数</x:v>
      </x:c>
      <x:c r="K88" s="71" t="str">
        <x:v>CORRECTED</x:v>
      </x:c>
      <x:c r="L88" s="74" t="n">
        <x:v>46249</x:v>
      </x:c>
      <x:c r="M88" s="62" t="str">
        <x:v>S002</x:v>
      </x:c>
      <x:c r="N88" s="62" t="str">
        <x:v>SIMULATED_CURATED-v0.1</x:v>
      </x:c>
    </x:row>
    <x:row r="89" ht="44" customHeight="1">
      <x:c r="A89" s="62" t="str">
        <x:v>CHG-TXT-DOC2049</x:v>
      </x:c>
      <x:c r="B89" s="62" t="str">
        <x:v>2025实际</x:v>
      </x:c>
      <x:c r="C89" s="71" t="str">
        <x:v>2025年实际执行.xlsx</x:v>
      </x:c>
      <x:c r="D89" s="71" t="str">
        <x:v>Sheet</x:v>
      </x:c>
      <x:c r="E89" s="71" t="str">
        <x:v>Sheet!189:189</x:v>
      </x:c>
      <x:c r="F89" s="71" t="str">
        <x:v>文本</x:v>
      </x:c>
      <x:c r="G89" s="71" t="str">
        <x:v>热能动力研究材料运输</x:v>
      </x:c>
      <x:c r="H89" s="71" t="str">
        <x:v>热能动力研究项目差旅报销</x:v>
      </x:c>
      <x:c r="I89" s="71" t="str">
        <x:v>同凭证不同科目文本语义对齐</x:v>
      </x:c>
      <x:c r="J89" s="71" t="str">
        <x:v>避免合法双科目凭证被误判为重复造数</x:v>
      </x:c>
      <x:c r="K89" s="71" t="str">
        <x:v>CORRECTED</x:v>
      </x:c>
      <x:c r="L89" s="74" t="n">
        <x:v>46249</x:v>
      </x:c>
      <x:c r="M89" s="62" t="str">
        <x:v>S002</x:v>
      </x:c>
      <x:c r="N89" s="62" t="str">
        <x:v>SIMULATED_CURATED-v0.1</x:v>
      </x:c>
    </x:row>
    <x:row r="90" ht="44" customHeight="1">
      <x:c r="A90" s="62" t="str">
        <x:v>CHG-TXT-DOC2057</x:v>
      </x:c>
      <x:c r="B90" s="62" t="str">
        <x:v>2025实际</x:v>
      </x:c>
      <x:c r="C90" s="71" t="str">
        <x:v>2025年实际执行.xlsx</x:v>
      </x:c>
      <x:c r="D90" s="71" t="str">
        <x:v>Sheet</x:v>
      </x:c>
      <x:c r="E90" s="71" t="str">
        <x:v>Sheet!190:190</x:v>
      </x:c>
      <x:c r="F90" s="71" t="str">
        <x:v>文本</x:v>
      </x:c>
      <x:c r="G90" s="71" t="str">
        <x:v>经验反馈改进材料运输</x:v>
      </x:c>
      <x:c r="H90" s="71" t="str">
        <x:v>经验反馈改进项目差旅报销</x:v>
      </x:c>
      <x:c r="I90" s="71" t="str">
        <x:v>同凭证不同科目文本语义对齐</x:v>
      </x:c>
      <x:c r="J90" s="71" t="str">
        <x:v>避免合法双科目凭证被误判为重复造数</x:v>
      </x:c>
      <x:c r="K90" s="71" t="str">
        <x:v>CORRECTED</x:v>
      </x:c>
      <x:c r="L90" s="74" t="n">
        <x:v>46249</x:v>
      </x:c>
      <x:c r="M90" s="62" t="str">
        <x:v>S002</x:v>
      </x:c>
      <x:c r="N90" s="62" t="str">
        <x:v>SIMULATED_CURATED-v0.1</x:v>
      </x:c>
    </x:row>
    <x:row r="91" ht="44" customHeight="1">
      <x:c r="A91" s="62" t="str">
        <x:v>CHG-TXT-DOC2066</x:v>
      </x:c>
      <x:c r="B91" s="62" t="str">
        <x:v>2025实际</x:v>
      </x:c>
      <x:c r="C91" s="71" t="str">
        <x:v>2025年实际执行.xlsx</x:v>
      </x:c>
      <x:c r="D91" s="71" t="str">
        <x:v>Sheet</x:v>
      </x:c>
      <x:c r="E91" s="71" t="str">
        <x:v>Sheet!191:191</x:v>
      </x:c>
      <x:c r="F91" s="71" t="str">
        <x:v>文本</x:v>
      </x:c>
      <x:c r="G91" s="71" t="str">
        <x:v>经验反馈改进材料运输</x:v>
      </x:c>
      <x:c r="H91" s="71" t="str">
        <x:v>经验反馈改进项目差旅报销</x:v>
      </x:c>
      <x:c r="I91" s="71" t="str">
        <x:v>同凭证不同科目文本语义对齐</x:v>
      </x:c>
      <x:c r="J91" s="71" t="str">
        <x:v>避免合法双科目凭证被误判为重复造数</x:v>
      </x:c>
      <x:c r="K91" s="71" t="str">
        <x:v>CORRECTED</x:v>
      </x:c>
      <x:c r="L91" s="74" t="n">
        <x:v>46249</x:v>
      </x:c>
      <x:c r="M91" s="62" t="str">
        <x:v>S002</x:v>
      </x:c>
      <x:c r="N91" s="62" t="str">
        <x:v>SIMULATED_CURATED-v0.1</x:v>
      </x:c>
    </x:row>
    <x:row r="92" ht="44" customHeight="1">
      <x:c r="A92" s="62" t="str">
        <x:v>CHG-TXT-DOC2075</x:v>
      </x:c>
      <x:c r="B92" s="62" t="str">
        <x:v>2025实际</x:v>
      </x:c>
      <x:c r="C92" s="71" t="str">
        <x:v>2025年实际执行.xlsx</x:v>
      </x:c>
      <x:c r="D92" s="71" t="str">
        <x:v>Sheet</x:v>
      </x:c>
      <x:c r="E92" s="71" t="str">
        <x:v>Sheet!192:192</x:v>
      </x:c>
      <x:c r="F92" s="71" t="str">
        <x:v>文本</x:v>
      </x:c>
      <x:c r="G92" s="71" t="str">
        <x:v>经验反馈改进材料运输</x:v>
      </x:c>
      <x:c r="H92" s="71" t="str">
        <x:v>经验反馈改进项目差旅报销</x:v>
      </x:c>
      <x:c r="I92" s="71" t="str">
        <x:v>同凭证不同科目文本语义对齐</x:v>
      </x:c>
      <x:c r="J92" s="71" t="str">
        <x:v>避免合法双科目凭证被误判为重复造数</x:v>
      </x:c>
      <x:c r="K92" s="71" t="str">
        <x:v>CORRECTED</x:v>
      </x:c>
      <x:c r="L92" s="74" t="n">
        <x:v>46249</x:v>
      </x:c>
      <x:c r="M92" s="62" t="str">
        <x:v>S002</x:v>
      </x:c>
      <x:c r="N92" s="62" t="str">
        <x:v>SIMULATED_CURATED-v0.1</x:v>
      </x:c>
    </x:row>
    <x:row r="93" ht="44" customHeight="1">
      <x:c r="A93" s="62" t="str">
        <x:v>CHG-TXT-DOC2083</x:v>
      </x:c>
      <x:c r="B93" s="62" t="str">
        <x:v>2025实际</x:v>
      </x:c>
      <x:c r="C93" s="71" t="str">
        <x:v>2025年实际执行.xlsx</x:v>
      </x:c>
      <x:c r="D93" s="71" t="str">
        <x:v>Sheet</x:v>
      </x:c>
      <x:c r="E93" s="71" t="str">
        <x:v>Sheet!193:193</x:v>
      </x:c>
      <x:c r="F93" s="71" t="str">
        <x:v>文本</x:v>
      </x:c>
      <x:c r="G93" s="71" t="str">
        <x:v>新技术应用材料运输</x:v>
      </x:c>
      <x:c r="H93" s="71" t="str">
        <x:v>新技术应用项目差旅报销</x:v>
      </x:c>
      <x:c r="I93" s="71" t="str">
        <x:v>同凭证不同科目文本语义对齐</x:v>
      </x:c>
      <x:c r="J93" s="71" t="str">
        <x:v>避免合法双科目凭证被误判为重复造数</x:v>
      </x:c>
      <x:c r="K93" s="71" t="str">
        <x:v>CORRECTED</x:v>
      </x:c>
      <x:c r="L93" s="74" t="n">
        <x:v>46249</x:v>
      </x:c>
      <x:c r="M93" s="62" t="str">
        <x:v>S002</x:v>
      </x:c>
      <x:c r="N93" s="62" t="str">
        <x:v>SIMULATED_CURATED-v0.1</x:v>
      </x:c>
    </x:row>
    <x:row r="94" ht="44" customHeight="1">
      <x:c r="A94" s="62" t="str">
        <x:v>CHG-TXT-DOC2092</x:v>
      </x:c>
      <x:c r="B94" s="62" t="str">
        <x:v>2025实际</x:v>
      </x:c>
      <x:c r="C94" s="71" t="str">
        <x:v>2025年实际执行.xlsx</x:v>
      </x:c>
      <x:c r="D94" s="71" t="str">
        <x:v>Sheet</x:v>
      </x:c>
      <x:c r="E94" s="71" t="str">
        <x:v>Sheet!194:194</x:v>
      </x:c>
      <x:c r="F94" s="71" t="str">
        <x:v>文本</x:v>
      </x:c>
      <x:c r="G94" s="71" t="str">
        <x:v>新技术应用材料运输</x:v>
      </x:c>
      <x:c r="H94" s="71" t="str">
        <x:v>新技术应用项目差旅报销</x:v>
      </x:c>
      <x:c r="I94" s="71" t="str">
        <x:v>同凭证不同科目文本语义对齐</x:v>
      </x:c>
      <x:c r="J94" s="71" t="str">
        <x:v>避免合法双科目凭证被误判为重复造数</x:v>
      </x:c>
      <x:c r="K94" s="71" t="str">
        <x:v>CORRECTED</x:v>
      </x:c>
      <x:c r="L94" s="74" t="n">
        <x:v>46249</x:v>
      </x:c>
      <x:c r="M94" s="62" t="str">
        <x:v>S002</x:v>
      </x:c>
      <x:c r="N94" s="62" t="str">
        <x:v>SIMULATED_CURATED-v0.1</x:v>
      </x:c>
    </x:row>
    <x:row r="95" ht="44" customHeight="1">
      <x:c r="A95" s="62" t="str">
        <x:v>CHG-TXT-DOC2101</x:v>
      </x:c>
      <x:c r="B95" s="62" t="str">
        <x:v>2025实际</x:v>
      </x:c>
      <x:c r="C95" s="71" t="str">
        <x:v>2025年实际执行.xlsx</x:v>
      </x:c>
      <x:c r="D95" s="71" t="str">
        <x:v>Sheet</x:v>
      </x:c>
      <x:c r="E95" s="71" t="str">
        <x:v>Sheet!195:195</x:v>
      </x:c>
      <x:c r="F95" s="71" t="str">
        <x:v>文本</x:v>
      </x:c>
      <x:c r="G95" s="71" t="str">
        <x:v>新技术应用材料运输</x:v>
      </x:c>
      <x:c r="H95" s="71" t="str">
        <x:v>新技术应用项目差旅报销</x:v>
      </x:c>
      <x:c r="I95" s="71" t="str">
        <x:v>同凭证不同科目文本语义对齐</x:v>
      </x:c>
      <x:c r="J95" s="71" t="str">
        <x:v>避免合法双科目凭证被误判为重复造数</x:v>
      </x:c>
      <x:c r="K95" s="71" t="str">
        <x:v>CORRECTED</x:v>
      </x:c>
      <x:c r="L95" s="74" t="n">
        <x:v>46249</x:v>
      </x:c>
      <x:c r="M95" s="62" t="str">
        <x:v>S002</x:v>
      </x:c>
      <x:c r="N95" s="62" t="str">
        <x:v>SIMULATED_CURATED-v0.1</x:v>
      </x:c>
    </x:row>
    <x:row r="96" ht="44" customHeight="1">
      <x:c r="A96" s="62" t="str">
        <x:v>CHG-TXT-DOC2109</x:v>
      </x:c>
      <x:c r="B96" s="62" t="str">
        <x:v>2025实际</x:v>
      </x:c>
      <x:c r="C96" s="71" t="str">
        <x:v>2025年实际执行.xlsx</x:v>
      </x:c>
      <x:c r="D96" s="71" t="str">
        <x:v>Sheet</x:v>
      </x:c>
      <x:c r="E96" s="71" t="str">
        <x:v>Sheet!196:196</x:v>
      </x:c>
      <x:c r="F96" s="71" t="str">
        <x:v>文本</x:v>
      </x:c>
      <x:c r="G96" s="71" t="str">
        <x:v>概率安全分析材料运输</x:v>
      </x:c>
      <x:c r="H96" s="71" t="str">
        <x:v>概率安全分析项目差旅报销</x:v>
      </x:c>
      <x:c r="I96" s="71" t="str">
        <x:v>同凭证不同科目文本语义对齐</x:v>
      </x:c>
      <x:c r="J96" s="71" t="str">
        <x:v>避免合法双科目凭证被误判为重复造数</x:v>
      </x:c>
      <x:c r="K96" s="71" t="str">
        <x:v>CORRECTED</x:v>
      </x:c>
      <x:c r="L96" s="74" t="n">
        <x:v>46249</x:v>
      </x:c>
      <x:c r="M96" s="62" t="str">
        <x:v>S002</x:v>
      </x:c>
      <x:c r="N96" s="62" t="str">
        <x:v>SIMULATED_CURATED-v0.1</x:v>
      </x:c>
    </x:row>
    <x:row r="97" ht="44" customHeight="1">
      <x:c r="A97" s="62" t="str">
        <x:v>CHG-TXT-DOC2118</x:v>
      </x:c>
      <x:c r="B97" s="62" t="str">
        <x:v>2025实际</x:v>
      </x:c>
      <x:c r="C97" s="71" t="str">
        <x:v>2025年实际执行.xlsx</x:v>
      </x:c>
      <x:c r="D97" s="71" t="str">
        <x:v>Sheet</x:v>
      </x:c>
      <x:c r="E97" s="71" t="str">
        <x:v>Sheet!197:197</x:v>
      </x:c>
      <x:c r="F97" s="71" t="str">
        <x:v>文本</x:v>
      </x:c>
      <x:c r="G97" s="71" t="str">
        <x:v>概率安全分析材料运输</x:v>
      </x:c>
      <x:c r="H97" s="71" t="str">
        <x:v>概率安全分析项目差旅报销</x:v>
      </x:c>
      <x:c r="I97" s="71" t="str">
        <x:v>同凭证不同科目文本语义对齐</x:v>
      </x:c>
      <x:c r="J97" s="71" t="str">
        <x:v>避免合法双科目凭证被误判为重复造数</x:v>
      </x:c>
      <x:c r="K97" s="71" t="str">
        <x:v>CORRECTED</x:v>
      </x:c>
      <x:c r="L97" s="74" t="n">
        <x:v>46249</x:v>
      </x:c>
      <x:c r="M97" s="62" t="str">
        <x:v>S002</x:v>
      </x:c>
      <x:c r="N97" s="62" t="str">
        <x:v>SIMULATED_CURATED-v0.1</x:v>
      </x:c>
    </x:row>
    <x:row r="98" ht="44" customHeight="1">
      <x:c r="A98" s="62" t="str">
        <x:v>CHG-TXT-DOC2127</x:v>
      </x:c>
      <x:c r="B98" s="62" t="str">
        <x:v>2025实际</x:v>
      </x:c>
      <x:c r="C98" s="71" t="str">
        <x:v>2025年实际执行.xlsx</x:v>
      </x:c>
      <x:c r="D98" s="71" t="str">
        <x:v>Sheet</x:v>
      </x:c>
      <x:c r="E98" s="71" t="str">
        <x:v>Sheet!198:198</x:v>
      </x:c>
      <x:c r="F98" s="71" t="str">
        <x:v>文本</x:v>
      </x:c>
      <x:c r="G98" s="71" t="str">
        <x:v>概率安全分析材料运输</x:v>
      </x:c>
      <x:c r="H98" s="71" t="str">
        <x:v>概率安全分析项目差旅报销</x:v>
      </x:c>
      <x:c r="I98" s="71" t="str">
        <x:v>同凭证不同科目文本语义对齐</x:v>
      </x:c>
      <x:c r="J98" s="71" t="str">
        <x:v>避免合法双科目凭证被误判为重复造数</x:v>
      </x:c>
      <x:c r="K98" s="71" t="str">
        <x:v>CORRECTED</x:v>
      </x:c>
      <x:c r="L98" s="74" t="n">
        <x:v>46249</x:v>
      </x:c>
      <x:c r="M98" s="62" t="str">
        <x:v>S002</x:v>
      </x:c>
      <x:c r="N98" s="62" t="str">
        <x:v>SIMULATED_CURATED-v0.1</x:v>
      </x:c>
    </x:row>
    <x:row r="99" ht="44" customHeight="1">
      <x:c r="A99" s="62" t="str">
        <x:v>CHG-TXT-DOC2135</x:v>
      </x:c>
      <x:c r="B99" s="62" t="str">
        <x:v>2025实际</x:v>
      </x:c>
      <x:c r="C99" s="71" t="str">
        <x:v>2025年实际执行.xlsx</x:v>
      </x:c>
      <x:c r="D99" s="71" t="str">
        <x:v>Sheet</x:v>
      </x:c>
      <x:c r="E99" s="71" t="str">
        <x:v>Sheet!199:199</x:v>
      </x:c>
      <x:c r="F99" s="71" t="str">
        <x:v>文本</x:v>
      </x:c>
      <x:c r="G99" s="71" t="str">
        <x:v>灾害防护材料运输</x:v>
      </x:c>
      <x:c r="H99" s="71" t="str">
        <x:v>灾害防护项目差旅报销</x:v>
      </x:c>
      <x:c r="I99" s="71" t="str">
        <x:v>同凭证不同科目文本语义对齐</x:v>
      </x:c>
      <x:c r="J99" s="71" t="str">
        <x:v>避免合法双科目凭证被误判为重复造数</x:v>
      </x:c>
      <x:c r="K99" s="71" t="str">
        <x:v>CORRECTED</x:v>
      </x:c>
      <x:c r="L99" s="74" t="n">
        <x:v>46249</x:v>
      </x:c>
      <x:c r="M99" s="62" t="str">
        <x:v>S002</x:v>
      </x:c>
      <x:c r="N99" s="62" t="str">
        <x:v>SIMULATED_CURATED-v0.1</x:v>
      </x:c>
    </x:row>
    <x:row r="100" ht="44" customHeight="1">
      <x:c r="A100" s="62" t="str">
        <x:v>CHG-TXT-DOC2144</x:v>
      </x:c>
      <x:c r="B100" s="62" t="str">
        <x:v>2025实际</x:v>
      </x:c>
      <x:c r="C100" s="71" t="str">
        <x:v>2025年实际执行.xlsx</x:v>
      </x:c>
      <x:c r="D100" s="71" t="str">
        <x:v>Sheet</x:v>
      </x:c>
      <x:c r="E100" s="71" t="str">
        <x:v>Sheet!200:200</x:v>
      </x:c>
      <x:c r="F100" s="71" t="str">
        <x:v>文本</x:v>
      </x:c>
      <x:c r="G100" s="71" t="str">
        <x:v>灾害防护材料运输</x:v>
      </x:c>
      <x:c r="H100" s="71" t="str">
        <x:v>灾害防护项目差旅报销</x:v>
      </x:c>
      <x:c r="I100" s="71" t="str">
        <x:v>同凭证不同科目文本语义对齐</x:v>
      </x:c>
      <x:c r="J100" s="71" t="str">
        <x:v>避免合法双科目凭证被误判为重复造数</x:v>
      </x:c>
      <x:c r="K100" s="71" t="str">
        <x:v>CORRECTED</x:v>
      </x:c>
      <x:c r="L100" s="74" t="n">
        <x:v>46249</x:v>
      </x:c>
      <x:c r="M100" s="62" t="str">
        <x:v>S002</x:v>
      </x:c>
      <x:c r="N100" s="62" t="str">
        <x:v>SIMULATED_CURATED-v0.1</x:v>
      </x:c>
    </x:row>
    <x:row r="101" ht="44" customHeight="1">
      <x:c r="A101" s="62" t="str">
        <x:v>CHG-TXT-DOC2153</x:v>
      </x:c>
      <x:c r="B101" s="62" t="str">
        <x:v>2025实际</x:v>
      </x:c>
      <x:c r="C101" s="71" t="str">
        <x:v>2025年实际执行.xlsx</x:v>
      </x:c>
      <x:c r="D101" s="71" t="str">
        <x:v>Sheet</x:v>
      </x:c>
      <x:c r="E101" s="71" t="str">
        <x:v>Sheet!201:201</x:v>
      </x:c>
      <x:c r="F101" s="71" t="str">
        <x:v>文本</x:v>
      </x:c>
      <x:c r="G101" s="71" t="str">
        <x:v>灾害防护材料运输</x:v>
      </x:c>
      <x:c r="H101" s="71" t="str">
        <x:v>灾害防护项目差旅报销</x:v>
      </x:c>
      <x:c r="I101" s="71" t="str">
        <x:v>同凭证不同科目文本语义对齐</x:v>
      </x:c>
      <x:c r="J101" s="71" t="str">
        <x:v>避免合法双科目凭证被误判为重复造数</x:v>
      </x:c>
      <x:c r="K101" s="71" t="str">
        <x:v>CORRECTED</x:v>
      </x:c>
      <x:c r="L101" s="74" t="n">
        <x:v>46249</x:v>
      </x:c>
      <x:c r="M101" s="62" t="str">
        <x:v>S002</x:v>
      </x:c>
      <x:c r="N101" s="62" t="str">
        <x:v>SIMULATED_CURATED-v0.1</x:v>
      </x:c>
    </x:row>
    <x:row r="102" ht="44" customHeight="1">
      <x:c r="A102" s="62" t="str">
        <x:v>CHG-TXT-DOC2161</x:v>
      </x:c>
      <x:c r="B102" s="62" t="str">
        <x:v>2025实际</x:v>
      </x:c>
      <x:c r="C102" s="71" t="str">
        <x:v>2025年实际执行.xlsx</x:v>
      </x:c>
      <x:c r="D102" s="71" t="str">
        <x:v>Sheet</x:v>
      </x:c>
      <x:c r="E102" s="71" t="str">
        <x:v>Sheet!202:202</x:v>
      </x:c>
      <x:c r="F102" s="71" t="str">
        <x:v>文本</x:v>
      </x:c>
      <x:c r="G102" s="71" t="str">
        <x:v>安全评估材料运输</x:v>
      </x:c>
      <x:c r="H102" s="71" t="str">
        <x:v>安全评估项目差旅报销</x:v>
      </x:c>
      <x:c r="I102" s="71" t="str">
        <x:v>同凭证不同科目文本语义对齐</x:v>
      </x:c>
      <x:c r="J102" s="71" t="str">
        <x:v>避免合法双科目凭证被误判为重复造数</x:v>
      </x:c>
      <x:c r="K102" s="71" t="str">
        <x:v>CORRECTED</x:v>
      </x:c>
      <x:c r="L102" s="74" t="n">
        <x:v>46249</x:v>
      </x:c>
      <x:c r="M102" s="62" t="str">
        <x:v>S002</x:v>
      </x:c>
      <x:c r="N102" s="62" t="str">
        <x:v>SIMULATED_CURATED-v0.1</x:v>
      </x:c>
    </x:row>
    <x:row r="103" ht="44" customHeight="1">
      <x:c r="A103" s="62" t="str">
        <x:v>CHG-TXT-DOC2170</x:v>
      </x:c>
      <x:c r="B103" s="62" t="str">
        <x:v>2025实际</x:v>
      </x:c>
      <x:c r="C103" s="71" t="str">
        <x:v>2025年实际执行.xlsx</x:v>
      </x:c>
      <x:c r="D103" s="71" t="str">
        <x:v>Sheet</x:v>
      </x:c>
      <x:c r="E103" s="71" t="str">
        <x:v>Sheet!203:203</x:v>
      </x:c>
      <x:c r="F103" s="71" t="str">
        <x:v>文本</x:v>
      </x:c>
      <x:c r="G103" s="71" t="str">
        <x:v>安全评估材料运输</x:v>
      </x:c>
      <x:c r="H103" s="71" t="str">
        <x:v>安全评估项目差旅报销</x:v>
      </x:c>
      <x:c r="I103" s="71" t="str">
        <x:v>同凭证不同科目文本语义对齐</x:v>
      </x:c>
      <x:c r="J103" s="71" t="str">
        <x:v>避免合法双科目凭证被误判为重复造数</x:v>
      </x:c>
      <x:c r="K103" s="71" t="str">
        <x:v>CORRECTED</x:v>
      </x:c>
      <x:c r="L103" s="74" t="n">
        <x:v>46249</x:v>
      </x:c>
      <x:c r="M103" s="62" t="str">
        <x:v>S002</x:v>
      </x:c>
      <x:c r="N103" s="62" t="str">
        <x:v>SIMULATED_CURATED-v0.1</x:v>
      </x:c>
    </x:row>
    <x:row r="104" ht="44" customHeight="1">
      <x:c r="A104" s="62" t="str">
        <x:v>CHG-TXT-DOC2179</x:v>
      </x:c>
      <x:c r="B104" s="62" t="str">
        <x:v>2025实际</x:v>
      </x:c>
      <x:c r="C104" s="71" t="str">
        <x:v>2025年实际执行.xlsx</x:v>
      </x:c>
      <x:c r="D104" s="71" t="str">
        <x:v>Sheet</x:v>
      </x:c>
      <x:c r="E104" s="71" t="str">
        <x:v>Sheet!204:204</x:v>
      </x:c>
      <x:c r="F104" s="71" t="str">
        <x:v>文本</x:v>
      </x:c>
      <x:c r="G104" s="71" t="str">
        <x:v>安全评估材料运输</x:v>
      </x:c>
      <x:c r="H104" s="71" t="str">
        <x:v>安全评估项目差旅报销</x:v>
      </x:c>
      <x:c r="I104" s="71" t="str">
        <x:v>同凭证不同科目文本语义对齐</x:v>
      </x:c>
      <x:c r="J104" s="71" t="str">
        <x:v>避免合法双科目凭证被误判为重复造数</x:v>
      </x:c>
      <x:c r="K104" s="71" t="str">
        <x:v>CORRECTED</x:v>
      </x:c>
      <x:c r="L104" s="74" t="n">
        <x:v>46249</x:v>
      </x:c>
      <x:c r="M104" s="62" t="str">
        <x:v>S002</x:v>
      </x:c>
      <x:c r="N104" s="62" t="str">
        <x:v>SIMULATED_CURATED-v0.1</x:v>
      </x:c>
    </x:row>
    <x:row r="105" ht="44" customHeight="1">
      <x:c r="A105" s="62" t="str">
        <x:v>CHG-REV-001</x:v>
      </x:c>
      <x:c r="B105" s="62" t="str">
        <x:v>2025实际</x:v>
      </x:c>
      <x:c r="C105" s="71" t="str">
        <x:v>2024年实际执行.xlsx + 2025年实际执行.xlsx</x:v>
      </x:c>
      <x:c r="D105" s="71" t="str">
        <x:v>Sheet</x:v>
      </x:c>
      <x:c r="E105" s="71" t="str">
        <x:v>2024!9；2025!10</x:v>
      </x:c>
      <x:c r="F105" s="71" t="str">
        <x:v>计提冲回</x:v>
      </x:c>
      <x:c r="G105" s="71" t="str">
        <x:v>缺失</x:v>
      </x:c>
      <x:c r="H105" s="71" t="str">
        <x:v>DOC2182: -24.878</x:v>
      </x:c>
      <x:c r="I105" s="71" t="str">
        <x:v>2024已结计提在2025对应确认日冲回</x:v>
      </x:c>
      <x:c r="J105" s="71" t="str">
        <x:v>避免2024-2025累计实际重复计入</x:v>
      </x:c>
      <x:c r="K105" s="71" t="str">
        <x:v>DERIVED_REVERSAL</x:v>
      </x:c>
      <x:c r="L105" s="74" t="n">
        <x:v>46249</x:v>
      </x:c>
      <x:c r="M105" s="62" t="str">
        <x:v>S002</x:v>
      </x:c>
      <x:c r="N105" s="62" t="str">
        <x:v>SIMULATED_CURATED-v0.1</x:v>
      </x:c>
    </x:row>
    <x:row r="106" ht="44" customHeight="1">
      <x:c r="A106" s="62" t="str">
        <x:v>CHG-REV-002</x:v>
      </x:c>
      <x:c r="B106" s="62" t="str">
        <x:v>2025实际</x:v>
      </x:c>
      <x:c r="C106" s="71" t="str">
        <x:v>2024年实际执行.xlsx + 2025年实际执行.xlsx</x:v>
      </x:c>
      <x:c r="D106" s="71" t="str">
        <x:v>Sheet</x:v>
      </x:c>
      <x:c r="E106" s="71" t="str">
        <x:v>2024!17；2025!19</x:v>
      </x:c>
      <x:c r="F106" s="71" t="str">
        <x:v>计提冲回</x:v>
      </x:c>
      <x:c r="G106" s="71" t="str">
        <x:v>缺失</x:v>
      </x:c>
      <x:c r="H106" s="71" t="str">
        <x:v>DOC2183: -26.2045</x:v>
      </x:c>
      <x:c r="I106" s="71" t="str">
        <x:v>2024已结计提在2025对应确认日冲回</x:v>
      </x:c>
      <x:c r="J106" s="71" t="str">
        <x:v>避免2024-2025累计实际重复计入</x:v>
      </x:c>
      <x:c r="K106" s="71" t="str">
        <x:v>DERIVED_REVERSAL</x:v>
      </x:c>
      <x:c r="L106" s="74" t="n">
        <x:v>46249</x:v>
      </x:c>
      <x:c r="M106" s="62" t="str">
        <x:v>S002</x:v>
      </x:c>
      <x:c r="N106" s="62" t="str">
        <x:v>SIMULATED_CURATED-v0.1</x:v>
      </x:c>
    </x:row>
    <x:row r="107" ht="44" customHeight="1">
      <x:c r="A107" s="62" t="str">
        <x:v>CHG-REV-003</x:v>
      </x:c>
      <x:c r="B107" s="62" t="str">
        <x:v>2025实际</x:v>
      </x:c>
      <x:c r="C107" s="71" t="str">
        <x:v>2024年实际执行.xlsx + 2025年实际执行.xlsx</x:v>
      </x:c>
      <x:c r="D107" s="71" t="str">
        <x:v>Sheet</x:v>
      </x:c>
      <x:c r="E107" s="71" t="str">
        <x:v>2024!32；2025!36</x:v>
      </x:c>
      <x:c r="F107" s="71" t="str">
        <x:v>计提冲回</x:v>
      </x:c>
      <x:c r="G107" s="71" t="str">
        <x:v>缺失</x:v>
      </x:c>
      <x:c r="H107" s="71" t="str">
        <x:v>DOC2184: -5.019</x:v>
      </x:c>
      <x:c r="I107" s="71" t="str">
        <x:v>2024已结计提在2025对应确认日冲回</x:v>
      </x:c>
      <x:c r="J107" s="71" t="str">
        <x:v>避免2024-2025累计实际重复计入</x:v>
      </x:c>
      <x:c r="K107" s="71" t="str">
        <x:v>DERIVED_REVERSAL</x:v>
      </x:c>
      <x:c r="L107" s="74" t="n">
        <x:v>46249</x:v>
      </x:c>
      <x:c r="M107" s="62" t="str">
        <x:v>S002</x:v>
      </x:c>
      <x:c r="N107" s="62" t="str">
        <x:v>SIMULATED_CURATED-v0.1</x:v>
      </x:c>
    </x:row>
    <x:row r="108" ht="44" customHeight="1">
      <x:c r="A108" s="62" t="str">
        <x:v>CHG-REV-004</x:v>
      </x:c>
      <x:c r="B108" s="62" t="str">
        <x:v>2025实际</x:v>
      </x:c>
      <x:c r="C108" s="71" t="str">
        <x:v>2024年实际执行.xlsx + 2025年实际执行.xlsx</x:v>
      </x:c>
      <x:c r="D108" s="71" t="str">
        <x:v>Sheet</x:v>
      </x:c>
      <x:c r="E108" s="71" t="str">
        <x:v>2024!40；2025!45</x:v>
      </x:c>
      <x:c r="F108" s="71" t="str">
        <x:v>计提冲回</x:v>
      </x:c>
      <x:c r="G108" s="71" t="str">
        <x:v>缺失</x:v>
      </x:c>
      <x:c r="H108" s="71" t="str">
        <x:v>DOC2185: -5.327</x:v>
      </x:c>
      <x:c r="I108" s="71" t="str">
        <x:v>2024已结计提在2025对应确认日冲回</x:v>
      </x:c>
      <x:c r="J108" s="71" t="str">
        <x:v>避免2024-2025累计实际重复计入</x:v>
      </x:c>
      <x:c r="K108" s="71" t="str">
        <x:v>DERIVED_REVERSAL</x:v>
      </x:c>
      <x:c r="L108" s="74" t="n">
        <x:v>46249</x:v>
      </x:c>
      <x:c r="M108" s="62" t="str">
        <x:v>S002</x:v>
      </x:c>
      <x:c r="N108" s="62" t="str">
        <x:v>SIMULATED_CURATED-v0.1</x:v>
      </x:c>
    </x:row>
    <x:row r="109" ht="44" customHeight="1">
      <x:c r="A109" s="62" t="str">
        <x:v>CHG-REV-005</x:v>
      </x:c>
      <x:c r="B109" s="62" t="str">
        <x:v>2025实际</x:v>
      </x:c>
      <x:c r="C109" s="71" t="str">
        <x:v>2024年实际执行.xlsx + 2025年实际执行.xlsx</x:v>
      </x:c>
      <x:c r="D109" s="71" t="str">
        <x:v>Sheet</x:v>
      </x:c>
      <x:c r="E109" s="71" t="str">
        <x:v>2024!55；2025!62</x:v>
      </x:c>
      <x:c r="F109" s="71" t="str">
        <x:v>计提冲回</x:v>
      </x:c>
      <x:c r="G109" s="71" t="str">
        <x:v>缺失</x:v>
      </x:c>
      <x:c r="H109" s="71" t="str">
        <x:v>DOC2186: -5.866</x:v>
      </x:c>
      <x:c r="I109" s="71" t="str">
        <x:v>2024已结计提在2025对应确认日冲回</x:v>
      </x:c>
      <x:c r="J109" s="71" t="str">
        <x:v>避免2024-2025累计实际重复计入</x:v>
      </x:c>
      <x:c r="K109" s="71" t="str">
        <x:v>DERIVED_REVERSAL</x:v>
      </x:c>
      <x:c r="L109" s="74" t="n">
        <x:v>46249</x:v>
      </x:c>
      <x:c r="M109" s="62" t="str">
        <x:v>S002</x:v>
      </x:c>
      <x:c r="N109" s="62" t="str">
        <x:v>SIMULATED_CURATED-v0.1</x:v>
      </x:c>
    </x:row>
    <x:row r="110" ht="44" customHeight="1">
      <x:c r="A110" s="62" t="str">
        <x:v>CHG-REV-006</x:v>
      </x:c>
      <x:c r="B110" s="62" t="str">
        <x:v>2025实际</x:v>
      </x:c>
      <x:c r="C110" s="71" t="str">
        <x:v>2024年实际执行.xlsx + 2025年实际执行.xlsx</x:v>
      </x:c>
      <x:c r="D110" s="71" t="str">
        <x:v>Sheet</x:v>
      </x:c>
      <x:c r="E110" s="71" t="str">
        <x:v>2024!63；2025!71</x:v>
      </x:c>
      <x:c r="F110" s="71" t="str">
        <x:v>计提冲回</x:v>
      </x:c>
      <x:c r="G110" s="71" t="str">
        <x:v>缺失</x:v>
      </x:c>
      <x:c r="H110" s="71" t="str">
        <x:v>DOC2187: -5.6805</x:v>
      </x:c>
      <x:c r="I110" s="71" t="str">
        <x:v>2024已结计提在2025对应确认日冲回</x:v>
      </x:c>
      <x:c r="J110" s="71" t="str">
        <x:v>避免2024-2025累计实际重复计入</x:v>
      </x:c>
      <x:c r="K110" s="71" t="str">
        <x:v>DERIVED_REVERSAL</x:v>
      </x:c>
      <x:c r="L110" s="74" t="n">
        <x:v>46249</x:v>
      </x:c>
      <x:c r="M110" s="62" t="str">
        <x:v>S002</x:v>
      </x:c>
      <x:c r="N110" s="62" t="str">
        <x:v>SIMULATED_CURATED-v0.1</x:v>
      </x:c>
    </x:row>
    <x:row r="111" ht="44" customHeight="1">
      <x:c r="A111" s="62" t="str">
        <x:v>CHG-REV-007</x:v>
      </x:c>
      <x:c r="B111" s="62" t="str">
        <x:v>2025实际</x:v>
      </x:c>
      <x:c r="C111" s="71" t="str">
        <x:v>2024年实际执行.xlsx + 2025年实际执行.xlsx</x:v>
      </x:c>
      <x:c r="D111" s="71" t="str">
        <x:v>Sheet</x:v>
      </x:c>
      <x:c r="E111" s="71" t="str">
        <x:v>2024!78；2025!88</x:v>
      </x:c>
      <x:c r="F111" s="71" t="str">
        <x:v>计提冲回</x:v>
      </x:c>
      <x:c r="G111" s="71" t="str">
        <x:v>缺失</x:v>
      </x:c>
      <x:c r="H111" s="71" t="str">
        <x:v>DOC2188: -5.0645</x:v>
      </x:c>
      <x:c r="I111" s="71" t="str">
        <x:v>2024已结计提在2025对应确认日冲回</x:v>
      </x:c>
      <x:c r="J111" s="71" t="str">
        <x:v>避免2024-2025累计实际重复计入</x:v>
      </x:c>
      <x:c r="K111" s="71" t="str">
        <x:v>DERIVED_REVERSAL</x:v>
      </x:c>
      <x:c r="L111" s="74" t="n">
        <x:v>46249</x:v>
      </x:c>
      <x:c r="M111" s="62" t="str">
        <x:v>S002</x:v>
      </x:c>
      <x:c r="N111" s="62" t="str">
        <x:v>SIMULATED_CURATED-v0.1</x:v>
      </x:c>
    </x:row>
    <x:row r="112" ht="44" customHeight="1">
      <x:c r="A112" s="62" t="str">
        <x:v>CHG-REV-008</x:v>
      </x:c>
      <x:c r="B112" s="62" t="str">
        <x:v>2025实际</x:v>
      </x:c>
      <x:c r="C112" s="71" t="str">
        <x:v>2024年实际执行.xlsx + 2025年实际执行.xlsx</x:v>
      </x:c>
      <x:c r="D112" s="71" t="str">
        <x:v>Sheet</x:v>
      </x:c>
      <x:c r="E112" s="71" t="str">
        <x:v>2024!86；2025!97</x:v>
      </x:c>
      <x:c r="F112" s="71" t="str">
        <x:v>计提冲回</x:v>
      </x:c>
      <x:c r="G112" s="71" t="str">
        <x:v>缺失</x:v>
      </x:c>
      <x:c r="H112" s="71" t="str">
        <x:v>DOC2189: -6.069</x:v>
      </x:c>
      <x:c r="I112" s="71" t="str">
        <x:v>2024已结计提在2025对应确认日冲回</x:v>
      </x:c>
      <x:c r="J112" s="71" t="str">
        <x:v>避免2024-2025累计实际重复计入</x:v>
      </x:c>
      <x:c r="K112" s="71" t="str">
        <x:v>DERIVED_REVERSAL</x:v>
      </x:c>
      <x:c r="L112" s="74" t="n">
        <x:v>46249</x:v>
      </x:c>
      <x:c r="M112" s="62" t="str">
        <x:v>S002</x:v>
      </x:c>
      <x:c r="N112" s="62" t="str">
        <x:v>SIMULATED_CURATED-v0.1</x:v>
      </x:c>
    </x:row>
    <x:row r="113" ht="44" customHeight="1">
      <x:c r="A113" s="62" t="str">
        <x:v>CHG-REV-009</x:v>
      </x:c>
      <x:c r="B113" s="62" t="str">
        <x:v>2025实际</x:v>
      </x:c>
      <x:c r="C113" s="71" t="str">
        <x:v>2024年实际执行.xlsx + 2025年实际执行.xlsx</x:v>
      </x:c>
      <x:c r="D113" s="71" t="str">
        <x:v>Sheet</x:v>
      </x:c>
      <x:c r="E113" s="71" t="str">
        <x:v>2024!101；2025!114</x:v>
      </x:c>
      <x:c r="F113" s="71" t="str">
        <x:v>计提冲回</x:v>
      </x:c>
      <x:c r="G113" s="71" t="str">
        <x:v>缺失</x:v>
      </x:c>
      <x:c r="H113" s="71" t="str">
        <x:v>DOC2190: -5.593</x:v>
      </x:c>
      <x:c r="I113" s="71" t="str">
        <x:v>2024已结计提在2025对应确认日冲回</x:v>
      </x:c>
      <x:c r="J113" s="71" t="str">
        <x:v>避免2024-2025累计实际重复计入</x:v>
      </x:c>
      <x:c r="K113" s="71" t="str">
        <x:v>DERIVED_REVERSAL</x:v>
      </x:c>
      <x:c r="L113" s="74" t="n">
        <x:v>46249</x:v>
      </x:c>
      <x:c r="M113" s="62" t="str">
        <x:v>S002</x:v>
      </x:c>
      <x:c r="N113" s="62" t="str">
        <x:v>SIMULATED_CURATED-v0.1</x:v>
      </x:c>
    </x:row>
    <x:row r="114" ht="44" customHeight="1">
      <x:c r="A114" s="62" t="str">
        <x:v>CHG-REV-010</x:v>
      </x:c>
      <x:c r="B114" s="62" t="str">
        <x:v>2025实际</x:v>
      </x:c>
      <x:c r="C114" s="71" t="str">
        <x:v>2024年实际执行.xlsx + 2025年实际执行.xlsx</x:v>
      </x:c>
      <x:c r="D114" s="71" t="str">
        <x:v>Sheet</x:v>
      </x:c>
      <x:c r="E114" s="71" t="str">
        <x:v>2024!109；2025!123</x:v>
      </x:c>
      <x:c r="F114" s="71" t="str">
        <x:v>计提冲回</x:v>
      </x:c>
      <x:c r="G114" s="71" t="str">
        <x:v>缺失</x:v>
      </x:c>
      <x:c r="H114" s="71" t="str">
        <x:v>DOC2191: -6.7655</x:v>
      </x:c>
      <x:c r="I114" s="71" t="str">
        <x:v>2024已结计提在2025对应确认日冲回</x:v>
      </x:c>
      <x:c r="J114" s="71" t="str">
        <x:v>避免2024-2025累计实际重复计入</x:v>
      </x:c>
      <x:c r="K114" s="71" t="str">
        <x:v>DERIVED_REVERSAL</x:v>
      </x:c>
      <x:c r="L114" s="74" t="n">
        <x:v>46249</x:v>
      </x:c>
      <x:c r="M114" s="62" t="str">
        <x:v>S002</x:v>
      </x:c>
      <x:c r="N114" s="62" t="str">
        <x:v>SIMULATED_CURATED-v0.1</x:v>
      </x:c>
    </x:row>
    <x:row r="115" ht="44" customHeight="1">
      <x:c r="A115" s="62" t="str">
        <x:v>CHG-REV-011</x:v>
      </x:c>
      <x:c r="B115" s="62" t="str">
        <x:v>2025实际</x:v>
      </x:c>
      <x:c r="C115" s="71" t="str">
        <x:v>2024年实际执行.xlsx + 2025年实际执行.xlsx</x:v>
      </x:c>
      <x:c r="D115" s="71" t="str">
        <x:v>Sheet</x:v>
      </x:c>
      <x:c r="E115" s="71" t="str">
        <x:v>2024!124；2025!140</x:v>
      </x:c>
      <x:c r="F115" s="71" t="str">
        <x:v>计提冲回</x:v>
      </x:c>
      <x:c r="G115" s="71" t="str">
        <x:v>缺失</x:v>
      </x:c>
      <x:c r="H115" s="71" t="str">
        <x:v>DOC2192: -5.4565</x:v>
      </x:c>
      <x:c r="I115" s="71" t="str">
        <x:v>2024已结计提在2025对应确认日冲回</x:v>
      </x:c>
      <x:c r="J115" s="71" t="str">
        <x:v>避免2024-2025累计实际重复计入</x:v>
      </x:c>
      <x:c r="K115" s="71" t="str">
        <x:v>DERIVED_REVERSAL</x:v>
      </x:c>
      <x:c r="L115" s="74" t="n">
        <x:v>46249</x:v>
      </x:c>
      <x:c r="M115" s="62" t="str">
        <x:v>S002</x:v>
      </x:c>
      <x:c r="N115" s="62" t="str">
        <x:v>SIMULATED_CURATED-v0.1</x:v>
      </x:c>
    </x:row>
    <x:row r="116" ht="44" customHeight="1">
      <x:c r="A116" s="62" t="str">
        <x:v>CHG-REV-012</x:v>
      </x:c>
      <x:c r="B116" s="62" t="str">
        <x:v>2025实际</x:v>
      </x:c>
      <x:c r="C116" s="71" t="str">
        <x:v>2024年实际执行.xlsx + 2025年实际执行.xlsx</x:v>
      </x:c>
      <x:c r="D116" s="71" t="str">
        <x:v>Sheet</x:v>
      </x:c>
      <x:c r="E116" s="71" t="str">
        <x:v>2024!132；2025!149</x:v>
      </x:c>
      <x:c r="F116" s="71" t="str">
        <x:v>计提冲回</x:v>
      </x:c>
      <x:c r="G116" s="71" t="str">
        <x:v>缺失</x:v>
      </x:c>
      <x:c r="H116" s="71" t="str">
        <x:v>DOC2193: -5.593</x:v>
      </x:c>
      <x:c r="I116" s="71" t="str">
        <x:v>2024已结计提在2025对应确认日冲回</x:v>
      </x:c>
      <x:c r="J116" s="71" t="str">
        <x:v>避免2024-2025累计实际重复计入</x:v>
      </x:c>
      <x:c r="K116" s="71" t="str">
        <x:v>DERIVED_REVERSAL</x:v>
      </x:c>
      <x:c r="L116" s="74" t="n">
        <x:v>46249</x:v>
      </x:c>
      <x:c r="M116" s="62" t="str">
        <x:v>S002</x:v>
      </x:c>
      <x:c r="N116" s="62" t="str">
        <x:v>SIMULATED_CURATED-v0.1</x:v>
      </x:c>
    </x:row>
    <x:row r="117" ht="44" customHeight="1">
      <x:c r="A117" s="62" t="str">
        <x:v>CHG-REV-013</x:v>
      </x:c>
      <x:c r="B117" s="62" t="str">
        <x:v>2025实际</x:v>
      </x:c>
      <x:c r="C117" s="71" t="str">
        <x:v>2024年实际执行.xlsx + 2025年实际执行.xlsx</x:v>
      </x:c>
      <x:c r="D117" s="71" t="str">
        <x:v>Sheet</x:v>
      </x:c>
      <x:c r="E117" s="71" t="str">
        <x:v>2024!147；2025!166</x:v>
      </x:c>
      <x:c r="F117" s="71" t="str">
        <x:v>计提冲回</x:v>
      </x:c>
      <x:c r="G117" s="71" t="str">
        <x:v>缺失</x:v>
      </x:c>
      <x:c r="H117" s="71" t="str">
        <x:v>DOC2194: -6.104</x:v>
      </x:c>
      <x:c r="I117" s="71" t="str">
        <x:v>2024已结计提在2025对应确认日冲回</x:v>
      </x:c>
      <x:c r="J117" s="71" t="str">
        <x:v>避免2024-2025累计实际重复计入</x:v>
      </x:c>
      <x:c r="K117" s="71" t="str">
        <x:v>DERIVED_REVERSAL</x:v>
      </x:c>
      <x:c r="L117" s="74" t="n">
        <x:v>46249</x:v>
      </x:c>
      <x:c r="M117" s="62" t="str">
        <x:v>S002</x:v>
      </x:c>
      <x:c r="N117" s="62" t="str">
        <x:v>SIMULATED_CURATED-v0.1</x:v>
      </x:c>
    </x:row>
    <x:row r="118" ht="44" customHeight="1">
      <x:c r="A118" s="62" t="str">
        <x:v>CHG-REV-014</x:v>
      </x:c>
      <x:c r="B118" s="62" t="str">
        <x:v>2025实际</x:v>
      </x:c>
      <x:c r="C118" s="71" t="str">
        <x:v>2024年实际执行.xlsx + 2025年实际执行.xlsx</x:v>
      </x:c>
      <x:c r="D118" s="71" t="str">
        <x:v>Sheet</x:v>
      </x:c>
      <x:c r="E118" s="71" t="str">
        <x:v>2024!155；2025!175</x:v>
      </x:c>
      <x:c r="F118" s="71" t="str">
        <x:v>计提冲回</x:v>
      </x:c>
      <x:c r="G118" s="71" t="str">
        <x:v>缺失</x:v>
      </x:c>
      <x:c r="H118" s="71" t="str">
        <x:v>DOC2195: -6.2125</x:v>
      </x:c>
      <x:c r="I118" s="71" t="str">
        <x:v>2024已结计提在2025对应确认日冲回</x:v>
      </x:c>
      <x:c r="J118" s="71" t="str">
        <x:v>避免2024-2025累计实际重复计入</x:v>
      </x:c>
      <x:c r="K118" s="71" t="str">
        <x:v>DERIVED_REVERSAL</x:v>
      </x:c>
      <x:c r="L118" s="74" t="n">
        <x:v>46249</x:v>
      </x:c>
      <x:c r="M118" s="62" t="str">
        <x:v>S002</x:v>
      </x:c>
      <x:c r="N118" s="62" t="str">
        <x:v>SIMULATED_CURATED-v0.1</x:v>
      </x:c>
    </x:row>
    <x:row r="119" ht="44" customHeight="1">
      <x:c r="A119" s="62" t="str">
        <x:v>CHG-BUD-2024-ADJ5049</x:v>
      </x:c>
      <x:c r="B119" s="62" t="str">
        <x:v>2024正式预算</x:v>
      </x:c>
      <x:c r="C119" s="71" t="str">
        <x:v>2024年预算下达明细.xlsx</x:v>
      </x:c>
      <x:c r="D119" s="71" t="str">
        <x:v>Sheet</x:v>
      </x:c>
      <x:c r="E119" s="71" t="str">
        <x:v>Sheet!25:25；Sheet!26:26</x:v>
      </x:c>
      <x:c r="F119" s="71" t="str">
        <x:v>下达单稳定键</x:v>
      </x:c>
      <x:c r="G119" s="71" t="str">
        <x:v>ADJ5049</x:v>
      </x:c>
      <x:c r="H119" s="71" t="str">
        <x:v>ADJ5049/10；ADJ5049/20</x:v>
      </x:c>
      <x:c r="I119" s="71" t="str">
        <x:v>同电子单多行补单据行号</x:v>
      </x:c>
      <x:c r="J119" s="71" t="str">
        <x:v>不删除合法多行下达单</x:v>
      </x:c>
      <x:c r="K119" s="71" t="str">
        <x:v>CORRECTED</x:v>
      </x:c>
      <x:c r="L119" s="74" t="n">
        <x:v>46249</x:v>
      </x:c>
      <x:c r="M119" s="62" t="str">
        <x:v>S002</x:v>
      </x:c>
      <x:c r="N119" s="62" t="str">
        <x:v>SIMULATED_CURATED-v0.1</x:v>
      </x:c>
    </x:row>
    <x:row r="120" ht="44" customHeight="1">
      <x:c r="A120" s="62" t="str">
        <x:v>CHG-PUB-001</x:v>
      </x:c>
      <x:c r="B120" s="62" t="str">
        <x:v>2026初始申报公共费用</x:v>
      </x:c>
      <x:c r="C120" s="71" t="str">
        <x:v>2026年预算申报明细汇总.xlsx</x:v>
      </x:c>
      <x:c r="D120" s="71" t="str">
        <x:v>部门公共费用明细</x:v>
      </x:c>
      <x:c r="E120" s="71" t="str">
        <x:v>部门公共费用明细!2:2</x:v>
      </x:c>
      <x:c r="F120" s="71" t="str">
        <x:v>年度预算含税/净额</x:v>
      </x:c>
      <x:c r="G120" s="71" t="str">
        <x:v>2.5 / 2.36</x:v>
      </x:c>
      <x:c r="H120" s="71" t="str">
        <x:v>含税=ROUND(2.5*(1+4.00%),2)；净额=含税/(1+税率)</x:v>
      </x:c>
      <x:c r="I120" s="71" t="str">
        <x:v>部门×科目差异化增长</x:v>
      </x:c>
      <x:c r="J120" s="71" t="str">
        <x:v>修复2025/2026逐值相同的未更新数据</x:v>
      </x:c>
      <x:c r="K120" s="71" t="str">
        <x:v>SYNTHETIC_FOR_DEMO</x:v>
      </x:c>
      <x:c r="L120" s="74" t="n">
        <x:v>46249</x:v>
      </x:c>
      <x:c r="M120" s="62" t="str">
        <x:v>S002</x:v>
      </x:c>
      <x:c r="N120" s="62" t="str">
        <x:v>SIMULATED_CURATED-v0.1</x:v>
      </x:c>
    </x:row>
    <x:row r="121" ht="44" customHeight="1">
      <x:c r="A121" s="62" t="str">
        <x:v>CHG-PUB-002</x:v>
      </x:c>
      <x:c r="B121" s="62" t="str">
        <x:v>2026初始申报公共费用</x:v>
      </x:c>
      <x:c r="C121" s="71" t="str">
        <x:v>2026年预算申报明细汇总.xlsx</x:v>
      </x:c>
      <x:c r="D121" s="71" t="str">
        <x:v>部门公共费用明细</x:v>
      </x:c>
      <x:c r="E121" s="71" t="str">
        <x:v>部门公共费用明细!3:3</x:v>
      </x:c>
      <x:c r="F121" s="71" t="str">
        <x:v>年度预算含税/净额</x:v>
      </x:c>
      <x:c r="G121" s="71" t="str">
        <x:v>1.5 / 1.42</x:v>
      </x:c>
      <x:c r="H121" s="71" t="str">
        <x:v>含税=ROUND(1.5*(1+12.00%),2)；净额=含税/(1+税率)</x:v>
      </x:c>
      <x:c r="I121" s="71" t="str">
        <x:v>部门×科目差异化增长</x:v>
      </x:c>
      <x:c r="J121" s="71" t="str">
        <x:v>修复2025/2026逐值相同的未更新数据</x:v>
      </x:c>
      <x:c r="K121" s="71" t="str">
        <x:v>SYNTHETIC_FOR_DEMO</x:v>
      </x:c>
      <x:c r="L121" s="74" t="n">
        <x:v>46249</x:v>
      </x:c>
      <x:c r="M121" s="62" t="str">
        <x:v>S002</x:v>
      </x:c>
      <x:c r="N121" s="62" t="str">
        <x:v>SIMULATED_CURATED-v0.1</x:v>
      </x:c>
    </x:row>
    <x:row r="122" ht="44" customHeight="1">
      <x:c r="A122" s="62" t="str">
        <x:v>CHG-PUB-003</x:v>
      </x:c>
      <x:c r="B122" s="62" t="str">
        <x:v>2026初始申报公共费用</x:v>
      </x:c>
      <x:c r="C122" s="71" t="str">
        <x:v>2026年预算申报明细汇总.xlsx</x:v>
      </x:c>
      <x:c r="D122" s="71" t="str">
        <x:v>部门公共费用明细</x:v>
      </x:c>
      <x:c r="E122" s="71" t="str">
        <x:v>部门公共费用明细!4:4</x:v>
      </x:c>
      <x:c r="F122" s="71" t="str">
        <x:v>年度预算含税/净额</x:v>
      </x:c>
      <x:c r="G122" s="71" t="str">
        <x:v>0.5 / 0.47</x:v>
      </x:c>
      <x:c r="H122" s="71" t="str">
        <x:v>含税=ROUND(0.5*(1+4.00%),2)；净额=含税/(1+税率)</x:v>
      </x:c>
      <x:c r="I122" s="71" t="str">
        <x:v>部门×科目差异化增长</x:v>
      </x:c>
      <x:c r="J122" s="71" t="str">
        <x:v>修复2025/2026逐值相同的未更新数据</x:v>
      </x:c>
      <x:c r="K122" s="71" t="str">
        <x:v>SYNTHETIC_FOR_DEMO</x:v>
      </x:c>
      <x:c r="L122" s="74" t="n">
        <x:v>46249</x:v>
      </x:c>
      <x:c r="M122" s="62" t="str">
        <x:v>S002</x:v>
      </x:c>
      <x:c r="N122" s="62" t="str">
        <x:v>SIMULATED_CURATED-v0.1</x:v>
      </x:c>
    </x:row>
    <x:row r="123" ht="44" customHeight="1">
      <x:c r="A123" s="62" t="str">
        <x:v>CHG-PUB-004</x:v>
      </x:c>
      <x:c r="B123" s="62" t="str">
        <x:v>2026初始申报公共费用</x:v>
      </x:c>
      <x:c r="C123" s="71" t="str">
        <x:v>2026年预算申报明细汇总.xlsx</x:v>
      </x:c>
      <x:c r="D123" s="71" t="str">
        <x:v>部门公共费用明细</x:v>
      </x:c>
      <x:c r="E123" s="71" t="str">
        <x:v>部门公共费用明细!5:5</x:v>
      </x:c>
      <x:c r="F123" s="71" t="str">
        <x:v>年度预算含税/净额</x:v>
      </x:c>
      <x:c r="G123" s="71" t="str">
        <x:v>0.8 / 0.75</x:v>
      </x:c>
      <x:c r="H123" s="71" t="str">
        <x:v>含税=ROUND(0.8*(1+5.00%),2)；净额=含税/(1+税率)</x:v>
      </x:c>
      <x:c r="I123" s="71" t="str">
        <x:v>部门×科目差异化增长</x:v>
      </x:c>
      <x:c r="J123" s="71" t="str">
        <x:v>修复2025/2026逐值相同的未更新数据</x:v>
      </x:c>
      <x:c r="K123" s="71" t="str">
        <x:v>SYNTHETIC_FOR_DEMO</x:v>
      </x:c>
      <x:c r="L123" s="74" t="n">
        <x:v>46249</x:v>
      </x:c>
      <x:c r="M123" s="62" t="str">
        <x:v>S002</x:v>
      </x:c>
      <x:c r="N123" s="62" t="str">
        <x:v>SIMULATED_CURATED-v0.1</x:v>
      </x:c>
    </x:row>
    <x:row r="124" ht="44" customHeight="1">
      <x:c r="A124" s="62" t="str">
        <x:v>CHG-PUB-005</x:v>
      </x:c>
      <x:c r="B124" s="62" t="str">
        <x:v>2026初始申报公共费用</x:v>
      </x:c>
      <x:c r="C124" s="71" t="str">
        <x:v>2026年预算申报明细汇总.xlsx</x:v>
      </x:c>
      <x:c r="D124" s="71" t="str">
        <x:v>部门公共费用明细</x:v>
      </x:c>
      <x:c r="E124" s="71" t="str">
        <x:v>部门公共费用明细!6:6</x:v>
      </x:c>
      <x:c r="F124" s="71" t="str">
        <x:v>年度预算含税/净额</x:v>
      </x:c>
      <x:c r="G124" s="71" t="str">
        <x:v>2.5 / 2.36</x:v>
      </x:c>
      <x:c r="H124" s="71" t="str">
        <x:v>含税=ROUND(2.5*(1+6.00%),2)；净额=含税/(1+税率)</x:v>
      </x:c>
      <x:c r="I124" s="71" t="str">
        <x:v>部门×科目差异化增长</x:v>
      </x:c>
      <x:c r="J124" s="71" t="str">
        <x:v>修复2025/2026逐值相同的未更新数据</x:v>
      </x:c>
      <x:c r="K124" s="71" t="str">
        <x:v>SYNTHETIC_FOR_DEMO</x:v>
      </x:c>
      <x:c r="L124" s="74" t="n">
        <x:v>46249</x:v>
      </x:c>
      <x:c r="M124" s="62" t="str">
        <x:v>S002</x:v>
      </x:c>
      <x:c r="N124" s="62" t="str">
        <x:v>SIMULATED_CURATED-v0.1</x:v>
      </x:c>
    </x:row>
    <x:row r="125" ht="44" customHeight="1">
      <x:c r="A125" s="62" t="str">
        <x:v>CHG-PUB-006</x:v>
      </x:c>
      <x:c r="B125" s="62" t="str">
        <x:v>2026初始申报公共费用</x:v>
      </x:c>
      <x:c r="C125" s="71" t="str">
        <x:v>2026年预算申报明细汇总.xlsx</x:v>
      </x:c>
      <x:c r="D125" s="71" t="str">
        <x:v>部门公共费用明细</x:v>
      </x:c>
      <x:c r="E125" s="71" t="str">
        <x:v>部门公共费用明细!7:7</x:v>
      </x:c>
      <x:c r="F125" s="71" t="str">
        <x:v>年度预算含税/净额</x:v>
      </x:c>
      <x:c r="G125" s="71" t="str">
        <x:v>1.5 / 1.42</x:v>
      </x:c>
      <x:c r="H125" s="71" t="str">
        <x:v>含税=ROUND(1.5*(1+15.00%),2)；净额=含税/(1+税率)</x:v>
      </x:c>
      <x:c r="I125" s="71" t="str">
        <x:v>部门×科目差异化增长</x:v>
      </x:c>
      <x:c r="J125" s="71" t="str">
        <x:v>修复2025/2026逐值相同的未更新数据</x:v>
      </x:c>
      <x:c r="K125" s="71" t="str">
        <x:v>SYNTHETIC_FOR_DEMO</x:v>
      </x:c>
      <x:c r="L125" s="74" t="n">
        <x:v>46249</x:v>
      </x:c>
      <x:c r="M125" s="62" t="str">
        <x:v>S002</x:v>
      </x:c>
      <x:c r="N125" s="62" t="str">
        <x:v>SIMULATED_CURATED-v0.1</x:v>
      </x:c>
    </x:row>
    <x:row r="126" ht="44" customHeight="1">
      <x:c r="A126" s="62" t="str">
        <x:v>CHG-PUB-007</x:v>
      </x:c>
      <x:c r="B126" s="62" t="str">
        <x:v>2026初始申报公共费用</x:v>
      </x:c>
      <x:c r="C126" s="71" t="str">
        <x:v>2026年预算申报明细汇总.xlsx</x:v>
      </x:c>
      <x:c r="D126" s="71" t="str">
        <x:v>部门公共费用明细</x:v>
      </x:c>
      <x:c r="E126" s="71" t="str">
        <x:v>部门公共费用明细!8:8</x:v>
      </x:c>
      <x:c r="F126" s="71" t="str">
        <x:v>年度预算含税/净额</x:v>
      </x:c>
      <x:c r="G126" s="71" t="str">
        <x:v>0.5 / 0.47</x:v>
      </x:c>
      <x:c r="H126" s="71" t="str">
        <x:v>含税=ROUND(0.5*(1+6.00%),2)；净额=含税/(1+税率)</x:v>
      </x:c>
      <x:c r="I126" s="71" t="str">
        <x:v>部门×科目差异化增长</x:v>
      </x:c>
      <x:c r="J126" s="71" t="str">
        <x:v>修复2025/2026逐值相同的未更新数据</x:v>
      </x:c>
      <x:c r="K126" s="71" t="str">
        <x:v>SYNTHETIC_FOR_DEMO</x:v>
      </x:c>
      <x:c r="L126" s="74" t="n">
        <x:v>46249</x:v>
      </x:c>
      <x:c r="M126" s="62" t="str">
        <x:v>S002</x:v>
      </x:c>
      <x:c r="N126" s="62" t="str">
        <x:v>SIMULATED_CURATED-v0.1</x:v>
      </x:c>
    </x:row>
    <x:row r="127" ht="44" customHeight="1">
      <x:c r="A127" s="62" t="str">
        <x:v>CHG-PUB-008</x:v>
      </x:c>
      <x:c r="B127" s="62" t="str">
        <x:v>2026初始申报公共费用</x:v>
      </x:c>
      <x:c r="C127" s="71" t="str">
        <x:v>2026年预算申报明细汇总.xlsx</x:v>
      </x:c>
      <x:c r="D127" s="71" t="str">
        <x:v>部门公共费用明细</x:v>
      </x:c>
      <x:c r="E127" s="71" t="str">
        <x:v>部门公共费用明细!9:9</x:v>
      </x:c>
      <x:c r="F127" s="71" t="str">
        <x:v>年度预算含税/净额</x:v>
      </x:c>
      <x:c r="G127" s="71" t="str">
        <x:v>0.8 / 0.75</x:v>
      </x:c>
      <x:c r="H127" s="71" t="str">
        <x:v>含税=ROUND(0.8*(1+7.50%),2)；净额=含税/(1+税率)</x:v>
      </x:c>
      <x:c r="I127" s="71" t="str">
        <x:v>部门×科目差异化增长</x:v>
      </x:c>
      <x:c r="J127" s="71" t="str">
        <x:v>修复2025/2026逐值相同的未更新数据</x:v>
      </x:c>
      <x:c r="K127" s="71" t="str">
        <x:v>SYNTHETIC_FOR_DEMO</x:v>
      </x:c>
      <x:c r="L127" s="74" t="n">
        <x:v>46249</x:v>
      </x:c>
      <x:c r="M127" s="62" t="str">
        <x:v>S002</x:v>
      </x:c>
      <x:c r="N127" s="62" t="str">
        <x:v>SIMULATED_CURATED-v0.1</x:v>
      </x:c>
    </x:row>
    <x:row r="128" ht="44" customHeight="1">
      <x:c r="A128" s="62" t="str">
        <x:v>CHG-PUB-009</x:v>
      </x:c>
      <x:c r="B128" s="62" t="str">
        <x:v>2026初始申报公共费用</x:v>
      </x:c>
      <x:c r="C128" s="71" t="str">
        <x:v>2026年预算申报明细汇总.xlsx</x:v>
      </x:c>
      <x:c r="D128" s="71" t="str">
        <x:v>部门公共费用明细</x:v>
      </x:c>
      <x:c r="E128" s="71" t="str">
        <x:v>部门公共费用明细!10:10</x:v>
      </x:c>
      <x:c r="F128" s="71" t="str">
        <x:v>年度预算含税/净额</x:v>
      </x:c>
      <x:c r="G128" s="71" t="str">
        <x:v>2.5 / 2.36</x:v>
      </x:c>
      <x:c r="H128" s="71" t="str">
        <x:v>含税=ROUND(2.5*(1+3.00%),2)；净额=含税/(1+税率)</x:v>
      </x:c>
      <x:c r="I128" s="71" t="str">
        <x:v>部门×科目差异化增长</x:v>
      </x:c>
      <x:c r="J128" s="71" t="str">
        <x:v>修复2025/2026逐值相同的未更新数据</x:v>
      </x:c>
      <x:c r="K128" s="71" t="str">
        <x:v>SYNTHETIC_FOR_DEMO</x:v>
      </x:c>
      <x:c r="L128" s="74" t="n">
        <x:v>46249</x:v>
      </x:c>
      <x:c r="M128" s="62" t="str">
        <x:v>S002</x:v>
      </x:c>
      <x:c r="N128" s="62" t="str">
        <x:v>SIMULATED_CURATED-v0.1</x:v>
      </x:c>
    </x:row>
    <x:row r="129" ht="44" customHeight="1">
      <x:c r="A129" s="62" t="str">
        <x:v>CHG-PUB-010</x:v>
      </x:c>
      <x:c r="B129" s="62" t="str">
        <x:v>2026初始申报公共费用</x:v>
      </x:c>
      <x:c r="C129" s="71" t="str">
        <x:v>2026年预算申报明细汇总.xlsx</x:v>
      </x:c>
      <x:c r="D129" s="71" t="str">
        <x:v>部门公共费用明细</x:v>
      </x:c>
      <x:c r="E129" s="71" t="str">
        <x:v>部门公共费用明细!11:11</x:v>
      </x:c>
      <x:c r="F129" s="71" t="str">
        <x:v>年度预算含税/净额</x:v>
      </x:c>
      <x:c r="G129" s="71" t="str">
        <x:v>1.5 / 1.42</x:v>
      </x:c>
      <x:c r="H129" s="71" t="str">
        <x:v>含税=ROUND(1.5*(1+8.00%),2)；净额=含税/(1+税率)</x:v>
      </x:c>
      <x:c r="I129" s="71" t="str">
        <x:v>部门×科目差异化增长</x:v>
      </x:c>
      <x:c r="J129" s="71" t="str">
        <x:v>修复2025/2026逐值相同的未更新数据</x:v>
      </x:c>
      <x:c r="K129" s="71" t="str">
        <x:v>SYNTHETIC_FOR_DEMO</x:v>
      </x:c>
      <x:c r="L129" s="74" t="n">
        <x:v>46249</x:v>
      </x:c>
      <x:c r="M129" s="62" t="str">
        <x:v>S002</x:v>
      </x:c>
      <x:c r="N129" s="62" t="str">
        <x:v>SIMULATED_CURATED-v0.1</x:v>
      </x:c>
    </x:row>
    <x:row r="130" ht="44" customHeight="1">
      <x:c r="A130" s="62" t="str">
        <x:v>CHG-PUB-011</x:v>
      </x:c>
      <x:c r="B130" s="62" t="str">
        <x:v>2026初始申报公共费用</x:v>
      </x:c>
      <x:c r="C130" s="71" t="str">
        <x:v>2026年预算申报明细汇总.xlsx</x:v>
      </x:c>
      <x:c r="D130" s="71" t="str">
        <x:v>部门公共费用明细</x:v>
      </x:c>
      <x:c r="E130" s="71" t="str">
        <x:v>部门公共费用明细!12:12</x:v>
      </x:c>
      <x:c r="F130" s="71" t="str">
        <x:v>年度预算含税/净额</x:v>
      </x:c>
      <x:c r="G130" s="71" t="str">
        <x:v>0.5 / 0.47</x:v>
      </x:c>
      <x:c r="H130" s="71" t="str">
        <x:v>含税=ROUND(0.5*(1+2.00%),2)；净额=含税/(1+税率)</x:v>
      </x:c>
      <x:c r="I130" s="71" t="str">
        <x:v>部门×科目差异化增长</x:v>
      </x:c>
      <x:c r="J130" s="71" t="str">
        <x:v>修复2025/2026逐值相同的未更新数据</x:v>
      </x:c>
      <x:c r="K130" s="71" t="str">
        <x:v>SYNTHETIC_FOR_DEMO</x:v>
      </x:c>
      <x:c r="L130" s="74" t="n">
        <x:v>46249</x:v>
      </x:c>
      <x:c r="M130" s="62" t="str">
        <x:v>S002</x:v>
      </x:c>
      <x:c r="N130" s="62" t="str">
        <x:v>SIMULATED_CURATED-v0.1</x:v>
      </x:c>
    </x:row>
    <x:row r="131" ht="44" customHeight="1">
      <x:c r="A131" s="62" t="str">
        <x:v>CHG-PUB-012</x:v>
      </x:c>
      <x:c r="B131" s="62" t="str">
        <x:v>2026初始申报公共费用</x:v>
      </x:c>
      <x:c r="C131" s="71" t="str">
        <x:v>2026年预算申报明细汇总.xlsx</x:v>
      </x:c>
      <x:c r="D131" s="71" t="str">
        <x:v>部门公共费用明细</x:v>
      </x:c>
      <x:c r="E131" s="71" t="str">
        <x:v>部门公共费用明细!13:13</x:v>
      </x:c>
      <x:c r="F131" s="71" t="str">
        <x:v>年度预算含税/净额</x:v>
      </x:c>
      <x:c r="G131" s="71" t="str">
        <x:v>0.8 / 0.75</x:v>
      </x:c>
      <x:c r="H131" s="71" t="str">
        <x:v>含税=ROUND(0.8*(1+3.75%),2)；净额=含税/(1+税率)</x:v>
      </x:c>
      <x:c r="I131" s="71" t="str">
        <x:v>部门×科目差异化增长</x:v>
      </x:c>
      <x:c r="J131" s="71" t="str">
        <x:v>修复2025/2026逐值相同的未更新数据</x:v>
      </x:c>
      <x:c r="K131" s="71" t="str">
        <x:v>SYNTHETIC_FOR_DEMO</x:v>
      </x:c>
      <x:c r="L131" s="74" t="n">
        <x:v>46249</x:v>
      </x:c>
      <x:c r="M131" s="62" t="str">
        <x:v>S002</x:v>
      </x:c>
      <x:c r="N131" s="62" t="str">
        <x:v>SIMULATED_CURATED-v0.1</x:v>
      </x:c>
    </x:row>
    <x:row r="132" ht="44" customHeight="1">
      <x:c r="A132" s="62" t="str">
        <x:v>CHG-VND-003</x:v>
      </x:c>
      <x:c r="B132" s="62" t="str">
        <x:v>2025占用</x:v>
      </x:c>
      <x:c r="C132" s="71" t="str">
        <x:v>2025年预算占用.XLSX</x:v>
      </x:c>
      <x:c r="D132" s="71" t="str">
        <x:v>Sheet</x:v>
      </x:c>
      <x:c r="E132" s="71" t="str">
        <x:v>Sheet!4:4</x:v>
      </x:c>
      <x:c r="F132" s="71" t="str">
        <x:v>供应商</x:v>
      </x:c>
      <x:c r="G132" s="71" t="str">
        <x:v>苏州热工</x:v>
      </x:c>
      <x:c r="H132" s="71" t="str">
        <x:v>北京核工院</x:v>
      </x:c>
      <x:c r="I132" s="71" t="str">
        <x:v>负向释放继承被释放正向事件供应商</x:v>
      </x:c>
      <x:c r="J132" s="71" t="str">
        <x:v>修复随机供应商导致的占用链错配</x:v>
      </x:c>
      <x:c r="K132" s="71" t="str">
        <x:v>CORRECTED</x:v>
      </x:c>
      <x:c r="L132" s="74" t="n">
        <x:v>46249</x:v>
      </x:c>
      <x:c r="M132" s="62" t="str">
        <x:v>S002</x:v>
      </x:c>
      <x:c r="N132" s="62" t="str">
        <x:v>SIMULATED_CURATED-v0.1</x:v>
      </x:c>
    </x:row>
    <x:row r="133" ht="44" customHeight="1">
      <x:c r="A133" s="62" t="str">
        <x:v>CHG-VND-004</x:v>
      </x:c>
      <x:c r="B133" s="62" t="str">
        <x:v>2025占用</x:v>
      </x:c>
      <x:c r="C133" s="71" t="str">
        <x:v>2025年预算占用.XLSX</x:v>
      </x:c>
      <x:c r="D133" s="71" t="str">
        <x:v>Sheet</x:v>
      </x:c>
      <x:c r="E133" s="71" t="str">
        <x:v>Sheet!5:5</x:v>
      </x:c>
      <x:c r="F133" s="71" t="str">
        <x:v>供应商</x:v>
      </x:c>
      <x:c r="G133" s="71" t="str">
        <x:v>国电智深</x:v>
      </x:c>
      <x:c r="H133" s="71" t="str">
        <x:v>上海电气</x:v>
      </x:c>
      <x:c r="I133" s="71" t="str">
        <x:v>负向释放继承被释放正向事件供应商</x:v>
      </x:c>
      <x:c r="J133" s="71" t="str">
        <x:v>修复随机供应商导致的占用链错配</x:v>
      </x:c>
      <x:c r="K133" s="71" t="str">
        <x:v>CORRECTED</x:v>
      </x:c>
      <x:c r="L133" s="74" t="n">
        <x:v>46249</x:v>
      </x:c>
      <x:c r="M133" s="62" t="str">
        <x:v>S002</x:v>
      </x:c>
      <x:c r="N133" s="62" t="str">
        <x:v>SIMULATED_CURATED-v0.1</x:v>
      </x:c>
    </x:row>
    <x:row r="134" ht="44" customHeight="1">
      <x:c r="A134" s="62" t="str">
        <x:v>CHG-VND-007</x:v>
      </x:c>
      <x:c r="B134" s="62" t="str">
        <x:v>2025占用</x:v>
      </x:c>
      <x:c r="C134" s="71" t="str">
        <x:v>2025年预算占用.XLSX</x:v>
      </x:c>
      <x:c r="D134" s="71" t="str">
        <x:v>Sheet</x:v>
      </x:c>
      <x:c r="E134" s="71" t="str">
        <x:v>Sheet!8:8</x:v>
      </x:c>
      <x:c r="F134" s="71" t="str">
        <x:v>供应商</x:v>
      </x:c>
      <x:c r="G134" s="71" t="str">
        <x:v>中核运维</x:v>
      </x:c>
      <x:c r="H134" s="71" t="str">
        <x:v>苏州热工</x:v>
      </x:c>
      <x:c r="I134" s="71" t="str">
        <x:v>负向释放继承被释放正向事件供应商</x:v>
      </x:c>
      <x:c r="J134" s="71" t="str">
        <x:v>修复随机供应商导致的占用链错配</x:v>
      </x:c>
      <x:c r="K134" s="71" t="str">
        <x:v>CORRECTED</x:v>
      </x:c>
      <x:c r="L134" s="74" t="n">
        <x:v>46249</x:v>
      </x:c>
      <x:c r="M134" s="62" t="str">
        <x:v>S002</x:v>
      </x:c>
      <x:c r="N134" s="62" t="str">
        <x:v>SIMULATED_CURATED-v0.1</x:v>
      </x:c>
    </x:row>
    <x:row r="135" ht="44" customHeight="1">
      <x:c r="A135" s="62" t="str">
        <x:v>CHG-VND-008</x:v>
      </x:c>
      <x:c r="B135" s="62" t="str">
        <x:v>2025占用</x:v>
      </x:c>
      <x:c r="C135" s="71" t="str">
        <x:v>2025年预算占用.XLSX</x:v>
      </x:c>
      <x:c r="D135" s="71" t="str">
        <x:v>Sheet</x:v>
      </x:c>
      <x:c r="E135" s="71" t="str">
        <x:v>Sheet!9:9</x:v>
      </x:c>
      <x:c r="F135" s="71" t="str">
        <x:v>供应商</x:v>
      </x:c>
      <x:c r="G135" s="71" t="str">
        <x:v>苏州热工</x:v>
      </x:c>
      <x:c r="H135" s="71" t="str">
        <x:v>上海电气</x:v>
      </x:c>
      <x:c r="I135" s="71" t="str">
        <x:v>负向释放继承被释放正向事件供应商</x:v>
      </x:c>
      <x:c r="J135" s="71" t="str">
        <x:v>修复随机供应商导致的占用链错配</x:v>
      </x:c>
      <x:c r="K135" s="71" t="str">
        <x:v>CORRECTED</x:v>
      </x:c>
      <x:c r="L135" s="74" t="n">
        <x:v>46249</x:v>
      </x:c>
      <x:c r="M135" s="62" t="str">
        <x:v>S002</x:v>
      </x:c>
      <x:c r="N135" s="62" t="str">
        <x:v>SIMULATED_CURATED-v0.1</x:v>
      </x:c>
    </x:row>
    <x:row r="136" ht="44" customHeight="1">
      <x:c r="A136" s="62" t="str">
        <x:v>CHG-VND-011</x:v>
      </x:c>
      <x:c r="B136" s="62" t="str">
        <x:v>2025占用</x:v>
      </x:c>
      <x:c r="C136" s="71" t="str">
        <x:v>2025年预算占用.XLSX</x:v>
      </x:c>
      <x:c r="D136" s="71" t="str">
        <x:v>Sheet</x:v>
      </x:c>
      <x:c r="E136" s="71" t="str">
        <x:v>Sheet!12:12</x:v>
      </x:c>
      <x:c r="F136" s="71" t="str">
        <x:v>供应商</x:v>
      </x:c>
      <x:c r="G136" s="71" t="str">
        <x:v>中核运维</x:v>
      </x:c>
      <x:c r="H136" s="71" t="str">
        <x:v>国电智深</x:v>
      </x:c>
      <x:c r="I136" s="71" t="str">
        <x:v>负向释放继承被释放正向事件供应商</x:v>
      </x:c>
      <x:c r="J136" s="71" t="str">
        <x:v>修复随机供应商导致的占用链错配</x:v>
      </x:c>
      <x:c r="K136" s="71" t="str">
        <x:v>CORRECTED</x:v>
      </x:c>
      <x:c r="L136" s="74" t="n">
        <x:v>46249</x:v>
      </x:c>
      <x:c r="M136" s="62" t="str">
        <x:v>S002</x:v>
      </x:c>
      <x:c r="N136" s="62" t="str">
        <x:v>SIMULATED_CURATED-v0.1</x:v>
      </x:c>
    </x:row>
    <x:row r="137" ht="44" customHeight="1">
      <x:c r="A137" s="62" t="str">
        <x:v>CHG-VND-012</x:v>
      </x:c>
      <x:c r="B137" s="62" t="str">
        <x:v>2025占用</x:v>
      </x:c>
      <x:c r="C137" s="71" t="str">
        <x:v>2025年预算占用.XLSX</x:v>
      </x:c>
      <x:c r="D137" s="71" t="str">
        <x:v>Sheet</x:v>
      </x:c>
      <x:c r="E137" s="71" t="str">
        <x:v>Sheet!13:13</x:v>
      </x:c>
      <x:c r="F137" s="71" t="str">
        <x:v>供应商</x:v>
      </x:c>
      <x:c r="G137" s="71" t="str">
        <x:v>华能服务</x:v>
      </x:c>
      <x:c r="H137" s="71" t="str">
        <x:v>苏州热工</x:v>
      </x:c>
      <x:c r="I137" s="71" t="str">
        <x:v>负向释放继承被释放正向事件供应商</x:v>
      </x:c>
      <x:c r="J137" s="71" t="str">
        <x:v>修复随机供应商导致的占用链错配</x:v>
      </x:c>
      <x:c r="K137" s="71" t="str">
        <x:v>CORRECTED</x:v>
      </x:c>
      <x:c r="L137" s="74" t="n">
        <x:v>46249</x:v>
      </x:c>
      <x:c r="M137" s="62" t="str">
        <x:v>S002</x:v>
      </x:c>
      <x:c r="N137" s="62" t="str">
        <x:v>SIMULATED_CURATED-v0.1</x:v>
      </x:c>
    </x:row>
    <x:row r="138" ht="44" customHeight="1">
      <x:c r="A138" s="62" t="str">
        <x:v>CHG-VND-015</x:v>
      </x:c>
      <x:c r="B138" s="62" t="str">
        <x:v>2025占用</x:v>
      </x:c>
      <x:c r="C138" s="71" t="str">
        <x:v>2025年预算占用.XLSX</x:v>
      </x:c>
      <x:c r="D138" s="71" t="str">
        <x:v>Sheet</x:v>
      </x:c>
      <x:c r="E138" s="71" t="str">
        <x:v>Sheet!16:16</x:v>
      </x:c>
      <x:c r="F138" s="71" t="str">
        <x:v>供应商</x:v>
      </x:c>
      <x:c r="G138" s="71" t="str">
        <x:v>上海电气</x:v>
      </x:c>
      <x:c r="H138" s="71" t="str">
        <x:v>中核运维</x:v>
      </x:c>
      <x:c r="I138" s="71" t="str">
        <x:v>负向释放继承被释放正向事件供应商</x:v>
      </x:c>
      <x:c r="J138" s="71" t="str">
        <x:v>修复随机供应商导致的占用链错配</x:v>
      </x:c>
      <x:c r="K138" s="71" t="str">
        <x:v>CORRECTED</x:v>
      </x:c>
      <x:c r="L138" s="74" t="n">
        <x:v>46249</x:v>
      </x:c>
      <x:c r="M138" s="62" t="str">
        <x:v>S002</x:v>
      </x:c>
      <x:c r="N138" s="62" t="str">
        <x:v>SIMULATED_CURATED-v0.1</x:v>
      </x:c>
    </x:row>
    <x:row r="139" ht="44" customHeight="1">
      <x:c r="A139" s="62" t="str">
        <x:v>CHG-VND-016</x:v>
      </x:c>
      <x:c r="B139" s="62" t="str">
        <x:v>2025占用</x:v>
      </x:c>
      <x:c r="C139" s="71" t="str">
        <x:v>2025年预算占用.XLSX</x:v>
      </x:c>
      <x:c r="D139" s="71" t="str">
        <x:v>Sheet</x:v>
      </x:c>
      <x:c r="E139" s="71" t="str">
        <x:v>Sheet!17:17</x:v>
      </x:c>
      <x:c r="F139" s="71" t="str">
        <x:v>供应商</x:v>
      </x:c>
      <x:c r="G139" s="71" t="str">
        <x:v>华能服务</x:v>
      </x:c>
      <x:c r="H139" s="71" t="str">
        <x:v>苏州热工</x:v>
      </x:c>
      <x:c r="I139" s="71" t="str">
        <x:v>负向释放继承被释放正向事件供应商</x:v>
      </x:c>
      <x:c r="J139" s="71" t="str">
        <x:v>修复随机供应商导致的占用链错配</x:v>
      </x:c>
      <x:c r="K139" s="71" t="str">
        <x:v>CORRECTED</x:v>
      </x:c>
      <x:c r="L139" s="74" t="n">
        <x:v>46249</x:v>
      </x:c>
      <x:c r="M139" s="62" t="str">
        <x:v>S002</x:v>
      </x:c>
      <x:c r="N139" s="62" t="str">
        <x:v>SIMULATED_CURATED-v0.1</x:v>
      </x:c>
    </x:row>
    <x:row r="140" ht="44" customHeight="1">
      <x:c r="A140" s="62" t="str">
        <x:v>CHG-VND-019</x:v>
      </x:c>
      <x:c r="B140" s="62" t="str">
        <x:v>2025占用</x:v>
      </x:c>
      <x:c r="C140" s="71" t="str">
        <x:v>2025年预算占用.XLSX</x:v>
      </x:c>
      <x:c r="D140" s="71" t="str">
        <x:v>Sheet</x:v>
      </x:c>
      <x:c r="E140" s="71" t="str">
        <x:v>Sheet!20:20</x:v>
      </x:c>
      <x:c r="F140" s="71" t="str">
        <x:v>供应商</x:v>
      </x:c>
      <x:c r="G140" s="71" t="str">
        <x:v>苏州热工</x:v>
      </x:c>
      <x:c r="H140" s="71" t="str">
        <x:v>上海电气</x:v>
      </x:c>
      <x:c r="I140" s="71" t="str">
        <x:v>负向释放继承被释放正向事件供应商</x:v>
      </x:c>
      <x:c r="J140" s="71" t="str">
        <x:v>修复随机供应商导致的占用链错配</x:v>
      </x:c>
      <x:c r="K140" s="71" t="str">
        <x:v>CORRECTED</x:v>
      </x:c>
      <x:c r="L140" s="74" t="n">
        <x:v>46249</x:v>
      </x:c>
      <x:c r="M140" s="62" t="str">
        <x:v>S002</x:v>
      </x:c>
      <x:c r="N140" s="62" t="str">
        <x:v>SIMULATED_CURATED-v0.1</x:v>
      </x:c>
    </x:row>
    <x:row r="141" ht="44" customHeight="1">
      <x:c r="A141" s="62" t="str">
        <x:v>CHG-VND-020</x:v>
      </x:c>
      <x:c r="B141" s="62" t="str">
        <x:v>2025占用</x:v>
      </x:c>
      <x:c r="C141" s="71" t="str">
        <x:v>2025年预算占用.XLSX</x:v>
      </x:c>
      <x:c r="D141" s="71" t="str">
        <x:v>Sheet</x:v>
      </x:c>
      <x:c r="E141" s="71" t="str">
        <x:v>Sheet!21:21</x:v>
      </x:c>
      <x:c r="F141" s="71" t="str">
        <x:v>供应商</x:v>
      </x:c>
      <x:c r="G141" s="71" t="str">
        <x:v>国电智深</x:v>
      </x:c>
      <x:c r="H141" s="71" t="str">
        <x:v>华能服务</x:v>
      </x:c>
      <x:c r="I141" s="71" t="str">
        <x:v>负向释放继承被释放正向事件供应商</x:v>
      </x:c>
      <x:c r="J141" s="71" t="str">
        <x:v>修复随机供应商导致的占用链错配</x:v>
      </x:c>
      <x:c r="K141" s="71" t="str">
        <x:v>CORRECTED</x:v>
      </x:c>
      <x:c r="L141" s="74" t="n">
        <x:v>46249</x:v>
      </x:c>
      <x:c r="M141" s="62" t="str">
        <x:v>S002</x:v>
      </x:c>
      <x:c r="N141" s="62" t="str">
        <x:v>SIMULATED_CURATED-v0.1</x:v>
      </x:c>
    </x:row>
    <x:row r="142" ht="44" customHeight="1">
      <x:c r="A142" s="62" t="str">
        <x:v>CHG-VND-023</x:v>
      </x:c>
      <x:c r="B142" s="62" t="str">
        <x:v>2025占用</x:v>
      </x:c>
      <x:c r="C142" s="71" t="str">
        <x:v>2025年预算占用.XLSX</x:v>
      </x:c>
      <x:c r="D142" s="71" t="str">
        <x:v>Sheet</x:v>
      </x:c>
      <x:c r="E142" s="71" t="str">
        <x:v>Sheet!24:24</x:v>
      </x:c>
      <x:c r="F142" s="71" t="str">
        <x:v>供应商</x:v>
      </x:c>
      <x:c r="G142" s="71" t="str">
        <x:v>上海电气</x:v>
      </x:c>
      <x:c r="H142" s="71" t="str">
        <x:v>苏州热工</x:v>
      </x:c>
      <x:c r="I142" s="71" t="str">
        <x:v>负向释放继承被释放正向事件供应商</x:v>
      </x:c>
      <x:c r="J142" s="71" t="str">
        <x:v>修复随机供应商导致的占用链错配</x:v>
      </x:c>
      <x:c r="K142" s="71" t="str">
        <x:v>CORRECTED</x:v>
      </x:c>
      <x:c r="L142" s="74" t="n">
        <x:v>46249</x:v>
      </x:c>
      <x:c r="M142" s="62" t="str">
        <x:v>S002</x:v>
      </x:c>
      <x:c r="N142" s="62" t="str">
        <x:v>SIMULATED_CURATED-v0.1</x:v>
      </x:c>
    </x:row>
    <x:row r="143" ht="44" customHeight="1">
      <x:c r="A143" s="62" t="str">
        <x:v>CHG-VND-024</x:v>
      </x:c>
      <x:c r="B143" s="62" t="str">
        <x:v>2025占用</x:v>
      </x:c>
      <x:c r="C143" s="71" t="str">
        <x:v>2025年预算占用.XLSX</x:v>
      </x:c>
      <x:c r="D143" s="71" t="str">
        <x:v>Sheet</x:v>
      </x:c>
      <x:c r="E143" s="71" t="str">
        <x:v>Sheet!25:25</x:v>
      </x:c>
      <x:c r="F143" s="71" t="str">
        <x:v>供应商</x:v>
      </x:c>
      <x:c r="G143" s="71" t="str">
        <x:v>北京核工院</x:v>
      </x:c>
      <x:c r="H143" s="71" t="str">
        <x:v>国电智深</x:v>
      </x:c>
      <x:c r="I143" s="71" t="str">
        <x:v>负向释放继承被释放正向事件供应商</x:v>
      </x:c>
      <x:c r="J143" s="71" t="str">
        <x:v>修复随机供应商导致的占用链错配</x:v>
      </x:c>
      <x:c r="K143" s="71" t="str">
        <x:v>CORRECTED</x:v>
      </x:c>
      <x:c r="L143" s="74" t="n">
        <x:v>46249</x:v>
      </x:c>
      <x:c r="M143" s="62" t="str">
        <x:v>S002</x:v>
      </x:c>
      <x:c r="N143" s="62" t="str">
        <x:v>SIMULATED_CURATED-v0.1</x:v>
      </x:c>
    </x:row>
    <x:row r="144" ht="44" customHeight="1">
      <x:c r="A144" s="62" t="str">
        <x:v>CHG-VND-027</x:v>
      </x:c>
      <x:c r="B144" s="62" t="str">
        <x:v>2025占用</x:v>
      </x:c>
      <x:c r="C144" s="71" t="str">
        <x:v>2025年预算占用.XLSX</x:v>
      </x:c>
      <x:c r="D144" s="71" t="str">
        <x:v>Sheet</x:v>
      </x:c>
      <x:c r="E144" s="71" t="str">
        <x:v>Sheet!28:28</x:v>
      </x:c>
      <x:c r="F144" s="71" t="str">
        <x:v>供应商</x:v>
      </x:c>
      <x:c r="G144" s="71" t="str">
        <x:v>苏州热工</x:v>
      </x:c>
      <x:c r="H144" s="71" t="str">
        <x:v>中核运维</x:v>
      </x:c>
      <x:c r="I144" s="71" t="str">
        <x:v>负向释放继承被释放正向事件供应商</x:v>
      </x:c>
      <x:c r="J144" s="71" t="str">
        <x:v>修复随机供应商导致的占用链错配</x:v>
      </x:c>
      <x:c r="K144" s="71" t="str">
        <x:v>CORRECTED</x:v>
      </x:c>
      <x:c r="L144" s="74" t="n">
        <x:v>46249</x:v>
      </x:c>
      <x:c r="M144" s="62" t="str">
        <x:v>S002</x:v>
      </x:c>
      <x:c r="N144" s="62" t="str">
        <x:v>SIMULATED_CURATED-v0.1</x:v>
      </x:c>
    </x:row>
    <x:row r="145" ht="44" customHeight="1">
      <x:c r="A145" s="62" t="str">
        <x:v>CHG-VND-030</x:v>
      </x:c>
      <x:c r="B145" s="62" t="str">
        <x:v>2025占用</x:v>
      </x:c>
      <x:c r="C145" s="71" t="str">
        <x:v>2025年预算占用.XLSX</x:v>
      </x:c>
      <x:c r="D145" s="71" t="str">
        <x:v>Sheet</x:v>
      </x:c>
      <x:c r="E145" s="71" t="str">
        <x:v>Sheet!31:31</x:v>
      </x:c>
      <x:c r="F145" s="71" t="str">
        <x:v>供应商</x:v>
      </x:c>
      <x:c r="G145" s="71" t="str">
        <x:v>中核运维</x:v>
      </x:c>
      <x:c r="H145" s="71" t="str">
        <x:v>国电智深</x:v>
      </x:c>
      <x:c r="I145" s="71" t="str">
        <x:v>负向释放继承被释放正向事件供应商</x:v>
      </x:c>
      <x:c r="J145" s="71" t="str">
        <x:v>修复随机供应商导致的占用链错配</x:v>
      </x:c>
      <x:c r="K145" s="71" t="str">
        <x:v>CORRECTED</x:v>
      </x:c>
      <x:c r="L145" s="74" t="n">
        <x:v>46249</x:v>
      </x:c>
      <x:c r="M145" s="62" t="str">
        <x:v>S002</x:v>
      </x:c>
      <x:c r="N145" s="62" t="str">
        <x:v>SIMULATED_CURATED-v0.1</x:v>
      </x:c>
    </x:row>
    <x:row r="146" ht="44" customHeight="1">
      <x:c r="A146" s="62" t="str">
        <x:v>CHG-VND-033</x:v>
      </x:c>
      <x:c r="B146" s="62" t="str">
        <x:v>2025占用</x:v>
      </x:c>
      <x:c r="C146" s="71" t="str">
        <x:v>2025年预算占用.XLSX</x:v>
      </x:c>
      <x:c r="D146" s="71" t="str">
        <x:v>Sheet</x:v>
      </x:c>
      <x:c r="E146" s="71" t="str">
        <x:v>Sheet!34:34</x:v>
      </x:c>
      <x:c r="F146" s="71" t="str">
        <x:v>供应商</x:v>
      </x:c>
      <x:c r="G146" s="71" t="str">
        <x:v>国电智深</x:v>
      </x:c>
      <x:c r="H146" s="71" t="str">
        <x:v>华能服务</x:v>
      </x:c>
      <x:c r="I146" s="71" t="str">
        <x:v>负向释放继承被释放正向事件供应商</x:v>
      </x:c>
      <x:c r="J146" s="71" t="str">
        <x:v>修复随机供应商导致的占用链错配</x:v>
      </x:c>
      <x:c r="K146" s="71" t="str">
        <x:v>CORRECTED</x:v>
      </x:c>
      <x:c r="L146" s="74" t="n">
        <x:v>46249</x:v>
      </x:c>
      <x:c r="M146" s="62" t="str">
        <x:v>S002</x:v>
      </x:c>
      <x:c r="N146" s="62" t="str">
        <x:v>SIMULATED_CURATED-v0.1</x:v>
      </x:c>
    </x:row>
    <x:row r="147" ht="44" customHeight="1">
      <x:c r="A147" s="62" t="str">
        <x:v>CHG-VND-039</x:v>
      </x:c>
      <x:c r="B147" s="62" t="str">
        <x:v>2025占用</x:v>
      </x:c>
      <x:c r="C147" s="71" t="str">
        <x:v>2025年预算占用.XLSX</x:v>
      </x:c>
      <x:c r="D147" s="71" t="str">
        <x:v>Sheet</x:v>
      </x:c>
      <x:c r="E147" s="71" t="str">
        <x:v>Sheet!40:40</x:v>
      </x:c>
      <x:c r="F147" s="71" t="str">
        <x:v>供应商</x:v>
      </x:c>
      <x:c r="G147" s="71" t="str">
        <x:v>上海电气</x:v>
      </x:c>
      <x:c r="H147" s="71" t="str">
        <x:v>苏州热工</x:v>
      </x:c>
      <x:c r="I147" s="71" t="str">
        <x:v>负向释放继承被释放正向事件供应商</x:v>
      </x:c>
      <x:c r="J147" s="71" t="str">
        <x:v>修复随机供应商导致的占用链错配</x:v>
      </x:c>
      <x:c r="K147" s="71" t="str">
        <x:v>CORRECTED</x:v>
      </x:c>
      <x:c r="L147" s="74" t="n">
        <x:v>46249</x:v>
      </x:c>
      <x:c r="M147" s="62" t="str">
        <x:v>S002</x:v>
      </x:c>
      <x:c r="N147" s="62" t="str">
        <x:v>SIMULATED_CURATED-v0.1</x:v>
      </x:c>
    </x:row>
    <x:row r="148" ht="44" customHeight="1">
      <x:c r="A148" s="62" t="str">
        <x:v>CHG-VND-040</x:v>
      </x:c>
      <x:c r="B148" s="62" t="str">
        <x:v>2025占用</x:v>
      </x:c>
      <x:c r="C148" s="71" t="str">
        <x:v>2025年预算占用.XLSX</x:v>
      </x:c>
      <x:c r="D148" s="71" t="str">
        <x:v>Sheet</x:v>
      </x:c>
      <x:c r="E148" s="71" t="str">
        <x:v>Sheet!41:41</x:v>
      </x:c>
      <x:c r="F148" s="71" t="str">
        <x:v>供应商</x:v>
      </x:c>
      <x:c r="G148" s="71" t="str">
        <x:v>中核运维</x:v>
      </x:c>
      <x:c r="H148" s="71" t="str">
        <x:v>华能服务</x:v>
      </x:c>
      <x:c r="I148" s="71" t="str">
        <x:v>负向释放继承被释放正向事件供应商</x:v>
      </x:c>
      <x:c r="J148" s="71" t="str">
        <x:v>修复随机供应商导致的占用链错配</x:v>
      </x:c>
      <x:c r="K148" s="71" t="str">
        <x:v>CORRECTED</x:v>
      </x:c>
      <x:c r="L148" s="74" t="n">
        <x:v>46249</x:v>
      </x:c>
      <x:c r="M148" s="62" t="str">
        <x:v>S002</x:v>
      </x:c>
      <x:c r="N148" s="62" t="str">
        <x:v>SIMULATED_CURATED-v0.1</x:v>
      </x:c>
    </x:row>
    <x:row r="149" ht="44" customHeight="1">
      <x:c r="A149" s="62" t="str">
        <x:v>CHG-VND-043</x:v>
      </x:c>
      <x:c r="B149" s="62" t="str">
        <x:v>2025占用</x:v>
      </x:c>
      <x:c r="C149" s="71" t="str">
        <x:v>2025年预算占用.XLSX</x:v>
      </x:c>
      <x:c r="D149" s="71" t="str">
        <x:v>Sheet</x:v>
      </x:c>
      <x:c r="E149" s="71" t="str">
        <x:v>Sheet!44:44</x:v>
      </x:c>
      <x:c r="F149" s="71" t="str">
        <x:v>供应商</x:v>
      </x:c>
      <x:c r="G149" s="71" t="str">
        <x:v>华能服务</x:v>
      </x:c>
      <x:c r="H149" s="71" t="str">
        <x:v>上海电气</x:v>
      </x:c>
      <x:c r="I149" s="71" t="str">
        <x:v>负向释放继承被释放正向事件供应商</x:v>
      </x:c>
      <x:c r="J149" s="71" t="str">
        <x:v>修复随机供应商导致的占用链错配</x:v>
      </x:c>
      <x:c r="K149" s="71" t="str">
        <x:v>CORRECTED</x:v>
      </x:c>
      <x:c r="L149" s="74" t="n">
        <x:v>46249</x:v>
      </x:c>
      <x:c r="M149" s="62" t="str">
        <x:v>S002</x:v>
      </x:c>
      <x:c r="N149" s="62" t="str">
        <x:v>SIMULATED_CURATED-v0.1</x:v>
      </x:c>
    </x:row>
    <x:row r="150" ht="44" customHeight="1">
      <x:c r="A150" s="62" t="str">
        <x:v>CHG-VND-044</x:v>
      </x:c>
      <x:c r="B150" s="62" t="str">
        <x:v>2025占用</x:v>
      </x:c>
      <x:c r="C150" s="71" t="str">
        <x:v>2025年预算占用.XLSX</x:v>
      </x:c>
      <x:c r="D150" s="71" t="str">
        <x:v>Sheet</x:v>
      </x:c>
      <x:c r="E150" s="71" t="str">
        <x:v>Sheet!45:45</x:v>
      </x:c>
      <x:c r="F150" s="71" t="str">
        <x:v>供应商</x:v>
      </x:c>
      <x:c r="G150" s="71" t="str">
        <x:v>北京核工院</x:v>
      </x:c>
      <x:c r="H150" s="71" t="str">
        <x:v>上海电气</x:v>
      </x:c>
      <x:c r="I150" s="71" t="str">
        <x:v>负向释放继承被释放正向事件供应商</x:v>
      </x:c>
      <x:c r="J150" s="71" t="str">
        <x:v>修复随机供应商导致的占用链错配</x:v>
      </x:c>
      <x:c r="K150" s="71" t="str">
        <x:v>CORRECTED</x:v>
      </x:c>
      <x:c r="L150" s="74" t="n">
        <x:v>46249</x:v>
      </x:c>
      <x:c r="M150" s="62" t="str">
        <x:v>S002</x:v>
      </x:c>
      <x:c r="N150" s="62" t="str">
        <x:v>SIMULATED_CURATED-v0.1</x:v>
      </x:c>
    </x:row>
    <x:row r="151" ht="44" customHeight="1">
      <x:c r="A151" s="62" t="str">
        <x:v>CHG-VND-047</x:v>
      </x:c>
      <x:c r="B151" s="62" t="str">
        <x:v>2025占用</x:v>
      </x:c>
      <x:c r="C151" s="71" t="str">
        <x:v>2025年预算占用.XLSX</x:v>
      </x:c>
      <x:c r="D151" s="71" t="str">
        <x:v>Sheet</x:v>
      </x:c>
      <x:c r="E151" s="71" t="str">
        <x:v>Sheet!48:48</x:v>
      </x:c>
      <x:c r="F151" s="71" t="str">
        <x:v>供应商</x:v>
      </x:c>
      <x:c r="G151" s="71" t="str">
        <x:v>中核运维</x:v>
      </x:c>
      <x:c r="H151" s="71" t="str">
        <x:v>国电智深</x:v>
      </x:c>
      <x:c r="I151" s="71" t="str">
        <x:v>负向释放继承被释放正向事件供应商</x:v>
      </x:c>
      <x:c r="J151" s="71" t="str">
        <x:v>修复随机供应商导致的占用链错配</x:v>
      </x:c>
      <x:c r="K151" s="71" t="str">
        <x:v>CORRECTED</x:v>
      </x:c>
      <x:c r="L151" s="74" t="n">
        <x:v>46249</x:v>
      </x:c>
      <x:c r="M151" s="62" t="str">
        <x:v>S002</x:v>
      </x:c>
      <x:c r="N151" s="62" t="str">
        <x:v>SIMULATED_CURATED-v0.1</x:v>
      </x:c>
    </x:row>
    <x:row r="152" ht="44" customHeight="1">
      <x:c r="A152" s="62" t="str">
        <x:v>CHG-VND-051</x:v>
      </x:c>
      <x:c r="B152" s="62" t="str">
        <x:v>2025占用</x:v>
      </x:c>
      <x:c r="C152" s="71" t="str">
        <x:v>2025年预算占用.XLSX</x:v>
      </x:c>
      <x:c r="D152" s="71" t="str">
        <x:v>Sheet</x:v>
      </x:c>
      <x:c r="E152" s="71" t="str">
        <x:v>Sheet!52:52</x:v>
      </x:c>
      <x:c r="F152" s="71" t="str">
        <x:v>供应商</x:v>
      </x:c>
      <x:c r="G152" s="71" t="str">
        <x:v>中核运维</x:v>
      </x:c>
      <x:c r="H152" s="71" t="str">
        <x:v>华能服务</x:v>
      </x:c>
      <x:c r="I152" s="71" t="str">
        <x:v>负向释放继承被释放正向事件供应商</x:v>
      </x:c>
      <x:c r="J152" s="71" t="str">
        <x:v>修复随机供应商导致的占用链错配</x:v>
      </x:c>
      <x:c r="K152" s="71" t="str">
        <x:v>CORRECTED</x:v>
      </x:c>
      <x:c r="L152" s="74" t="n">
        <x:v>46249</x:v>
      </x:c>
      <x:c r="M152" s="62" t="str">
        <x:v>S002</x:v>
      </x:c>
      <x:c r="N152" s="62" t="str">
        <x:v>SIMULATED_CURATED-v0.1</x:v>
      </x:c>
    </x:row>
    <x:row r="153" ht="44" customHeight="1">
      <x:c r="A153" s="62" t="str">
        <x:v>CHG-VND-052</x:v>
      </x:c>
      <x:c r="B153" s="62" t="str">
        <x:v>2025占用</x:v>
      </x:c>
      <x:c r="C153" s="71" t="str">
        <x:v>2025年预算占用.XLSX</x:v>
      </x:c>
      <x:c r="D153" s="71" t="str">
        <x:v>Sheet</x:v>
      </x:c>
      <x:c r="E153" s="71" t="str">
        <x:v>Sheet!53:53</x:v>
      </x:c>
      <x:c r="F153" s="71" t="str">
        <x:v>供应商</x:v>
      </x:c>
      <x:c r="G153" s="71" t="str">
        <x:v>国电智深</x:v>
      </x:c>
      <x:c r="H153" s="71" t="str">
        <x:v>苏州热工</x:v>
      </x:c>
      <x:c r="I153" s="71" t="str">
        <x:v>负向释放继承被释放正向事件供应商</x:v>
      </x:c>
      <x:c r="J153" s="71" t="str">
        <x:v>修复随机供应商导致的占用链错配</x:v>
      </x:c>
      <x:c r="K153" s="71" t="str">
        <x:v>CORRECTED</x:v>
      </x:c>
      <x:c r="L153" s="74" t="n">
        <x:v>46249</x:v>
      </x:c>
      <x:c r="M153" s="62" t="str">
        <x:v>S002</x:v>
      </x:c>
      <x:c r="N153" s="62" t="str">
        <x:v>SIMULATED_CURATED-v0.1</x:v>
      </x:c>
    </x:row>
    <x:row r="154" ht="44" customHeight="1">
      <x:c r="A154" s="62" t="str">
        <x:v>CHG-VND-055</x:v>
      </x:c>
      <x:c r="B154" s="62" t="str">
        <x:v>2025占用</x:v>
      </x:c>
      <x:c r="C154" s="71" t="str">
        <x:v>2025年预算占用.XLSX</x:v>
      </x:c>
      <x:c r="D154" s="71" t="str">
        <x:v>Sheet</x:v>
      </x:c>
      <x:c r="E154" s="71" t="str">
        <x:v>Sheet!56:56</x:v>
      </x:c>
      <x:c r="F154" s="71" t="str">
        <x:v>供应商</x:v>
      </x:c>
      <x:c r="G154" s="71" t="str">
        <x:v>苏州热工</x:v>
      </x:c>
      <x:c r="H154" s="71" t="str">
        <x:v>北京核工院</x:v>
      </x:c>
      <x:c r="I154" s="71" t="str">
        <x:v>负向释放继承被释放正向事件供应商</x:v>
      </x:c>
      <x:c r="J154" s="71" t="str">
        <x:v>修复随机供应商导致的占用链错配</x:v>
      </x:c>
      <x:c r="K154" s="71" t="str">
        <x:v>CORRECTED</x:v>
      </x:c>
      <x:c r="L154" s="74" t="n">
        <x:v>46249</x:v>
      </x:c>
      <x:c r="M154" s="62" t="str">
        <x:v>S002</x:v>
      </x:c>
      <x:c r="N154" s="62" t="str">
        <x:v>SIMULATED_CURATED-v0.1</x:v>
      </x:c>
    </x:row>
    <x:row r="155" ht="44" customHeight="1">
      <x:c r="A155" s="62" t="str">
        <x:v>CHG-VND-056</x:v>
      </x:c>
      <x:c r="B155" s="62" t="str">
        <x:v>2025占用</x:v>
      </x:c>
      <x:c r="C155" s="71" t="str">
        <x:v>2025年预算占用.XLSX</x:v>
      </x:c>
      <x:c r="D155" s="71" t="str">
        <x:v>Sheet</x:v>
      </x:c>
      <x:c r="E155" s="71" t="str">
        <x:v>Sheet!57:57</x:v>
      </x:c>
      <x:c r="F155" s="71" t="str">
        <x:v>供应商</x:v>
      </x:c>
      <x:c r="G155" s="71" t="str">
        <x:v>华能服务</x:v>
      </x:c>
      <x:c r="H155" s="71" t="str">
        <x:v>上海电气</x:v>
      </x:c>
      <x:c r="I155" s="71" t="str">
        <x:v>负向释放继承被释放正向事件供应商</x:v>
      </x:c>
      <x:c r="J155" s="71" t="str">
        <x:v>修复随机供应商导致的占用链错配</x:v>
      </x:c>
      <x:c r="K155" s="71" t="str">
        <x:v>CORRECTED</x:v>
      </x:c>
      <x:c r="L155" s="74" t="n">
        <x:v>46249</x:v>
      </x:c>
      <x:c r="M155" s="62" t="str">
        <x:v>S002</x:v>
      </x:c>
      <x:c r="N155" s="62" t="str">
        <x:v>SIMULATED_CURATED-v0.1</x:v>
      </x:c>
    </x:row>
    <x:row r="156" ht="44" customHeight="1">
      <x:c r="A156" s="62" t="str">
        <x:v>CHG-VND-060</x:v>
      </x:c>
      <x:c r="B156" s="62" t="str">
        <x:v>2025占用</x:v>
      </x:c>
      <x:c r="C156" s="71" t="str">
        <x:v>2025年预算占用.XLSX</x:v>
      </x:c>
      <x:c r="D156" s="71" t="str">
        <x:v>Sheet</x:v>
      </x:c>
      <x:c r="E156" s="71" t="str">
        <x:v>Sheet!61:61</x:v>
      </x:c>
      <x:c r="F156" s="71" t="str">
        <x:v>供应商</x:v>
      </x:c>
      <x:c r="G156" s="71" t="str">
        <x:v>北京核工院</x:v>
      </x:c>
      <x:c r="H156" s="71" t="str">
        <x:v>华能服务</x:v>
      </x:c>
      <x:c r="I156" s="71" t="str">
        <x:v>负向释放继承被释放正向事件供应商</x:v>
      </x:c>
      <x:c r="J156" s="71" t="str">
        <x:v>修复随机供应商导致的占用链错配</x:v>
      </x:c>
      <x:c r="K156" s="71" t="str">
        <x:v>CORRECTED</x:v>
      </x:c>
      <x:c r="L156" s="74" t="n">
        <x:v>46249</x:v>
      </x:c>
      <x:c r="M156" s="62" t="str">
        <x:v>S002</x:v>
      </x:c>
      <x:c r="N156" s="62" t="str">
        <x:v>SIMULATED_CURATED-v0.1</x:v>
      </x:c>
    </x:row>
    <x:row r="157" ht="44" customHeight="1">
      <x:c r="A157" s="62" t="str">
        <x:v>CHG-VND-063</x:v>
      </x:c>
      <x:c r="B157" s="62" t="str">
        <x:v>2025占用</x:v>
      </x:c>
      <x:c r="C157" s="71" t="str">
        <x:v>2025年预算占用.XLSX</x:v>
      </x:c>
      <x:c r="D157" s="71" t="str">
        <x:v>Sheet</x:v>
      </x:c>
      <x:c r="E157" s="71" t="str">
        <x:v>Sheet!64:64</x:v>
      </x:c>
      <x:c r="F157" s="71" t="str">
        <x:v>供应商</x:v>
      </x:c>
      <x:c r="G157" s="71" t="str">
        <x:v>北京核工院</x:v>
      </x:c>
      <x:c r="H157" s="71" t="str">
        <x:v>苏州热工</x:v>
      </x:c>
      <x:c r="I157" s="71" t="str">
        <x:v>负向释放继承被释放正向事件供应商</x:v>
      </x:c>
      <x:c r="J157" s="71" t="str">
        <x:v>修复随机供应商导致的占用链错配</x:v>
      </x:c>
      <x:c r="K157" s="71" t="str">
        <x:v>CORRECTED</x:v>
      </x:c>
      <x:c r="L157" s="74" t="n">
        <x:v>46249</x:v>
      </x:c>
      <x:c r="M157" s="62" t="str">
        <x:v>S002</x:v>
      </x:c>
      <x:c r="N157" s="62" t="str">
        <x:v>SIMULATED_CURATED-v0.1</x:v>
      </x:c>
    </x:row>
    <x:row r="158" ht="44" customHeight="1">
      <x:c r="A158" s="62" t="str">
        <x:v>CHG-VND-066</x:v>
      </x:c>
      <x:c r="B158" s="62" t="str">
        <x:v>2025占用</x:v>
      </x:c>
      <x:c r="C158" s="71" t="str">
        <x:v>2025年预算占用.XLSX</x:v>
      </x:c>
      <x:c r="D158" s="71" t="str">
        <x:v>Sheet</x:v>
      </x:c>
      <x:c r="E158" s="71" t="str">
        <x:v>Sheet!67:67</x:v>
      </x:c>
      <x:c r="F158" s="71" t="str">
        <x:v>供应商</x:v>
      </x:c>
      <x:c r="G158" s="71" t="str">
        <x:v>国电智深</x:v>
      </x:c>
      <x:c r="H158" s="71" t="str">
        <x:v>苏州热工</x:v>
      </x:c>
      <x:c r="I158" s="71" t="str">
        <x:v>负向释放继承被释放正向事件供应商</x:v>
      </x:c>
      <x:c r="J158" s="71" t="str">
        <x:v>修复随机供应商导致的占用链错配</x:v>
      </x:c>
      <x:c r="K158" s="71" t="str">
        <x:v>CORRECTED</x:v>
      </x:c>
      <x:c r="L158" s="74" t="n">
        <x:v>46249</x:v>
      </x:c>
      <x:c r="M158" s="62" t="str">
        <x:v>S002</x:v>
      </x:c>
      <x:c r="N158" s="62" t="str">
        <x:v>SIMULATED_CURATED-v0.1</x:v>
      </x:c>
    </x:row>
    <x:row r="159" ht="44" customHeight="1">
      <x:c r="A159" s="62" t="str">
        <x:v>CHG-VND-069</x:v>
      </x:c>
      <x:c r="B159" s="62" t="str">
        <x:v>2025占用</x:v>
      </x:c>
      <x:c r="C159" s="71" t="str">
        <x:v>2025年预算占用.XLSX</x:v>
      </x:c>
      <x:c r="D159" s="71" t="str">
        <x:v>Sheet</x:v>
      </x:c>
      <x:c r="E159" s="71" t="str">
        <x:v>Sheet!70:70</x:v>
      </x:c>
      <x:c r="F159" s="71" t="str">
        <x:v>供应商</x:v>
      </x:c>
      <x:c r="G159" s="71" t="str">
        <x:v>北京核工院</x:v>
      </x:c>
      <x:c r="H159" s="71" t="str">
        <x:v>苏州热工</x:v>
      </x:c>
      <x:c r="I159" s="71" t="str">
        <x:v>负向释放继承被释放正向事件供应商</x:v>
      </x:c>
      <x:c r="J159" s="71" t="str">
        <x:v>修复随机供应商导致的占用链错配</x:v>
      </x:c>
      <x:c r="K159" s="71" t="str">
        <x:v>CORRECTED</x:v>
      </x:c>
      <x:c r="L159" s="74" t="n">
        <x:v>46249</x:v>
      </x:c>
      <x:c r="M159" s="62" t="str">
        <x:v>S002</x:v>
      </x:c>
      <x:c r="N159" s="62" t="str">
        <x:v>SIMULATED_CURATED-v0.1</x:v>
      </x:c>
    </x:row>
    <x:row r="160" ht="44" customHeight="1">
      <x:c r="A160" s="62" t="str">
        <x:v>CHG-VND-075</x:v>
      </x:c>
      <x:c r="B160" s="62" t="str">
        <x:v>2025占用</x:v>
      </x:c>
      <x:c r="C160" s="71" t="str">
        <x:v>2025年预算占用.XLSX</x:v>
      </x:c>
      <x:c r="D160" s="71" t="str">
        <x:v>Sheet</x:v>
      </x:c>
      <x:c r="E160" s="71" t="str">
        <x:v>Sheet!76:76</x:v>
      </x:c>
      <x:c r="F160" s="71" t="str">
        <x:v>供应商</x:v>
      </x:c>
      <x:c r="G160" s="71" t="str">
        <x:v>北京核工院</x:v>
      </x:c>
      <x:c r="H160" s="71" t="str">
        <x:v>苏州热工</x:v>
      </x:c>
      <x:c r="I160" s="71" t="str">
        <x:v>负向释放继承被释放正向事件供应商</x:v>
      </x:c>
      <x:c r="J160" s="71" t="str">
        <x:v>修复随机供应商导致的占用链错配</x:v>
      </x:c>
      <x:c r="K160" s="71" t="str">
        <x:v>CORRECTED</x:v>
      </x:c>
      <x:c r="L160" s="74" t="n">
        <x:v>46249</x:v>
      </x:c>
      <x:c r="M160" s="62" t="str">
        <x:v>S002</x:v>
      </x:c>
      <x:c r="N160" s="62" t="str">
        <x:v>SIMULATED_CURATED-v0.1</x:v>
      </x:c>
    </x:row>
    <x:row r="161" ht="44" customHeight="1">
      <x:c r="A161" s="62" t="str">
        <x:v>CHG-VND-076</x:v>
      </x:c>
      <x:c r="B161" s="62" t="str">
        <x:v>2025占用</x:v>
      </x:c>
      <x:c r="C161" s="71" t="str">
        <x:v>2025年预算占用.XLSX</x:v>
      </x:c>
      <x:c r="D161" s="71" t="str">
        <x:v>Sheet</x:v>
      </x:c>
      <x:c r="E161" s="71" t="str">
        <x:v>Sheet!77:77</x:v>
      </x:c>
      <x:c r="F161" s="71" t="str">
        <x:v>供应商</x:v>
      </x:c>
      <x:c r="G161" s="71" t="str">
        <x:v>国电智深</x:v>
      </x:c>
      <x:c r="H161" s="71" t="str">
        <x:v>华能服务</x:v>
      </x:c>
      <x:c r="I161" s="71" t="str">
        <x:v>负向释放继承被释放正向事件供应商</x:v>
      </x:c>
      <x:c r="J161" s="71" t="str">
        <x:v>修复随机供应商导致的占用链错配</x:v>
      </x:c>
      <x:c r="K161" s="71" t="str">
        <x:v>CORRECTED</x:v>
      </x:c>
      <x:c r="L161" s="74" t="n">
        <x:v>46249</x:v>
      </x:c>
      <x:c r="M161" s="62" t="str">
        <x:v>S002</x:v>
      </x:c>
      <x:c r="N161" s="62" t="str">
        <x:v>SIMULATED_CURATED-v0.1</x:v>
      </x:c>
    </x:row>
    <x:row r="162" ht="44" customHeight="1">
      <x:c r="A162" s="62" t="str">
        <x:v>CHG-VND-079</x:v>
      </x:c>
      <x:c r="B162" s="62" t="str">
        <x:v>2025占用</x:v>
      </x:c>
      <x:c r="C162" s="71" t="str">
        <x:v>2025年预算占用.XLSX</x:v>
      </x:c>
      <x:c r="D162" s="71" t="str">
        <x:v>Sheet</x:v>
      </x:c>
      <x:c r="E162" s="71" t="str">
        <x:v>Sheet!80:80</x:v>
      </x:c>
      <x:c r="F162" s="71" t="str">
        <x:v>供应商</x:v>
      </x:c>
      <x:c r="G162" s="71" t="str">
        <x:v>国电智深</x:v>
      </x:c>
      <x:c r="H162" s="71" t="str">
        <x:v>中核运维</x:v>
      </x:c>
      <x:c r="I162" s="71" t="str">
        <x:v>负向释放继承被释放正向事件供应商</x:v>
      </x:c>
      <x:c r="J162" s="71" t="str">
        <x:v>修复随机供应商导致的占用链错配</x:v>
      </x:c>
      <x:c r="K162" s="71" t="str">
        <x:v>CORRECTED</x:v>
      </x:c>
      <x:c r="L162" s="74" t="n">
        <x:v>46249</x:v>
      </x:c>
      <x:c r="M162" s="62" t="str">
        <x:v>S002</x:v>
      </x:c>
      <x:c r="N162" s="62" t="str">
        <x:v>SIMULATED_CURATED-v0.1</x:v>
      </x:c>
    </x:row>
    <x:row r="163" ht="44" customHeight="1">
      <x:c r="A163" s="62" t="str">
        <x:v>CHG-VND-080</x:v>
      </x:c>
      <x:c r="B163" s="62" t="str">
        <x:v>2025占用</x:v>
      </x:c>
      <x:c r="C163" s="71" t="str">
        <x:v>2025年预算占用.XLSX</x:v>
      </x:c>
      <x:c r="D163" s="71" t="str">
        <x:v>Sheet</x:v>
      </x:c>
      <x:c r="E163" s="71" t="str">
        <x:v>Sheet!81:81</x:v>
      </x:c>
      <x:c r="F163" s="71" t="str">
        <x:v>供应商</x:v>
      </x:c>
      <x:c r="G163" s="71" t="str">
        <x:v>苏州热工</x:v>
      </x:c>
      <x:c r="H163" s="71" t="str">
        <x:v>国电智深</x:v>
      </x:c>
      <x:c r="I163" s="71" t="str">
        <x:v>负向释放继承被释放正向事件供应商</x:v>
      </x:c>
      <x:c r="J163" s="71" t="str">
        <x:v>修复随机供应商导致的占用链错配</x:v>
      </x:c>
      <x:c r="K163" s="71" t="str">
        <x:v>CORRECTED</x:v>
      </x:c>
      <x:c r="L163" s="74" t="n">
        <x:v>46249</x:v>
      </x:c>
      <x:c r="M163" s="62" t="str">
        <x:v>S002</x:v>
      </x:c>
      <x:c r="N163" s="62" t="str">
        <x:v>SIMULATED_CURATED-v0.1</x:v>
      </x:c>
    </x:row>
    <x:row r="164" ht="44" customHeight="1">
      <x:c r="A164" s="62" t="str">
        <x:v>CHG-VND-083</x:v>
      </x:c>
      <x:c r="B164" s="62" t="str">
        <x:v>2025占用</x:v>
      </x:c>
      <x:c r="C164" s="71" t="str">
        <x:v>2025年预算占用.XLSX</x:v>
      </x:c>
      <x:c r="D164" s="71" t="str">
        <x:v>Sheet</x:v>
      </x:c>
      <x:c r="E164" s="71" t="str">
        <x:v>Sheet!84:84</x:v>
      </x:c>
      <x:c r="F164" s="71" t="str">
        <x:v>供应商</x:v>
      </x:c>
      <x:c r="G164" s="71" t="str">
        <x:v>国电智深</x:v>
      </x:c>
      <x:c r="H164" s="71" t="str">
        <x:v>苏州热工</x:v>
      </x:c>
      <x:c r="I164" s="71" t="str">
        <x:v>负向释放继承被释放正向事件供应商</x:v>
      </x:c>
      <x:c r="J164" s="71" t="str">
        <x:v>修复随机供应商导致的占用链错配</x:v>
      </x:c>
      <x:c r="K164" s="71" t="str">
        <x:v>CORRECTED</x:v>
      </x:c>
      <x:c r="L164" s="74" t="n">
        <x:v>46249</x:v>
      </x:c>
      <x:c r="M164" s="62" t="str">
        <x:v>S002</x:v>
      </x:c>
      <x:c r="N164" s="62" t="str">
        <x:v>SIMULATED_CURATED-v0.1</x:v>
      </x:c>
    </x:row>
    <x:row r="165" ht="44" customHeight="1">
      <x:c r="A165" s="62" t="str">
        <x:v>CHG-VND-084</x:v>
      </x:c>
      <x:c r="B165" s="62" t="str">
        <x:v>2025占用</x:v>
      </x:c>
      <x:c r="C165" s="71" t="str">
        <x:v>2025年预算占用.XLSX</x:v>
      </x:c>
      <x:c r="D165" s="71" t="str">
        <x:v>Sheet</x:v>
      </x:c>
      <x:c r="E165" s="71" t="str">
        <x:v>Sheet!85:85</x:v>
      </x:c>
      <x:c r="F165" s="71" t="str">
        <x:v>供应商</x:v>
      </x:c>
      <x:c r="G165" s="71" t="str">
        <x:v>中核运维</x:v>
      </x:c>
      <x:c r="H165" s="71" t="str">
        <x:v>上海电气</x:v>
      </x:c>
      <x:c r="I165" s="71" t="str">
        <x:v>负向释放继承被释放正向事件供应商</x:v>
      </x:c>
      <x:c r="J165" s="71" t="str">
        <x:v>修复随机供应商导致的占用链错配</x:v>
      </x:c>
      <x:c r="K165" s="71" t="str">
        <x:v>CORRECTED</x:v>
      </x:c>
      <x:c r="L165" s="74" t="n">
        <x:v>46249</x:v>
      </x:c>
      <x:c r="M165" s="62" t="str">
        <x:v>S002</x:v>
      </x:c>
      <x:c r="N165" s="62" t="str">
        <x:v>SIMULATED_CURATED-v0.1</x:v>
      </x:c>
    </x:row>
    <x:row r="166" ht="44" customHeight="1">
      <x:c r="A166" s="62" t="str">
        <x:v>CHG-VND-087</x:v>
      </x:c>
      <x:c r="B166" s="62" t="str">
        <x:v>2025占用</x:v>
      </x:c>
      <x:c r="C166" s="71" t="str">
        <x:v>2025年预算占用.XLSX</x:v>
      </x:c>
      <x:c r="D166" s="71" t="str">
        <x:v>Sheet</x:v>
      </x:c>
      <x:c r="E166" s="71" t="str">
        <x:v>Sheet!88:88</x:v>
      </x:c>
      <x:c r="F166" s="71" t="str">
        <x:v>供应商</x:v>
      </x:c>
      <x:c r="G166" s="71" t="str">
        <x:v>上海电气</x:v>
      </x:c>
      <x:c r="H166" s="71" t="str">
        <x:v>国电智深</x:v>
      </x:c>
      <x:c r="I166" s="71" t="str">
        <x:v>负向释放继承被释放正向事件供应商</x:v>
      </x:c>
      <x:c r="J166" s="71" t="str">
        <x:v>修复随机供应商导致的占用链错配</x:v>
      </x:c>
      <x:c r="K166" s="71" t="str">
        <x:v>CORRECTED</x:v>
      </x:c>
      <x:c r="L166" s="74" t="n">
        <x:v>46249</x:v>
      </x:c>
      <x:c r="M166" s="62" t="str">
        <x:v>S002</x:v>
      </x:c>
      <x:c r="N166" s="62" t="str">
        <x:v>SIMULATED_CURATED-v0.1</x:v>
      </x:c>
    </x:row>
    <x:row r="167" ht="44" customHeight="1">
      <x:c r="A167" s="62" t="str">
        <x:v>CHG-VND-088</x:v>
      </x:c>
      <x:c r="B167" s="62" t="str">
        <x:v>2025占用</x:v>
      </x:c>
      <x:c r="C167" s="71" t="str">
        <x:v>2025年预算占用.XLSX</x:v>
      </x:c>
      <x:c r="D167" s="71" t="str">
        <x:v>Sheet</x:v>
      </x:c>
      <x:c r="E167" s="71" t="str">
        <x:v>Sheet!89:89</x:v>
      </x:c>
      <x:c r="F167" s="71" t="str">
        <x:v>供应商</x:v>
      </x:c>
      <x:c r="G167" s="71" t="str">
        <x:v>国电智深</x:v>
      </x:c>
      <x:c r="H167" s="71" t="str">
        <x:v>华能服务</x:v>
      </x:c>
      <x:c r="I167" s="71" t="str">
        <x:v>负向释放继承被释放正向事件供应商</x:v>
      </x:c>
      <x:c r="J167" s="71" t="str">
        <x:v>修复随机供应商导致的占用链错配</x:v>
      </x:c>
      <x:c r="K167" s="71" t="str">
        <x:v>CORRECTED</x:v>
      </x:c>
      <x:c r="L167" s="74" t="n">
        <x:v>46249</x:v>
      </x:c>
      <x:c r="M167" s="62" t="str">
        <x:v>S002</x:v>
      </x:c>
      <x:c r="N167" s="62" t="str">
        <x:v>SIMULATED_CURATED-v0.1</x:v>
      </x:c>
    </x:row>
    <x:row r="168" ht="44" customHeight="1">
      <x:c r="A168" s="62" t="str">
        <x:v>CHG-VND-091</x:v>
      </x:c>
      <x:c r="B168" s="62" t="str">
        <x:v>2025占用</x:v>
      </x:c>
      <x:c r="C168" s="71" t="str">
        <x:v>2025年预算占用.XLSX</x:v>
      </x:c>
      <x:c r="D168" s="71" t="str">
        <x:v>Sheet</x:v>
      </x:c>
      <x:c r="E168" s="71" t="str">
        <x:v>Sheet!92:92</x:v>
      </x:c>
      <x:c r="F168" s="71" t="str">
        <x:v>供应商</x:v>
      </x:c>
      <x:c r="G168" s="71" t="str">
        <x:v>国电智深</x:v>
      </x:c>
      <x:c r="H168" s="71" t="str">
        <x:v>上海电气</x:v>
      </x:c>
      <x:c r="I168" s="71" t="str">
        <x:v>负向释放继承被释放正向事件供应商</x:v>
      </x:c>
      <x:c r="J168" s="71" t="str">
        <x:v>修复随机供应商导致的占用链错配</x:v>
      </x:c>
      <x:c r="K168" s="71" t="str">
        <x:v>CORRECTED</x:v>
      </x:c>
      <x:c r="L168" s="74" t="n">
        <x:v>46249</x:v>
      </x:c>
      <x:c r="M168" s="62" t="str">
        <x:v>S002</x:v>
      </x:c>
      <x:c r="N168" s="62" t="str">
        <x:v>SIMULATED_CURATED-v0.1</x:v>
      </x:c>
    </x:row>
    <x:row r="169" ht="44" customHeight="1">
      <x:c r="A169" s="62" t="str">
        <x:v>CHG-VND-092</x:v>
      </x:c>
      <x:c r="B169" s="62" t="str">
        <x:v>2025占用</x:v>
      </x:c>
      <x:c r="C169" s="71" t="str">
        <x:v>2025年预算占用.XLSX</x:v>
      </x:c>
      <x:c r="D169" s="71" t="str">
        <x:v>Sheet</x:v>
      </x:c>
      <x:c r="E169" s="71" t="str">
        <x:v>Sheet!93:93</x:v>
      </x:c>
      <x:c r="F169" s="71" t="str">
        <x:v>供应商</x:v>
      </x:c>
      <x:c r="G169" s="71" t="str">
        <x:v>苏州热工</x:v>
      </x:c>
      <x:c r="H169" s="71" t="str">
        <x:v>北京核工院</x:v>
      </x:c>
      <x:c r="I169" s="71" t="str">
        <x:v>负向释放继承被释放正向事件供应商</x:v>
      </x:c>
      <x:c r="J169" s="71" t="str">
        <x:v>修复随机供应商导致的占用链错配</x:v>
      </x:c>
      <x:c r="K169" s="71" t="str">
        <x:v>CORRECTED</x:v>
      </x:c>
      <x:c r="L169" s="74" t="n">
        <x:v>46249</x:v>
      </x:c>
      <x:c r="M169" s="62" t="str">
        <x:v>S002</x:v>
      </x:c>
      <x:c r="N169" s="62" t="str">
        <x:v>SIMULATED_CURATED-v0.1</x:v>
      </x:c>
    </x:row>
    <x:row r="170" ht="44" customHeight="1">
      <x:c r="A170" s="62" t="str">
        <x:v>CHG-VND-095</x:v>
      </x:c>
      <x:c r="B170" s="62" t="str">
        <x:v>2025占用</x:v>
      </x:c>
      <x:c r="C170" s="71" t="str">
        <x:v>2025年预算占用.XLSX</x:v>
      </x:c>
      <x:c r="D170" s="71" t="str">
        <x:v>Sheet</x:v>
      </x:c>
      <x:c r="E170" s="71" t="str">
        <x:v>Sheet!96:96</x:v>
      </x:c>
      <x:c r="F170" s="71" t="str">
        <x:v>供应商</x:v>
      </x:c>
      <x:c r="G170" s="71" t="str">
        <x:v>上海电气</x:v>
      </x:c>
      <x:c r="H170" s="71" t="str">
        <x:v>北京核工院</x:v>
      </x:c>
      <x:c r="I170" s="71" t="str">
        <x:v>负向释放继承被释放正向事件供应商</x:v>
      </x:c>
      <x:c r="J170" s="71" t="str">
        <x:v>修复随机供应商导致的占用链错配</x:v>
      </x:c>
      <x:c r="K170" s="71" t="str">
        <x:v>CORRECTED</x:v>
      </x:c>
      <x:c r="L170" s="74" t="n">
        <x:v>46249</x:v>
      </x:c>
      <x:c r="M170" s="62" t="str">
        <x:v>S002</x:v>
      </x:c>
      <x:c r="N170" s="62" t="str">
        <x:v>SIMULATED_CURATED-v0.1</x:v>
      </x:c>
    </x:row>
    <x:row r="171" ht="44" customHeight="1">
      <x:c r="A171" s="62" t="str">
        <x:v>CHG-VND-096</x:v>
      </x:c>
      <x:c r="B171" s="62" t="str">
        <x:v>2025占用</x:v>
      </x:c>
      <x:c r="C171" s="71" t="str">
        <x:v>2025年预算占用.XLSX</x:v>
      </x:c>
      <x:c r="D171" s="71" t="str">
        <x:v>Sheet</x:v>
      </x:c>
      <x:c r="E171" s="71" t="str">
        <x:v>Sheet!97:97</x:v>
      </x:c>
      <x:c r="F171" s="71" t="str">
        <x:v>供应商</x:v>
      </x:c>
      <x:c r="G171" s="71" t="str">
        <x:v>中核运维</x:v>
      </x:c>
      <x:c r="H171" s="71" t="str">
        <x:v>上海电气</x:v>
      </x:c>
      <x:c r="I171" s="71" t="str">
        <x:v>负向释放继承被释放正向事件供应商</x:v>
      </x:c>
      <x:c r="J171" s="71" t="str">
        <x:v>修复随机供应商导致的占用链错配</x:v>
      </x:c>
      <x:c r="K171" s="71" t="str">
        <x:v>CORRECTED</x:v>
      </x:c>
      <x:c r="L171" s="74" t="n">
        <x:v>46249</x:v>
      </x:c>
      <x:c r="M171" s="62" t="str">
        <x:v>S002</x:v>
      </x:c>
      <x:c r="N171" s="62" t="str">
        <x:v>SIMULATED_CURATED-v0.1</x:v>
      </x:c>
    </x:row>
    <x:row r="172" ht="44" customHeight="1">
      <x:c r="A172" s="62" t="str">
        <x:v>CHG-VND-099</x:v>
      </x:c>
      <x:c r="B172" s="62" t="str">
        <x:v>2025占用</x:v>
      </x:c>
      <x:c r="C172" s="71" t="str">
        <x:v>2025年预算占用.XLSX</x:v>
      </x:c>
      <x:c r="D172" s="71" t="str">
        <x:v>Sheet</x:v>
      </x:c>
      <x:c r="E172" s="71" t="str">
        <x:v>Sheet!100:100</x:v>
      </x:c>
      <x:c r="F172" s="71" t="str">
        <x:v>供应商</x:v>
      </x:c>
      <x:c r="G172" s="71" t="str">
        <x:v>国电智深</x:v>
      </x:c>
      <x:c r="H172" s="71" t="str">
        <x:v>上海电气</x:v>
      </x:c>
      <x:c r="I172" s="71" t="str">
        <x:v>负向释放继承被释放正向事件供应商</x:v>
      </x:c>
      <x:c r="J172" s="71" t="str">
        <x:v>修复随机供应商导致的占用链错配</x:v>
      </x:c>
      <x:c r="K172" s="71" t="str">
        <x:v>CORRECTED</x:v>
      </x:c>
      <x:c r="L172" s="74" t="n">
        <x:v>46249</x:v>
      </x:c>
      <x:c r="M172" s="62" t="str">
        <x:v>S002</x:v>
      </x:c>
      <x:c r="N172" s="62" t="str">
        <x:v>SIMULATED_CURATED-v0.1</x:v>
      </x:c>
    </x:row>
    <x:row r="173" ht="44" customHeight="1">
      <x:c r="A173" s="62" t="str">
        <x:v>CHG-VND-102</x:v>
      </x:c>
      <x:c r="B173" s="62" t="str">
        <x:v>2025占用</x:v>
      </x:c>
      <x:c r="C173" s="71" t="str">
        <x:v>2025年预算占用.XLSX</x:v>
      </x:c>
      <x:c r="D173" s="71" t="str">
        <x:v>Sheet</x:v>
      </x:c>
      <x:c r="E173" s="71" t="str">
        <x:v>Sheet!103:103</x:v>
      </x:c>
      <x:c r="F173" s="71" t="str">
        <x:v>供应商</x:v>
      </x:c>
      <x:c r="G173" s="71" t="str">
        <x:v>上海电气</x:v>
      </x:c>
      <x:c r="H173" s="71" t="str">
        <x:v>北京核工院</x:v>
      </x:c>
      <x:c r="I173" s="71" t="str">
        <x:v>负向释放继承被释放正向事件供应商</x:v>
      </x:c>
      <x:c r="J173" s="71" t="str">
        <x:v>修复随机供应商导致的占用链错配</x:v>
      </x:c>
      <x:c r="K173" s="71" t="str">
        <x:v>CORRECTED</x:v>
      </x:c>
      <x:c r="L173" s="74" t="n">
        <x:v>46249</x:v>
      </x:c>
      <x:c r="M173" s="62" t="str">
        <x:v>S002</x:v>
      </x:c>
      <x:c r="N173" s="62" t="str">
        <x:v>SIMULATED_CURATED-v0.1</x:v>
      </x:c>
    </x:row>
    <x:row r="174" ht="44" customHeight="1">
      <x:c r="A174" s="62" t="str">
        <x:v>CHG-VND-105</x:v>
      </x:c>
      <x:c r="B174" s="62" t="str">
        <x:v>2025占用</x:v>
      </x:c>
      <x:c r="C174" s="71" t="str">
        <x:v>2025年预算占用.XLSX</x:v>
      </x:c>
      <x:c r="D174" s="71" t="str">
        <x:v>Sheet</x:v>
      </x:c>
      <x:c r="E174" s="71" t="str">
        <x:v>Sheet!106:106</x:v>
      </x:c>
      <x:c r="F174" s="71" t="str">
        <x:v>供应商</x:v>
      </x:c>
      <x:c r="G174" s="71" t="str">
        <x:v>苏州热工</x:v>
      </x:c>
      <x:c r="H174" s="71" t="str">
        <x:v>上海电气</x:v>
      </x:c>
      <x:c r="I174" s="71" t="str">
        <x:v>负向释放继承被释放正向事件供应商</x:v>
      </x:c>
      <x:c r="J174" s="71" t="str">
        <x:v>修复随机供应商导致的占用链错配</x:v>
      </x:c>
      <x:c r="K174" s="71" t="str">
        <x:v>CORRECTED</x:v>
      </x:c>
      <x:c r="L174" s="74" t="n">
        <x:v>46249</x:v>
      </x:c>
      <x:c r="M174" s="62" t="str">
        <x:v>S002</x:v>
      </x:c>
      <x:c r="N174" s="62" t="str">
        <x:v>SIMULATED_CURATED-v0.1</x:v>
      </x:c>
    </x:row>
    <x:row r="175" ht="44" customHeight="1">
      <x:c r="A175" s="62" t="str">
        <x:v>CHG-BAL-001</x:v>
      </x:c>
      <x:c r="B175" s="62" t="str">
        <x:v>项目可用立项余额</x:v>
      </x:c>
      <x:c r="C175" s="71" t="str">
        <x:v>项目预算使用情况表.xlsx</x:v>
      </x:c>
      <x:c r="D175" s="71" t="str">
        <x:v>Sheet</x:v>
      </x:c>
      <x:c r="E175" s="71" t="str">
        <x:v>Sheet!2:2</x:v>
      </x:c>
      <x:c r="F175" s="71" t="str">
        <x:v>已使用金额</x:v>
      </x:c>
      <x:c r="G175" s="71" t="n">
        <x:v>397</x:v>
      </x:c>
      <x:c r="H175" s="71" t="str">
        <x:v>重算公式：累计实际+净在途+未结计提（见12_项目可用立项余额第2行）</x:v>
      </x:c>
      <x:c r="I175" s="71" t="str">
        <x:v>2025-12-31快照重算</x:v>
      </x:c>
      <x:c r="J175" s="71" t="str">
        <x:v>用户授权按确认快照和已使用组成直接修改演示数据</x:v>
      </x:c>
      <x:c r="K175" s="71" t="str">
        <x:v>DERIVED</x:v>
      </x:c>
      <x:c r="L175" s="74" t="n">
        <x:v>46249</x:v>
      </x:c>
      <x:c r="M175" s="62" t="str">
        <x:v>S002</x:v>
      </x:c>
      <x:c r="N175" s="62" t="str">
        <x:v>SIMULATED_CURATED-v0.1</x:v>
      </x:c>
    </x:row>
    <x:row r="176" ht="44" customHeight="1">
      <x:c r="A176" s="62" t="str">
        <x:v>CHG-BAL-002</x:v>
      </x:c>
      <x:c r="B176" s="62" t="str">
        <x:v>项目可用立项余额</x:v>
      </x:c>
      <x:c r="C176" s="71" t="str">
        <x:v>项目预算使用情况表.xlsx</x:v>
      </x:c>
      <x:c r="D176" s="71" t="str">
        <x:v>Sheet</x:v>
      </x:c>
      <x:c r="E176" s="71" t="str">
        <x:v>Sheet!3:3</x:v>
      </x:c>
      <x:c r="F176" s="71" t="str">
        <x:v>已使用金额</x:v>
      </x:c>
      <x:c r="G176" s="71" t="n">
        <x:v>407</x:v>
      </x:c>
      <x:c r="H176" s="71" t="str">
        <x:v>重算公式：累计实际+净在途+未结计提（见12_项目可用立项余额第3行）</x:v>
      </x:c>
      <x:c r="I176" s="71" t="str">
        <x:v>2025-12-31快照重算</x:v>
      </x:c>
      <x:c r="J176" s="71" t="str">
        <x:v>用户授权按确认快照和已使用组成直接修改演示数据</x:v>
      </x:c>
      <x:c r="K176" s="71" t="str">
        <x:v>DERIVED</x:v>
      </x:c>
      <x:c r="L176" s="74" t="n">
        <x:v>46249</x:v>
      </x:c>
      <x:c r="M176" s="62" t="str">
        <x:v>S002</x:v>
      </x:c>
      <x:c r="N176" s="62" t="str">
        <x:v>SIMULATED_CURATED-v0.1</x:v>
      </x:c>
    </x:row>
    <x:row r="177" ht="44" customHeight="1">
      <x:c r="A177" s="62" t="str">
        <x:v>CHG-BAL-003</x:v>
      </x:c>
      <x:c r="B177" s="62" t="str">
        <x:v>项目可用立项余额</x:v>
      </x:c>
      <x:c r="C177" s="71" t="str">
        <x:v>项目预算使用情况表.xlsx</x:v>
      </x:c>
      <x:c r="D177" s="71" t="str">
        <x:v>Sheet</x:v>
      </x:c>
      <x:c r="E177" s="71" t="str">
        <x:v>Sheet!4:4</x:v>
      </x:c>
      <x:c r="F177" s="71" t="str">
        <x:v>已使用金额</x:v>
      </x:c>
      <x:c r="G177" s="71" t="n">
        <x:v>596</x:v>
      </x:c>
      <x:c r="H177" s="71" t="str">
        <x:v>重算公式：累计实际+净在途+未结计提（见12_项目可用立项余额第4行）</x:v>
      </x:c>
      <x:c r="I177" s="71" t="str">
        <x:v>2025-12-31快照重算</x:v>
      </x:c>
      <x:c r="J177" s="71" t="str">
        <x:v>用户授权按确认快照和已使用组成直接修改演示数据</x:v>
      </x:c>
      <x:c r="K177" s="71" t="str">
        <x:v>DERIVED</x:v>
      </x:c>
      <x:c r="L177" s="74" t="n">
        <x:v>46249</x:v>
      </x:c>
      <x:c r="M177" s="62" t="str">
        <x:v>S002</x:v>
      </x:c>
      <x:c r="N177" s="62" t="str">
        <x:v>SIMULATED_CURATED-v0.1</x:v>
      </x:c>
    </x:row>
    <x:row r="178" ht="44" customHeight="1">
      <x:c r="A178" s="62" t="str">
        <x:v>CHG-BAL-004</x:v>
      </x:c>
      <x:c r="B178" s="62" t="str">
        <x:v>项目可用立项余额</x:v>
      </x:c>
      <x:c r="C178" s="71" t="str">
        <x:v>项目预算使用情况表.xlsx</x:v>
      </x:c>
      <x:c r="D178" s="71" t="str">
        <x:v>Sheet</x:v>
      </x:c>
      <x:c r="E178" s="71" t="str">
        <x:v>Sheet!5:5</x:v>
      </x:c>
      <x:c r="F178" s="71" t="str">
        <x:v>已使用金额</x:v>
      </x:c>
      <x:c r="G178" s="71" t="n">
        <x:v>90</x:v>
      </x:c>
      <x:c r="H178" s="71" t="str">
        <x:v>重算公式：累计实际+净在途+未结计提（见12_项目可用立项余额第5行）</x:v>
      </x:c>
      <x:c r="I178" s="71" t="str">
        <x:v>2025-12-31快照重算</x:v>
      </x:c>
      <x:c r="J178" s="71" t="str">
        <x:v>用户授权按确认快照和已使用组成直接修改演示数据</x:v>
      </x:c>
      <x:c r="K178" s="71" t="str">
        <x:v>DERIVED</x:v>
      </x:c>
      <x:c r="L178" s="74" t="n">
        <x:v>46249</x:v>
      </x:c>
      <x:c r="M178" s="62" t="str">
        <x:v>S002</x:v>
      </x:c>
      <x:c r="N178" s="62" t="str">
        <x:v>SIMULATED_CURATED-v0.1</x:v>
      </x:c>
    </x:row>
    <x:row r="179" ht="44" customHeight="1">
      <x:c r="A179" s="62" t="str">
        <x:v>CHG-BAL-005</x:v>
      </x:c>
      <x:c r="B179" s="62" t="str">
        <x:v>项目可用立项余额</x:v>
      </x:c>
      <x:c r="C179" s="71" t="str">
        <x:v>项目预算使用情况表.xlsx</x:v>
      </x:c>
      <x:c r="D179" s="71" t="str">
        <x:v>Sheet</x:v>
      </x:c>
      <x:c r="E179" s="71" t="str">
        <x:v>Sheet!6:6</x:v>
      </x:c>
      <x:c r="F179" s="71" t="str">
        <x:v>已使用金额</x:v>
      </x:c>
      <x:c r="G179" s="71" t="n">
        <x:v>163</x:v>
      </x:c>
      <x:c r="H179" s="71" t="str">
        <x:v>重算公式：累计实际+净在途+未结计提（见12_项目可用立项余额第6行）</x:v>
      </x:c>
      <x:c r="I179" s="71" t="str">
        <x:v>2025-12-31快照重算</x:v>
      </x:c>
      <x:c r="J179" s="71" t="str">
        <x:v>用户授权按确认快照和已使用组成直接修改演示数据</x:v>
      </x:c>
      <x:c r="K179" s="71" t="str">
        <x:v>DERIVED</x:v>
      </x:c>
      <x:c r="L179" s="74" t="n">
        <x:v>46249</x:v>
      </x:c>
      <x:c r="M179" s="62" t="str">
        <x:v>S002</x:v>
      </x:c>
      <x:c r="N179" s="62" t="str">
        <x:v>SIMULATED_CURATED-v0.1</x:v>
      </x:c>
    </x:row>
    <x:row r="180" ht="44" customHeight="1">
      <x:c r="A180" s="62" t="str">
        <x:v>CHG-BAL-006</x:v>
      </x:c>
      <x:c r="B180" s="62" t="str">
        <x:v>项目可用立项余额</x:v>
      </x:c>
      <x:c r="C180" s="71" t="str">
        <x:v>项目预算使用情况表.xlsx</x:v>
      </x:c>
      <x:c r="D180" s="71" t="str">
        <x:v>Sheet</x:v>
      </x:c>
      <x:c r="E180" s="71" t="str">
        <x:v>Sheet!7:7</x:v>
      </x:c>
      <x:c r="F180" s="71" t="str">
        <x:v>已使用金额</x:v>
      </x:c>
      <x:c r="G180" s="71" t="n">
        <x:v>78</x:v>
      </x:c>
      <x:c r="H180" s="71" t="str">
        <x:v>重算公式：累计实际+净在途+未结计提（见12_项目可用立项余额第7行）</x:v>
      </x:c>
      <x:c r="I180" s="71" t="str">
        <x:v>2025-12-31快照重算</x:v>
      </x:c>
      <x:c r="J180" s="71" t="str">
        <x:v>用户授权按确认快照和已使用组成直接修改演示数据</x:v>
      </x:c>
      <x:c r="K180" s="71" t="str">
        <x:v>DERIVED</x:v>
      </x:c>
      <x:c r="L180" s="74" t="n">
        <x:v>46249</x:v>
      </x:c>
      <x:c r="M180" s="62" t="str">
        <x:v>S002</x:v>
      </x:c>
      <x:c r="N180" s="62" t="str">
        <x:v>SIMULATED_CURATED-v0.1</x:v>
      </x:c>
    </x:row>
    <x:row r="181" ht="44" customHeight="1">
      <x:c r="A181" s="62" t="str">
        <x:v>CHG-BAL-007</x:v>
      </x:c>
      <x:c r="B181" s="62" t="str">
        <x:v>项目可用立项余额</x:v>
      </x:c>
      <x:c r="C181" s="71" t="str">
        <x:v>项目预算使用情况表.xlsx</x:v>
      </x:c>
      <x:c r="D181" s="71" t="str">
        <x:v>Sheet</x:v>
      </x:c>
      <x:c r="E181" s="71" t="str">
        <x:v>Sheet!8:8</x:v>
      </x:c>
      <x:c r="F181" s="71" t="str">
        <x:v>已使用金额</x:v>
      </x:c>
      <x:c r="G181" s="71" t="n">
        <x:v>153</x:v>
      </x:c>
      <x:c r="H181" s="71" t="str">
        <x:v>重算公式：累计实际+净在途+未结计提（见12_项目可用立项余额第8行）</x:v>
      </x:c>
      <x:c r="I181" s="71" t="str">
        <x:v>2025-12-31快照重算</x:v>
      </x:c>
      <x:c r="J181" s="71" t="str">
        <x:v>用户授权按确认快照和已使用组成直接修改演示数据</x:v>
      </x:c>
      <x:c r="K181" s="71" t="str">
        <x:v>DERIVED</x:v>
      </x:c>
      <x:c r="L181" s="74" t="n">
        <x:v>46249</x:v>
      </x:c>
      <x:c r="M181" s="62" t="str">
        <x:v>S002</x:v>
      </x:c>
      <x:c r="N181" s="62" t="str">
        <x:v>SIMULATED_CURATED-v0.1</x:v>
      </x:c>
    </x:row>
    <x:row r="182" ht="44" customHeight="1">
      <x:c r="A182" s="62" t="str">
        <x:v>CHG-BAL-008</x:v>
      </x:c>
      <x:c r="B182" s="62" t="str">
        <x:v>项目可用立项余额</x:v>
      </x:c>
      <x:c r="C182" s="71" t="str">
        <x:v>项目预算使用情况表.xlsx</x:v>
      </x:c>
      <x:c r="D182" s="71" t="str">
        <x:v>Sheet</x:v>
      </x:c>
      <x:c r="E182" s="71" t="str">
        <x:v>Sheet!9:9</x:v>
      </x:c>
      <x:c r="F182" s="71" t="str">
        <x:v>已使用金额</x:v>
      </x:c>
      <x:c r="G182" s="71" t="n">
        <x:v>79</x:v>
      </x:c>
      <x:c r="H182" s="71" t="str">
        <x:v>重算公式：累计实际+净在途+未结计提（见12_项目可用立项余额第9行）</x:v>
      </x:c>
      <x:c r="I182" s="71" t="str">
        <x:v>2025-12-31快照重算</x:v>
      </x:c>
      <x:c r="J182" s="71" t="str">
        <x:v>用户授权按确认快照和已使用组成直接修改演示数据</x:v>
      </x:c>
      <x:c r="K182" s="71" t="str">
        <x:v>DERIVED</x:v>
      </x:c>
      <x:c r="L182" s="74" t="n">
        <x:v>46249</x:v>
      </x:c>
      <x:c r="M182" s="62" t="str">
        <x:v>S002</x:v>
      </x:c>
      <x:c r="N182" s="62" t="str">
        <x:v>SIMULATED_CURATED-v0.1</x:v>
      </x:c>
    </x:row>
    <x:row r="183" ht="44" customHeight="1">
      <x:c r="A183" s="62" t="str">
        <x:v>CHG-BAL-009</x:v>
      </x:c>
      <x:c r="B183" s="62" t="str">
        <x:v>项目可用立项余额</x:v>
      </x:c>
      <x:c r="C183" s="71" t="str">
        <x:v>项目预算使用情况表.xlsx</x:v>
      </x:c>
      <x:c r="D183" s="71" t="str">
        <x:v>Sheet</x:v>
      </x:c>
      <x:c r="E183" s="71" t="str">
        <x:v>Sheet!10:10</x:v>
      </x:c>
      <x:c r="F183" s="71" t="str">
        <x:v>已使用金额</x:v>
      </x:c>
      <x:c r="G183" s="71" t="n">
        <x:v>112</x:v>
      </x:c>
      <x:c r="H183" s="71" t="str">
        <x:v>重算公式：累计实际+净在途+未结计提（见12_项目可用立项余额第10行）</x:v>
      </x:c>
      <x:c r="I183" s="71" t="str">
        <x:v>2025-12-31快照重算</x:v>
      </x:c>
      <x:c r="J183" s="71" t="str">
        <x:v>用户授权按确认快照和已使用组成直接修改演示数据</x:v>
      </x:c>
      <x:c r="K183" s="71" t="str">
        <x:v>DERIVED</x:v>
      </x:c>
      <x:c r="L183" s="74" t="n">
        <x:v>46249</x:v>
      </x:c>
      <x:c r="M183" s="62" t="str">
        <x:v>S002</x:v>
      </x:c>
      <x:c r="N183" s="62" t="str">
        <x:v>SIMULATED_CURATED-v0.1</x:v>
      </x:c>
    </x:row>
    <x:row r="184" ht="44" customHeight="1">
      <x:c r="A184" s="62" t="str">
        <x:v>CHG-BAL-010</x:v>
      </x:c>
      <x:c r="B184" s="62" t="str">
        <x:v>项目可用立项余额</x:v>
      </x:c>
      <x:c r="C184" s="71" t="str">
        <x:v>项目预算使用情况表.xlsx</x:v>
      </x:c>
      <x:c r="D184" s="71" t="str">
        <x:v>Sheet</x:v>
      </x:c>
      <x:c r="E184" s="71" t="str">
        <x:v>Sheet!11:11</x:v>
      </x:c>
      <x:c r="F184" s="71" t="str">
        <x:v>已使用金额</x:v>
      </x:c>
      <x:c r="G184" s="71" t="n">
        <x:v>117</x:v>
      </x:c>
      <x:c r="H184" s="71" t="str">
        <x:v>重算公式：累计实际+净在途+未结计提（见12_项目可用立项余额第11行）</x:v>
      </x:c>
      <x:c r="I184" s="71" t="str">
        <x:v>2025-12-31快照重算</x:v>
      </x:c>
      <x:c r="J184" s="71" t="str">
        <x:v>用户授权按确认快照和已使用组成直接修改演示数据</x:v>
      </x:c>
      <x:c r="K184" s="71" t="str">
        <x:v>DERIVED</x:v>
      </x:c>
      <x:c r="L184" s="74" t="n">
        <x:v>46249</x:v>
      </x:c>
      <x:c r="M184" s="62" t="str">
        <x:v>S002</x:v>
      </x:c>
      <x:c r="N184" s="62" t="str">
        <x:v>SIMULATED_CURATED-v0.1</x:v>
      </x:c>
    </x:row>
    <x:row r="185" ht="44" customHeight="1">
      <x:c r="A185" s="62" t="str">
        <x:v>CHG-BAL-011</x:v>
      </x:c>
      <x:c r="B185" s="62" t="str">
        <x:v>项目可用立项余额</x:v>
      </x:c>
      <x:c r="C185" s="71" t="str">
        <x:v>项目预算使用情况表.xlsx</x:v>
      </x:c>
      <x:c r="D185" s="71" t="str">
        <x:v>Sheet</x:v>
      </x:c>
      <x:c r="E185" s="71" t="str">
        <x:v>Sheet!12:12</x:v>
      </x:c>
      <x:c r="F185" s="71" t="str">
        <x:v>已使用金额</x:v>
      </x:c>
      <x:c r="G185" s="71" t="n">
        <x:v>173</x:v>
      </x:c>
      <x:c r="H185" s="71" t="str">
        <x:v>重算公式：累计实际+净在途+未结计提（见12_项目可用立项余额第12行）</x:v>
      </x:c>
      <x:c r="I185" s="71" t="str">
        <x:v>2025-12-31快照重算</x:v>
      </x:c>
      <x:c r="J185" s="71" t="str">
        <x:v>用户授权按确认快照和已使用组成直接修改演示数据</x:v>
      </x:c>
      <x:c r="K185" s="71" t="str">
        <x:v>DERIVED</x:v>
      </x:c>
      <x:c r="L185" s="74" t="n">
        <x:v>46249</x:v>
      </x:c>
      <x:c r="M185" s="62" t="str">
        <x:v>S002</x:v>
      </x:c>
      <x:c r="N185" s="62" t="str">
        <x:v>SIMULATED_CURATED-v0.1</x:v>
      </x:c>
    </x:row>
    <x:row r="186" ht="44" customHeight="1">
      <x:c r="A186" s="62" t="str">
        <x:v>CHG-BAL-012</x:v>
      </x:c>
      <x:c r="B186" s="62" t="str">
        <x:v>项目可用立项余额</x:v>
      </x:c>
      <x:c r="C186" s="71" t="str">
        <x:v>项目预算使用情况表.xlsx</x:v>
      </x:c>
      <x:c r="D186" s="71" t="str">
        <x:v>Sheet</x:v>
      </x:c>
      <x:c r="E186" s="71" t="str">
        <x:v>Sheet!13:13</x:v>
      </x:c>
      <x:c r="F186" s="71" t="str">
        <x:v>已使用金额</x:v>
      </x:c>
      <x:c r="G186" s="71" t="n">
        <x:v>84</x:v>
      </x:c>
      <x:c r="H186" s="71" t="str">
        <x:v>重算公式：累计实际+净在途+未结计提（见12_项目可用立项余额第13行）</x:v>
      </x:c>
      <x:c r="I186" s="71" t="str">
        <x:v>2025-12-31快照重算</x:v>
      </x:c>
      <x:c r="J186" s="71" t="str">
        <x:v>用户授权按确认快照和已使用组成直接修改演示数据</x:v>
      </x:c>
      <x:c r="K186" s="71" t="str">
        <x:v>DERIVED</x:v>
      </x:c>
      <x:c r="L186" s="74" t="n">
        <x:v>46249</x:v>
      </x:c>
      <x:c r="M186" s="62" t="str">
        <x:v>S002</x:v>
      </x:c>
      <x:c r="N186" s="62" t="str">
        <x:v>SIMULATED_CURATED-v0.1</x:v>
      </x:c>
    </x:row>
    <x:row r="187" ht="44" customHeight="1">
      <x:c r="A187" s="62" t="str">
        <x:v>CHG-BAL-013</x:v>
      </x:c>
      <x:c r="B187" s="62" t="str">
        <x:v>项目可用立项余额</x:v>
      </x:c>
      <x:c r="C187" s="71" t="str">
        <x:v>项目预算使用情况表.xlsx</x:v>
      </x:c>
      <x:c r="D187" s="71" t="str">
        <x:v>Sheet</x:v>
      </x:c>
      <x:c r="E187" s="71" t="str">
        <x:v>Sheet!14:14</x:v>
      </x:c>
      <x:c r="F187" s="71" t="str">
        <x:v>已使用金额</x:v>
      </x:c>
      <x:c r="G187" s="71" t="n">
        <x:v>49</x:v>
      </x:c>
      <x:c r="H187" s="71" t="str">
        <x:v>重算公式：累计实际+净在途+未结计提（见12_项目可用立项余额第14行）</x:v>
      </x:c>
      <x:c r="I187" s="71" t="str">
        <x:v>2025-12-31快照重算</x:v>
      </x:c>
      <x:c r="J187" s="71" t="str">
        <x:v>用户授权按确认快照和已使用组成直接修改演示数据</x:v>
      </x:c>
      <x:c r="K187" s="71" t="str">
        <x:v>DERIVED</x:v>
      </x:c>
      <x:c r="L187" s="74" t="n">
        <x:v>46249</x:v>
      </x:c>
      <x:c r="M187" s="62" t="str">
        <x:v>S002</x:v>
      </x:c>
      <x:c r="N187" s="62" t="str">
        <x:v>SIMULATED_CURATED-v0.1</x:v>
      </x:c>
    </x:row>
    <x:row r="188" ht="44" customHeight="1">
      <x:c r="A188" s="62" t="str">
        <x:v>CHG-BAL-014</x:v>
      </x:c>
      <x:c r="B188" s="62" t="str">
        <x:v>项目可用立项余额</x:v>
      </x:c>
      <x:c r="C188" s="71" t="str">
        <x:v>项目预算使用情况表.xlsx</x:v>
      </x:c>
      <x:c r="D188" s="71" t="str">
        <x:v>Sheet</x:v>
      </x:c>
      <x:c r="E188" s="71" t="str">
        <x:v>Sheet!15:15</x:v>
      </x:c>
      <x:c r="F188" s="71" t="str">
        <x:v>已使用金额</x:v>
      </x:c>
      <x:c r="G188" s="71" t="n">
        <x:v>103</x:v>
      </x:c>
      <x:c r="H188" s="71" t="str">
        <x:v>重算公式：累计实际+净在途+未结计提（见12_项目可用立项余额第15行）</x:v>
      </x:c>
      <x:c r="I188" s="71" t="str">
        <x:v>2025-12-31快照重算</x:v>
      </x:c>
      <x:c r="J188" s="71" t="str">
        <x:v>用户授权按确认快照和已使用组成直接修改演示数据</x:v>
      </x:c>
      <x:c r="K188" s="71" t="str">
        <x:v>DERIVED</x:v>
      </x:c>
      <x:c r="L188" s="74" t="n">
        <x:v>46249</x:v>
      </x:c>
      <x:c r="M188" s="62" t="str">
        <x:v>S002</x:v>
      </x:c>
      <x:c r="N188" s="62" t="str">
        <x:v>SIMULATED_CURATED-v0.1</x:v>
      </x:c>
    </x:row>
    <x:row r="189" ht="44" customHeight="1">
      <x:c r="A189" s="62" t="str">
        <x:v>CHG-BAL-015</x:v>
      </x:c>
      <x:c r="B189" s="62" t="str">
        <x:v>项目可用立项余额</x:v>
      </x:c>
      <x:c r="C189" s="71" t="str">
        <x:v>项目预算使用情况表.xlsx</x:v>
      </x:c>
      <x:c r="D189" s="71" t="str">
        <x:v>Sheet</x:v>
      </x:c>
      <x:c r="E189" s="71" t="str">
        <x:v>Sheet!16:16</x:v>
      </x:c>
      <x:c r="F189" s="71" t="str">
        <x:v>已使用金额</x:v>
      </x:c>
      <x:c r="G189" s="71" t="n">
        <x:v>36</x:v>
      </x:c>
      <x:c r="H189" s="71" t="str">
        <x:v>重算公式：累计实际+净在途+未结计提（见12_项目可用立项余额第16行）</x:v>
      </x:c>
      <x:c r="I189" s="71" t="str">
        <x:v>2025-12-31快照重算</x:v>
      </x:c>
      <x:c r="J189" s="71" t="str">
        <x:v>用户授权按确认快照和已使用组成直接修改演示数据</x:v>
      </x:c>
      <x:c r="K189" s="71" t="str">
        <x:v>DERIVED</x:v>
      </x:c>
      <x:c r="L189" s="74" t="n">
        <x:v>46249</x:v>
      </x:c>
      <x:c r="M189" s="62" t="str">
        <x:v>S002</x:v>
      </x:c>
      <x:c r="N189" s="62" t="str">
        <x:v>SIMULATED_CURATED-v0.1</x:v>
      </x:c>
    </x:row>
    <x:row r="190" ht="44" customHeight="1">
      <x:c r="A190" s="62" t="str">
        <x:v>CHG-BAL-016</x:v>
      </x:c>
      <x:c r="B190" s="62" t="str">
        <x:v>项目可用立项余额</x:v>
      </x:c>
      <x:c r="C190" s="71" t="str">
        <x:v>项目预算使用情况表.xlsx</x:v>
      </x:c>
      <x:c r="D190" s="71" t="str">
        <x:v>Sheet</x:v>
      </x:c>
      <x:c r="E190" s="71" t="str">
        <x:v>Sheet!17:17</x:v>
      </x:c>
      <x:c r="F190" s="71" t="str">
        <x:v>已使用金额</x:v>
      </x:c>
      <x:c r="G190" s="71" t="n">
        <x:v>94</x:v>
      </x:c>
      <x:c r="H190" s="71" t="str">
        <x:v>重算公式：累计实际+净在途+未结计提（见12_项目可用立项余额第17行）</x:v>
      </x:c>
      <x:c r="I190" s="71" t="str">
        <x:v>2025-12-31快照重算</x:v>
      </x:c>
      <x:c r="J190" s="71" t="str">
        <x:v>用户授权按确认快照和已使用组成直接修改演示数据</x:v>
      </x:c>
      <x:c r="K190" s="71" t="str">
        <x:v>DERIVED</x:v>
      </x:c>
      <x:c r="L190" s="74" t="n">
        <x:v>46249</x:v>
      </x:c>
      <x:c r="M190" s="62" t="str">
        <x:v>S002</x:v>
      </x:c>
      <x:c r="N190" s="62" t="str">
        <x:v>SIMULATED_CURATED-v0.1</x:v>
      </x:c>
    </x:row>
    <x:row r="191" ht="44" customHeight="1">
      <x:c r="A191" s="62" t="str">
        <x:v>CHG-BAL-017</x:v>
      </x:c>
      <x:c r="B191" s="62" t="str">
        <x:v>项目可用立项余额</x:v>
      </x:c>
      <x:c r="C191" s="71" t="str">
        <x:v>项目预算使用情况表.xlsx</x:v>
      </x:c>
      <x:c r="D191" s="71" t="str">
        <x:v>Sheet</x:v>
      </x:c>
      <x:c r="E191" s="71" t="str">
        <x:v>Sheet!18:18</x:v>
      </x:c>
      <x:c r="F191" s="71" t="str">
        <x:v>已使用金额</x:v>
      </x:c>
      <x:c r="G191" s="71" t="n">
        <x:v>56</x:v>
      </x:c>
      <x:c r="H191" s="71" t="str">
        <x:v>重算公式：累计实际+净在途+未结计提（见12_项目可用立项余额第18行）</x:v>
      </x:c>
      <x:c r="I191" s="71" t="str">
        <x:v>2025-12-31快照重算</x:v>
      </x:c>
      <x:c r="J191" s="71" t="str">
        <x:v>用户授权按确认快照和已使用组成直接修改演示数据</x:v>
      </x:c>
      <x:c r="K191" s="71" t="str">
        <x:v>DERIVED</x:v>
      </x:c>
      <x:c r="L191" s="74" t="n">
        <x:v>46249</x:v>
      </x:c>
      <x:c r="M191" s="62" t="str">
        <x:v>S002</x:v>
      </x:c>
      <x:c r="N191" s="62" t="str">
        <x:v>SIMULATED_CURATED-v0.1</x:v>
      </x:c>
    </x:row>
    <x:row r="192" ht="44" customHeight="1">
      <x:c r="A192" s="62" t="str">
        <x:v>CHG-BAL-018</x:v>
      </x:c>
      <x:c r="B192" s="62" t="str">
        <x:v>项目可用立项余额</x:v>
      </x:c>
      <x:c r="C192" s="71" t="str">
        <x:v>项目预算使用情况表.xlsx</x:v>
      </x:c>
      <x:c r="D192" s="71" t="str">
        <x:v>Sheet</x:v>
      </x:c>
      <x:c r="E192" s="71" t="str">
        <x:v>Sheet!19:19</x:v>
      </x:c>
      <x:c r="F192" s="71" t="str">
        <x:v>已使用金额</x:v>
      </x:c>
      <x:c r="G192" s="71" t="n">
        <x:v>96</x:v>
      </x:c>
      <x:c r="H192" s="71" t="str">
        <x:v>重算公式：累计实际+净在途+未结计提（见12_项目可用立项余额第19行）</x:v>
      </x:c>
      <x:c r="I192" s="71" t="str">
        <x:v>2025-12-31快照重算</x:v>
      </x:c>
      <x:c r="J192" s="71" t="str">
        <x:v>用户授权按确认快照和已使用组成直接修改演示数据</x:v>
      </x:c>
      <x:c r="K192" s="71" t="str">
        <x:v>DERIVED</x:v>
      </x:c>
      <x:c r="L192" s="74" t="n">
        <x:v>46249</x:v>
      </x:c>
      <x:c r="M192" s="62" t="str">
        <x:v>S002</x:v>
      </x:c>
      <x:c r="N192" s="62" t="str">
        <x:v>SIMULATED_CURATED-v0.1</x:v>
      </x:c>
    </x:row>
    <x:row r="193" ht="44" customHeight="1">
      <x:c r="A193" s="62" t="str">
        <x:v>CHG-BAL-019</x:v>
      </x:c>
      <x:c r="B193" s="62" t="str">
        <x:v>项目可用立项余额</x:v>
      </x:c>
      <x:c r="C193" s="71" t="str">
        <x:v>项目预算使用情况表.xlsx</x:v>
      </x:c>
      <x:c r="D193" s="71" t="str">
        <x:v>Sheet</x:v>
      </x:c>
      <x:c r="E193" s="71" t="str">
        <x:v>Sheet!20:20</x:v>
      </x:c>
      <x:c r="F193" s="71" t="str">
        <x:v>已使用金额</x:v>
      </x:c>
      <x:c r="G193" s="71" t="n">
        <x:v>67</x:v>
      </x:c>
      <x:c r="H193" s="71" t="str">
        <x:v>重算公式：累计实际+净在途+未结计提（见12_项目可用立项余额第20行）</x:v>
      </x:c>
      <x:c r="I193" s="71" t="str">
        <x:v>2025-12-31快照重算</x:v>
      </x:c>
      <x:c r="J193" s="71" t="str">
        <x:v>用户授权按确认快照和已使用组成直接修改演示数据</x:v>
      </x:c>
      <x:c r="K193" s="71" t="str">
        <x:v>DERIVED</x:v>
      </x:c>
      <x:c r="L193" s="74" t="n">
        <x:v>46249</x:v>
      </x:c>
      <x:c r="M193" s="62" t="str">
        <x:v>S002</x:v>
      </x:c>
      <x:c r="N193" s="62" t="str">
        <x:v>SIMULATED_CURATED-v0.1</x:v>
      </x:c>
    </x:row>
    <x:row r="194" ht="44" customHeight="1">
      <x:c r="A194" s="62" t="str">
        <x:v>CHG-BAL-020</x:v>
      </x:c>
      <x:c r="B194" s="62" t="str">
        <x:v>项目可用立项余额</x:v>
      </x:c>
      <x:c r="C194" s="71" t="str">
        <x:v>项目预算使用情况表.xlsx</x:v>
      </x:c>
      <x:c r="D194" s="71" t="str">
        <x:v>Sheet</x:v>
      </x:c>
      <x:c r="E194" s="71" t="str">
        <x:v>Sheet!21:21</x:v>
      </x:c>
      <x:c r="F194" s="71" t="str">
        <x:v>已使用金额</x:v>
      </x:c>
      <x:c r="G194" s="71" t="n">
        <x:v>68</x:v>
      </x:c>
      <x:c r="H194" s="71" t="str">
        <x:v>重算公式：累计实际+净在途+未结计提（见12_项目可用立项余额第21行）</x:v>
      </x:c>
      <x:c r="I194" s="71" t="str">
        <x:v>2025-12-31快照重算</x:v>
      </x:c>
      <x:c r="J194" s="71" t="str">
        <x:v>用户授权按确认快照和已使用组成直接修改演示数据</x:v>
      </x:c>
      <x:c r="K194" s="71" t="str">
        <x:v>DERIVED</x:v>
      </x:c>
      <x:c r="L194" s="74" t="n">
        <x:v>46249</x:v>
      </x:c>
      <x:c r="M194" s="62" t="str">
        <x:v>S002</x:v>
      </x:c>
      <x:c r="N194" s="62" t="str">
        <x:v>SIMULATED_CURATED-v0.1</x:v>
      </x:c>
    </x:row>
    <x:row r="195" ht="44" customHeight="1">
      <x:c r="A195" s="62" t="str">
        <x:v>CHG-BAL-021</x:v>
      </x:c>
      <x:c r="B195" s="62" t="str">
        <x:v>项目可用立项余额</x:v>
      </x:c>
      <x:c r="C195" s="71" t="str">
        <x:v>项目预算使用情况表.xlsx</x:v>
      </x:c>
      <x:c r="D195" s="71" t="str">
        <x:v>Sheet</x:v>
      </x:c>
      <x:c r="E195" s="71" t="str">
        <x:v>Sheet!22:22</x:v>
      </x:c>
      <x:c r="F195" s="71" t="str">
        <x:v>已使用金额</x:v>
      </x:c>
      <x:c r="G195" s="71" t="n">
        <x:v>62</x:v>
      </x:c>
      <x:c r="H195" s="71" t="str">
        <x:v>重算公式：累计实际+净在途+未结计提（见12_项目可用立项余额第22行）</x:v>
      </x:c>
      <x:c r="I195" s="71" t="str">
        <x:v>2025-12-31快照重算</x:v>
      </x:c>
      <x:c r="J195" s="71" t="str">
        <x:v>用户授权按确认快照和已使用组成直接修改演示数据</x:v>
      </x:c>
      <x:c r="K195" s="71" t="str">
        <x:v>DERIVED</x:v>
      </x:c>
      <x:c r="L195" s="74" t="n">
        <x:v>46249</x:v>
      </x:c>
      <x:c r="M195" s="62" t="str">
        <x:v>S002</x:v>
      </x:c>
      <x:c r="N195" s="62" t="str">
        <x:v>SIMULATED_CURATED-v0.1</x:v>
      </x:c>
    </x:row>
  </x:sheetData>
  <x:conditionalFormatting sqref="K2:K195">
    <x:cfRule type="containsText" dxfId="63" priority="1" operator="containsText" text="SYNTHETIC_FOR_DEMO"/>
    <x:cfRule type="containsText" dxfId="64" priority="2" operator="containsText" text="CORRECT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11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  <x:col min="14" max="14" width="15" hidden="0" customWidth="1"/>
    <x:col min="15" max="15" width="12" hidden="0" customWidth="1"/>
    <x:col min="16" max="16" width="17" hidden="0" customWidth="1"/>
    <x:col min="17" max="17" width="17" hidden="0" customWidth="1"/>
    <x:col min="18" max="18" width="10" hidden="0" customWidth="1"/>
    <x:col min="19" max="19" width="10" hidden="0" customWidth="1"/>
    <x:col min="20" max="20" width="16" hidden="0" customWidth="1"/>
    <x:col min="21" max="21" width="18" hidden="0" customWidth="1"/>
    <x:col min="22" max="22" width="34" hidden="0" customWidth="1"/>
    <x:col min="23" max="23" width="34" hidden="0" customWidth="1"/>
    <x:col min="24" max="24" width="18" hidden="0" customWidth="1"/>
    <x:col min="25" max="25" width="18" hidden="0" customWidth="1"/>
    <x:col min="26" max="26" width="14" hidden="0" customWidth="1"/>
    <x:col min="27" max="27" width="22" hidden="0" customWidth="1"/>
    <x:col min="28" max="28" width="28" hidden="0" customWidth="1"/>
    <x:col min="29" max="29" width="14" hidden="0" customWidth="1"/>
    <x:col min="30" max="30" width="42" hidden="0" customWidth="1"/>
    <x:col min="31" max="31" width="34" hidden="0" customWidth="1"/>
    <x:col min="32" max="32" width="16" hidden="0" customWidth="1"/>
    <x:col min="33" max="33" width="10" hidden="0" customWidth="1"/>
    <x:col min="34" max="34" width="46" hidden="0" customWidth="1"/>
    <x:col min="35" max="35" width="11" hidden="0" customWidth="1"/>
    <x:col min="36" max="36" width="11" hidden="0" customWidth="1"/>
    <x:col min="37" max="37" width="13" hidden="0" customWidth="1"/>
    <x:col min="38" max="38" width="12" hidden="0" customWidth="1"/>
  </x:cols>
  <x:sheetData>
    <x:row r="1" ht="34" customHeight="1">
      <x:c r="A1" s="68" t="str">
        <x:v>演示记录ID</x:v>
      </x:c>
      <x:c r="B1" s="69" t="str">
        <x:v>数据标记</x:v>
      </x:c>
      <x:c r="C1" s="69" t="str">
        <x:v>科目_源</x:v>
      </x:c>
      <x:c r="D1" s="69" t="str">
        <x:v>科目_语义</x:v>
      </x:c>
      <x:c r="E1" s="69" t="str">
        <x:v>原过账期间</x:v>
      </x:c>
      <x:c r="F1" s="69" t="str">
        <x:v>演示过账期间</x:v>
      </x:c>
      <x:c r="G1" s="69" t="str">
        <x:v>凭证编号</x:v>
      </x:c>
      <x:c r="H1" s="69" t="str">
        <x:v>凭证行号</x:v>
      </x:c>
      <x:c r="I1" s="69" t="str">
        <x:v>原凭证日期</x:v>
      </x:c>
      <x:c r="J1" s="69" t="str">
        <x:v>演示凭证日期</x:v>
      </x:c>
      <x:c r="K1" s="69" t="str">
        <x:v>原过账日期</x:v>
      </x:c>
      <x:c r="L1" s="69" t="str">
        <x:v>演示过账日期</x:v>
      </x:c>
      <x:c r="M1" s="69" t="str">
        <x:v>原始金额</x:v>
      </x:c>
      <x:c r="N1" s="69" t="str">
        <x:v>参考金额</x:v>
      </x:c>
      <x:c r="O1" s="69" t="str">
        <x:v>加工假设率</x:v>
      </x:c>
      <x:c r="P1" s="69" t="str">
        <x:v>演示源符号金额</x:v>
      </x:c>
      <x:c r="Q1" s="69" t="str">
        <x:v>语义展示金额</x:v>
      </x:c>
      <x:c r="R1" s="69" t="str">
        <x:v>币种</x:v>
      </x:c>
      <x:c r="S1" s="69" t="str">
        <x:v>金额单位</x:v>
      </x:c>
      <x:c r="T1" s="69" t="str">
        <x:v>费用口径</x:v>
      </x:c>
      <x:c r="U1" s="69" t="str">
        <x:v>预算单位</x:v>
      </x:c>
      <x:c r="V1" s="69" t="str">
        <x:v>原文本</x:v>
      </x:c>
      <x:c r="W1" s="69" t="str">
        <x:v>演示文本</x:v>
      </x:c>
      <x:c r="X1" s="69" t="str">
        <x:v>原供应商</x:v>
      </x:c>
      <x:c r="Y1" s="69" t="str">
        <x:v>演示供应商</x:v>
      </x:c>
      <x:c r="Z1" s="69" t="str">
        <x:v>采购凭证</x:v>
      </x:c>
      <x:c r="AA1" s="69" t="str">
        <x:v>项目</x:v>
      </x:c>
      <x:c r="AB1" s="69" t="str">
        <x:v>项目编号</x:v>
      </x:c>
      <x:c r="AC1" s="69" t="str">
        <x:v>快照时点</x:v>
      </x:c>
      <x:c r="AD1" s="69" t="str">
        <x:v>变更说明</x:v>
      </x:c>
      <x:c r="AE1" s="69" t="str">
        <x:v>来源文件</x:v>
      </x:c>
      <x:c r="AF1" s="69" t="str">
        <x:v>来源成员</x:v>
      </x:c>
      <x:c r="AG1" s="69" t="str">
        <x:v>源行</x:v>
      </x:c>
      <x:c r="AH1" s="69" t="str">
        <x:v>源行锚点</x:v>
      </x:c>
      <x:c r="AI1" s="69" t="str">
        <x:v>期间QC</x:v>
      </x:c>
      <x:c r="AJ1" s="69" t="str">
        <x:v>日期QC</x:v>
      </x:c>
      <x:c r="AK1" s="69" t="str">
        <x:v>收入符号QC</x:v>
      </x:c>
      <x:c r="AL1" s="70" t="str">
        <x:v>复合键QC</x:v>
      </x:c>
    </x:row>
    <x:row r="2">
      <x:c r="A2" s="62" t="str">
        <x:v>DEMO01|2024|DOC1000|10</x:v>
      </x:c>
      <x:c r="B2" s="62" t="str">
        <x:v>SOURCE</x:v>
      </x:c>
      <x:c r="C2" s="62" t="str">
        <x:v>营业收入</x:v>
      </x:c>
      <x:c r="D2" s="62" t="str">
        <x:v>营业收入</x:v>
      </x:c>
      <x:c r="E2" s="62" t="n">
        <x:v>6</x:v>
      </x:c>
      <x:c r="F2" s="62" t="n">
        <x:v>6</x:v>
      </x:c>
      <x:c r="G2" s="62" t="str">
        <x:v>DOC1000</x:v>
      </x:c>
      <x:c r="H2" s="62" t="n">
        <x:v>10</x:v>
      </x:c>
      <x:c r="I2" s="74" t="n">
        <x:v>45458</x:v>
      </x:c>
      <x:c r="J2" s="74" t="n">
        <x:v>45458</x:v>
      </x:c>
      <x:c r="K2" s="74" t="n">
        <x:v>45458</x:v>
      </x:c>
      <x:c r="L2" s="74" t="n">
        <x:v>45458</x:v>
      </x:c>
      <x:c r="M2" s="77" t="n">
        <x:v>-30</x:v>
      </x:c>
      <x:c r="N2" s="77"/>
      <x:c r="O2" s="78"/>
      <x:c r="P2" s="79" t="n">
        <x:f>M2</x:f>
        <x:v>-30</x:v>
      </x:c>
      <x:c r="Q2" s="79" t="n">
        <x:f>IF(D2="营业收入",-P2,P2)</x:f>
        <x:v>30</x:v>
      </x:c>
      <x:c r="R2" s="62" t="str">
        <x:v>CNY</x:v>
      </x:c>
      <x:c r="S2" s="62" t="str">
        <x:v>万元</x:v>
      </x:c>
      <x:c r="T2" s="62" t="str">
        <x:v>收益；源负号</x:v>
      </x:c>
      <x:c r="U2" s="62" t="str">
        <x:v>设备管理部</x:v>
      </x:c>
      <x:c r="V2" s="62" t="str">
        <x:v>设备维护收入确认</x:v>
      </x:c>
      <x:c r="W2" s="62" t="str">
        <x:v>设备维护收入确认</x:v>
      </x:c>
      <x:c r="X2" s="62" t="str">
        <x:v>17</x:v>
      </x:c>
      <x:c r="Y2" s="62" t="str">
        <x:v>17</x:v>
      </x:c>
      <x:c r="Z2" s="62" t="str">
        <x:v>17</x:v>
      </x:c>
      <x:c r="AA2" s="62" t="str">
        <x:v>设备维护</x:v>
      </x:c>
      <x:c r="AB2" s="62" t="str">
        <x:v>PRJ-SB-设备-2024-001</x:v>
      </x:c>
      <x:c r="AC2" s="74" t="n">
        <x:v>45657</x:v>
      </x:c>
      <x:c r="AD2" s="71" t="str">
        <x:v>源记录保留</x:v>
      </x:c>
      <x:c r="AE2" s="71" t="str">
        <x:v>2024年实际执行.xlsx</x:v>
      </x:c>
      <x:c r="AF2" s="71" t="str">
        <x:v>Sheet</x:v>
      </x:c>
      <x:c r="AG2" s="71" t="n">
        <x:v>2</x:v>
      </x:c>
      <x:c r="AH2" s="71" t="str">
        <x:v>2024年实际执行.xlsx/Sheet!2:2</x:v>
      </x:c>
      <x:c r="AI2" s="62" t="str">
        <x:f>IF(F2=MONTH(L2),"OK","FAIL")</x:f>
        <x:v>OK</x:v>
      </x:c>
      <x:c r="AJ2" s="62" t="str">
        <x:f>IF(J2&lt;=L2,"OK","FAIL")</x:f>
        <x:v>OK</x:v>
      </x:c>
      <x:c r="AK2" s="62" t="str">
        <x:f>IF(D2&lt;&gt;"营业收入","OK",IF(AND(P2&lt;0,Q2&gt;0),"OK","FAIL"))</x:f>
        <x:v>OK</x:v>
      </x:c>
      <x:c r="AL2" s="62" t="str">
        <x:f>IF(COUNTIF($A$2:$A$204,A2)=1,"OK","FAIL")</x:f>
        <x:v>OK</x:v>
      </x:c>
    </x:row>
    <x:row r="3">
      <x:c r="A3" s="62" t="str">
        <x:v>DEMO01|2024|DOC1001|10</x:v>
      </x:c>
      <x:c r="B3" s="62" t="str">
        <x:v>SOURCE</x:v>
      </x:c>
      <x:c r="C3" s="62" t="str">
        <x:v>会议费</x:v>
      </x:c>
      <x:c r="D3" s="62" t="str">
        <x:v>会议费</x:v>
      </x:c>
      <x:c r="E3" s="62" t="n">
        <x:v>2</x:v>
      </x:c>
      <x:c r="F3" s="62" t="n">
        <x:v>2</x:v>
      </x:c>
      <x:c r="G3" s="62" t="str">
        <x:v>DOC1001</x:v>
      </x:c>
      <x:c r="H3" s="62" t="n">
        <x:v>10</x:v>
      </x:c>
      <x:c r="I3" s="74" t="n">
        <x:v>45337</x:v>
      </x:c>
      <x:c r="J3" s="74" t="n">
        <x:v>45337</x:v>
      </x:c>
      <x:c r="K3" s="74" t="n">
        <x:v>45337</x:v>
      </x:c>
      <x:c r="L3" s="74" t="n">
        <x:v>45337</x:v>
      </x:c>
      <x:c r="M3" s="77" t="n">
        <x:v>1.65853333333333</x:v>
      </x:c>
      <x:c r="N3" s="77"/>
      <x:c r="O3" s="78"/>
      <x:c r="P3" s="79" t="n">
        <x:f>M3</x:f>
        <x:v>1.65853333333333</x:v>
      </x:c>
      <x:c r="Q3" s="79" t="n">
        <x:f>IF(D3="营业收入",-P3,P3)</x:f>
        <x:v>1.65853333333333</x:v>
      </x:c>
      <x:c r="R3" s="62" t="str">
        <x:v>CNY</x:v>
      </x:c>
      <x:c r="S3" s="62" t="str">
        <x:v>万元</x:v>
      </x:c>
      <x:c r="T3" s="62" t="str">
        <x:v>费用不含税</x:v>
      </x:c>
      <x:c r="U3" s="62" t="str">
        <x:v>设备管理部</x:v>
      </x:c>
      <x:c r="V3" s="62" t="str">
        <x:v>设备维护项目阶段评审会</x:v>
      </x:c>
      <x:c r="W3" s="62" t="str">
        <x:v>设备维护项目阶段评审会</x:v>
      </x:c>
      <x:c r="X3" s="62" t="str">
        <x:v>中核运维</x:v>
      </x:c>
      <x:c r="Y3" s="62" t="str">
        <x:v>中核运维</x:v>
      </x:c>
      <x:c r="Z3" s="62" t="str">
        <x:v>17</x:v>
      </x:c>
      <x:c r="AA3" s="62" t="str">
        <x:v>设备维护</x:v>
      </x:c>
      <x:c r="AB3" s="62" t="str">
        <x:v>PRJ-SB-设备-2024-001</x:v>
      </x:c>
      <x:c r="AC3" s="74" t="n">
        <x:v>45657</x:v>
      </x:c>
      <x:c r="AD3" s="71" t="str">
        <x:v>源记录保留</x:v>
      </x:c>
      <x:c r="AE3" s="71" t="str">
        <x:v>2024年实际执行.xlsx</x:v>
      </x:c>
      <x:c r="AF3" s="71" t="str">
        <x:v>Sheet</x:v>
      </x:c>
      <x:c r="AG3" s="71" t="n">
        <x:v>3</x:v>
      </x:c>
      <x:c r="AH3" s="71" t="str">
        <x:v>2024年实际执行.xlsx/Sheet!3:3</x:v>
      </x:c>
      <x:c r="AI3" s="62" t="str">
        <x:f>IF(F3=MONTH(L3),"OK","FAIL")</x:f>
        <x:v>OK</x:v>
      </x:c>
      <x:c r="AJ3" s="62" t="str">
        <x:f>IF(J3&lt;=L3,"OK","FAIL")</x:f>
        <x:v>OK</x:v>
      </x:c>
      <x:c r="AK3" s="62" t="str">
        <x:f>IF(D3&lt;&gt;"营业收入","OK",IF(AND(P3&lt;0,Q3&gt;0),"OK","FAIL"))</x:f>
        <x:v>OK</x:v>
      </x:c>
      <x:c r="AL3" s="62" t="str">
        <x:f>IF(COUNTIF($A$2:$A$204,A3)=1,"OK","FAIL")</x:f>
        <x:v>OK</x:v>
      </x:c>
    </x:row>
    <x:row r="4">
      <x:c r="A4" s="62" t="str">
        <x:v>DEMO01|2024|DOC1002|10</x:v>
      </x:c>
      <x:c r="B4" s="62" t="str">
        <x:v>SOURCE</x:v>
      </x:c>
      <x:c r="C4" s="62" t="str">
        <x:v>业务支持费</x:v>
      </x:c>
      <x:c r="D4" s="62" t="str">
        <x:v>业务支持费-技术配置</x:v>
      </x:c>
      <x:c r="E4" s="62" t="n">
        <x:v>1</x:v>
      </x:c>
      <x:c r="F4" s="62" t="n">
        <x:v>1</x:v>
      </x:c>
      <x:c r="G4" s="62" t="str">
        <x:v>DOC1002</x:v>
      </x:c>
      <x:c r="H4" s="62" t="n">
        <x:v>10</x:v>
      </x:c>
      <x:c r="I4" s="74" t="n">
        <x:v>45306</x:v>
      </x:c>
      <x:c r="J4" s="74" t="n">
        <x:v>45306</x:v>
      </x:c>
      <x:c r="K4" s="74" t="n">
        <x:v>45306</x:v>
      </x:c>
      <x:c r="L4" s="74" t="n">
        <x:v>45306</x:v>
      </x:c>
      <x:c r="M4" s="77" t="n">
        <x:v>66.3413333333333</x:v>
      </x:c>
      <x:c r="N4" s="77"/>
      <x:c r="O4" s="78"/>
      <x:c r="P4" s="79" t="n">
        <x:f>M4</x:f>
        <x:v>66.3413333333333</x:v>
      </x:c>
      <x:c r="Q4" s="79" t="n">
        <x:f>IF(D4="营业收入",-P4,P4)</x:f>
        <x:v>66.3413333333333</x:v>
      </x:c>
      <x:c r="R4" s="62" t="str">
        <x:v>CNY</x:v>
      </x:c>
      <x:c r="S4" s="62" t="str">
        <x:v>万元</x:v>
      </x:c>
      <x:c r="T4" s="62" t="str">
        <x:v>费用不含税</x:v>
      </x:c>
      <x:c r="U4" s="62" t="str">
        <x:v>设备管理部</x:v>
      </x:c>
      <x:c r="V4" s="62" t="str">
        <x:v>设备维护技术配置_前期阶段</x:v>
      </x:c>
      <x:c r="W4" s="62" t="str">
        <x:v>设备维护技术配置_前期阶段</x:v>
      </x:c>
      <x:c r="X4" s="62" t="str">
        <x:v>中核运维</x:v>
      </x:c>
      <x:c r="Y4" s="62" t="str">
        <x:v>中核运维</x:v>
      </x:c>
      <x:c r="Z4" s="62" t="str">
        <x:v>17</x:v>
      </x:c>
      <x:c r="AA4" s="62" t="str">
        <x:v>设备维护</x:v>
      </x:c>
      <x:c r="AB4" s="62" t="str">
        <x:v>PRJ-SB-设备-2024-001</x:v>
      </x:c>
      <x:c r="AC4" s="74" t="n">
        <x:v>45657</x:v>
      </x:c>
      <x:c r="AD4" s="71" t="str">
        <x:v>源记录保留</x:v>
      </x:c>
      <x:c r="AE4" s="71" t="str">
        <x:v>2024年实际执行.xlsx</x:v>
      </x:c>
      <x:c r="AF4" s="71" t="str">
        <x:v>Sheet</x:v>
      </x:c>
      <x:c r="AG4" s="71" t="n">
        <x:v>4</x:v>
      </x:c>
      <x:c r="AH4" s="71" t="str">
        <x:v>2024年实际执行.xlsx/Sheet!4:4</x:v>
      </x:c>
      <x:c r="AI4" s="62" t="str">
        <x:f>IF(F4=MONTH(L4),"OK","FAIL")</x:f>
        <x:v>OK</x:v>
      </x:c>
      <x:c r="AJ4" s="62" t="str">
        <x:f>IF(J4&lt;=L4,"OK","FAIL")</x:f>
        <x:v>OK</x:v>
      </x:c>
      <x:c r="AK4" s="62" t="str">
        <x:f>IF(D4&lt;&gt;"营业收入","OK",IF(AND(P4&lt;0,Q4&gt;0),"OK","FAIL"))</x:f>
        <x:v>OK</x:v>
      </x:c>
      <x:c r="AL4" s="62" t="str">
        <x:f>IF(COUNTIF($A$2:$A$204,A4)=1,"OK","FAIL")</x:f>
        <x:v>OK</x:v>
      </x:c>
    </x:row>
    <x:row r="5">
      <x:c r="A5" s="62" t="str">
        <x:v>DEMO01|2024|DOC1003|10</x:v>
      </x:c>
      <x:c r="B5" s="62" t="str">
        <x:v>SOURCE</x:v>
      </x:c>
      <x:c r="C5" s="62" t="str">
        <x:v>生产物料费</x:v>
      </x:c>
      <x:c r="D5" s="62" t="str">
        <x:v>生产物料费</x:v>
      </x:c>
      <x:c r="E5" s="62" t="n">
        <x:v>12</x:v>
      </x:c>
      <x:c r="F5" s="62" t="n">
        <x:v>12</x:v>
      </x:c>
      <x:c r="G5" s="62" t="str">
        <x:v>DOC1003</x:v>
      </x:c>
      <x:c r="H5" s="62" t="n">
        <x:v>10</x:v>
      </x:c>
      <x:c r="I5" s="74" t="n">
        <x:v>45641</x:v>
      </x:c>
      <x:c r="J5" s="74" t="n">
        <x:v>45641</x:v>
      </x:c>
      <x:c r="K5" s="74" t="n">
        <x:v>45641</x:v>
      </x:c>
      <x:c r="L5" s="74" t="n">
        <x:v>45641</x:v>
      </x:c>
      <x:c r="M5" s="77" t="n">
        <x:v>24.878</x:v>
      </x:c>
      <x:c r="N5" s="77"/>
      <x:c r="O5" s="78"/>
      <x:c r="P5" s="79" t="n">
        <x:f>M5</x:f>
        <x:v>24.878</x:v>
      </x:c>
      <x:c r="Q5" s="79" t="n">
        <x:f>IF(D5="营业收入",-P5,P5)</x:f>
        <x:v>24.878</x:v>
      </x:c>
      <x:c r="R5" s="62" t="str">
        <x:v>CNY</x:v>
      </x:c>
      <x:c r="S5" s="62" t="str">
        <x:v>万元</x:v>
      </x:c>
      <x:c r="T5" s="62" t="str">
        <x:v>费用不含税</x:v>
      </x:c>
      <x:c r="U5" s="62" t="str">
        <x:v>设备管理部</x:v>
      </x:c>
      <x:c r="V5" s="62" t="str">
        <x:v>设备维护现场物料采购</x:v>
      </x:c>
      <x:c r="W5" s="62" t="str">
        <x:v>设备维护现场物料采购</x:v>
      </x:c>
      <x:c r="X5" s="62" t="str">
        <x:v>中核运维</x:v>
      </x:c>
      <x:c r="Y5" s="62" t="str">
        <x:v>中核运维</x:v>
      </x:c>
      <x:c r="Z5" s="62" t="str">
        <x:v>17</x:v>
      </x:c>
      <x:c r="AA5" s="62" t="str">
        <x:v>设备维护</x:v>
      </x:c>
      <x:c r="AB5" s="62" t="str">
        <x:v>PRJ-SB-设备-2024-001</x:v>
      </x:c>
      <x:c r="AC5" s="74" t="n">
        <x:v>45657</x:v>
      </x:c>
      <x:c r="AD5" s="71" t="str">
        <x:v>源记录保留</x:v>
      </x:c>
      <x:c r="AE5" s="71" t="str">
        <x:v>2024年实际执行.xlsx</x:v>
      </x:c>
      <x:c r="AF5" s="71" t="str">
        <x:v>Sheet</x:v>
      </x:c>
      <x:c r="AG5" s="71" t="n">
        <x:v>5</x:v>
      </x:c>
      <x:c r="AH5" s="71" t="str">
        <x:v>2024年实际执行.xlsx/Sheet!5:5</x:v>
      </x:c>
      <x:c r="AI5" s="62" t="str">
        <x:f>IF(F5=MONTH(L5),"OK","FAIL")</x:f>
        <x:v>OK</x:v>
      </x:c>
      <x:c r="AJ5" s="62" t="str">
        <x:f>IF(J5&lt;=L5,"OK","FAIL")</x:f>
        <x:v>OK</x:v>
      </x:c>
      <x:c r="AK5" s="62" t="str">
        <x:f>IF(D5&lt;&gt;"营业收入","OK",IF(AND(P5&lt;0,Q5&gt;0),"OK","FAIL"))</x:f>
        <x:v>OK</x:v>
      </x:c>
      <x:c r="AL5" s="62" t="str">
        <x:f>IF(COUNTIF($A$2:$A$204,A5)=1,"OK","FAIL")</x:f>
        <x:v>OK</x:v>
      </x:c>
    </x:row>
    <x:row r="6">
      <x:c r="A6" s="62" t="str">
        <x:v>DEMO01|2024|DOC1004|10</x:v>
      </x:c>
      <x:c r="B6" s="62" t="str">
        <x:v>SOURCE</x:v>
      </x:c>
      <x:c r="C6" s="62" t="str">
        <x:v>办公费</x:v>
      </x:c>
      <x:c r="D6" s="62" t="str">
        <x:v>办公费</x:v>
      </x:c>
      <x:c r="E6" s="62" t="n">
        <x:v>5</x:v>
      </x:c>
      <x:c r="F6" s="62" t="n">
        <x:v>5</x:v>
      </x:c>
      <x:c r="G6" s="62" t="str">
        <x:v>DOC1004</x:v>
      </x:c>
      <x:c r="H6" s="62" t="n">
        <x:v>10</x:v>
      </x:c>
      <x:c r="I6" s="74" t="n">
        <x:v>45427</x:v>
      </x:c>
      <x:c r="J6" s="74" t="n">
        <x:v>45427</x:v>
      </x:c>
      <x:c r="K6" s="74" t="n">
        <x:v>45427</x:v>
      </x:c>
      <x:c r="L6" s="74" t="n">
        <x:v>45427</x:v>
      </x:c>
      <x:c r="M6" s="77" t="n">
        <x:v>4.9756</x:v>
      </x:c>
      <x:c r="N6" s="77"/>
      <x:c r="O6" s="78"/>
      <x:c r="P6" s="79" t="n">
        <x:f>M6</x:f>
        <x:v>4.9756</x:v>
      </x:c>
      <x:c r="Q6" s="79" t="n">
        <x:f>IF(D6="营业收入",-P6,P6)</x:f>
        <x:v>4.9756</x:v>
      </x:c>
      <x:c r="R6" s="62" t="str">
        <x:v>CNY</x:v>
      </x:c>
      <x:c r="S6" s="62" t="str">
        <x:v>万元</x:v>
      </x:c>
      <x:c r="T6" s="62" t="str">
        <x:v>费用不含税</x:v>
      </x:c>
      <x:c r="U6" s="62" t="str">
        <x:v>设备管理部</x:v>
      </x:c>
      <x:c r="V6" s="62" t="str">
        <x:v>设备维护日常办公</x:v>
      </x:c>
      <x:c r="W6" s="62" t="str">
        <x:v>设备维护日常办公</x:v>
      </x:c>
      <x:c r="X6" s="62" t="str">
        <x:v>中核运维</x:v>
      </x:c>
      <x:c r="Y6" s="62" t="str">
        <x:v>中核运维</x:v>
      </x:c>
      <x:c r="Z6" s="62" t="str">
        <x:v>17</x:v>
      </x:c>
      <x:c r="AA6" s="62" t="str">
        <x:v>设备维护</x:v>
      </x:c>
      <x:c r="AB6" s="62" t="str">
        <x:v>PRJ-SB-设备-2024-001</x:v>
      </x:c>
      <x:c r="AC6" s="74" t="n">
        <x:v>45657</x:v>
      </x:c>
      <x:c r="AD6" s="71" t="str">
        <x:v>源记录保留</x:v>
      </x:c>
      <x:c r="AE6" s="71" t="str">
        <x:v>2024年实际执行.xlsx</x:v>
      </x:c>
      <x:c r="AF6" s="71" t="str">
        <x:v>Sheet</x:v>
      </x:c>
      <x:c r="AG6" s="71" t="n">
        <x:v>6</x:v>
      </x:c>
      <x:c r="AH6" s="71" t="str">
        <x:v>2024年实际执行.xlsx/Sheet!6:6</x:v>
      </x:c>
      <x:c r="AI6" s="62" t="str">
        <x:f>IF(F6=MONTH(L6),"OK","FAIL")</x:f>
        <x:v>OK</x:v>
      </x:c>
      <x:c r="AJ6" s="62" t="str">
        <x:f>IF(J6&lt;=L6,"OK","FAIL")</x:f>
        <x:v>OK</x:v>
      </x:c>
      <x:c r="AK6" s="62" t="str">
        <x:f>IF(D6&lt;&gt;"营业收入","OK",IF(AND(P6&lt;0,Q6&gt;0),"OK","FAIL"))</x:f>
        <x:v>OK</x:v>
      </x:c>
      <x:c r="AL6" s="62" t="str">
        <x:f>IF(COUNTIF($A$2:$A$204,A6)=1,"OK","FAIL")</x:f>
        <x:v>OK</x:v>
      </x:c>
    </x:row>
    <x:row r="7">
      <x:c r="A7" s="62" t="str">
        <x:v>DEMO01|2024|DOC1005|10</x:v>
      </x:c>
      <x:c r="B7" s="62" t="str">
        <x:v>SOURCE</x:v>
      </x:c>
      <x:c r="C7" s="62" t="str">
        <x:v>人工成本</x:v>
      </x:c>
      <x:c r="D7" s="62" t="str">
        <x:v>人工成本</x:v>
      </x:c>
      <x:c r="E7" s="62" t="n">
        <x:v>6</x:v>
      </x:c>
      <x:c r="F7" s="62" t="n">
        <x:v>6</x:v>
      </x:c>
      <x:c r="G7" s="62" t="str">
        <x:v>DOC1005</x:v>
      </x:c>
      <x:c r="H7" s="62" t="n">
        <x:v>10</x:v>
      </x:c>
      <x:c r="I7" s="74" t="n">
        <x:v>45473</x:v>
      </x:c>
      <x:c r="J7" s="74" t="n">
        <x:v>45473</x:v>
      </x:c>
      <x:c r="K7" s="74" t="n">
        <x:v>45473</x:v>
      </x:c>
      <x:c r="L7" s="74" t="n">
        <x:v>45473</x:v>
      </x:c>
      <x:c r="M7" s="77" t="n">
        <x:v>22</x:v>
      </x:c>
      <x:c r="N7" s="77"/>
      <x:c r="O7" s="78"/>
      <x:c r="P7" s="79" t="n">
        <x:f>M7</x:f>
        <x:v>22</x:v>
      </x:c>
      <x:c r="Q7" s="79" t="n">
        <x:f>IF(D7="营业收入",-P7,P7)</x:f>
        <x:v>22</x:v>
      </x:c>
      <x:c r="R7" s="62" t="str">
        <x:v>CNY</x:v>
      </x:c>
      <x:c r="S7" s="62" t="str">
        <x:v>万元</x:v>
      </x:c>
      <x:c r="T7" s="62" t="str">
        <x:v>费用不含税</x:v>
      </x:c>
      <x:c r="U7" s="62" t="str">
        <x:v>设备管理部</x:v>
      </x:c>
      <x:c r="V7" s="62" t="str">
        <x:v>设备维护人工成本分摊</x:v>
      </x:c>
      <x:c r="W7" s="62" t="str">
        <x:v>设备维护人工成本分摊</x:v>
      </x:c>
      <x:c r="X7" s="62" t="str">
        <x:v>17</x:v>
      </x:c>
      <x:c r="Y7" s="62" t="str">
        <x:v>17</x:v>
      </x:c>
      <x:c r="Z7" s="62" t="str">
        <x:v>17</x:v>
      </x:c>
      <x:c r="AA7" s="62" t="str">
        <x:v>设备维护</x:v>
      </x:c>
      <x:c r="AB7" s="62" t="str">
        <x:v>PRJ-SB-设备-2024-001</x:v>
      </x:c>
      <x:c r="AC7" s="74" t="n">
        <x:v>45657</x:v>
      </x:c>
      <x:c r="AD7" s="71" t="str">
        <x:v>源记录保留</x:v>
      </x:c>
      <x:c r="AE7" s="71" t="str">
        <x:v>2024年实际执行.xlsx</x:v>
      </x:c>
      <x:c r="AF7" s="71" t="str">
        <x:v>Sheet</x:v>
      </x:c>
      <x:c r="AG7" s="71" t="n">
        <x:v>7</x:v>
      </x:c>
      <x:c r="AH7" s="71" t="str">
        <x:v>2024年实际执行.xlsx/Sheet!7:7</x:v>
      </x:c>
      <x:c r="AI7" s="62" t="str">
        <x:f>IF(F7=MONTH(L7),"OK","FAIL")</x:f>
        <x:v>OK</x:v>
      </x:c>
      <x:c r="AJ7" s="62" t="str">
        <x:f>IF(J7&lt;=L7,"OK","FAIL")</x:f>
        <x:v>OK</x:v>
      </x:c>
      <x:c r="AK7" s="62" t="str">
        <x:f>IF(D7&lt;&gt;"营业收入","OK",IF(AND(P7&lt;0,Q7&gt;0),"OK","FAIL"))</x:f>
        <x:v>OK</x:v>
      </x:c>
      <x:c r="AL7" s="62" t="str">
        <x:f>IF(COUNTIF($A$2:$A$204,A7)=1,"OK","FAIL")</x:f>
        <x:v>OK</x:v>
      </x:c>
    </x:row>
    <x:row r="8">
      <x:c r="A8" s="62" t="str">
        <x:v>DEMO01|2024|DOC1006|10</x:v>
      </x:c>
      <x:c r="B8" s="62" t="str">
        <x:v>SOURCE</x:v>
      </x:c>
      <x:c r="C8" s="62" t="str">
        <x:v>折旧摊销</x:v>
      </x:c>
      <x:c r="D8" s="62" t="str">
        <x:v>折旧摊销</x:v>
      </x:c>
      <x:c r="E8" s="62" t="n">
        <x:v>12</x:v>
      </x:c>
      <x:c r="F8" s="62" t="n">
        <x:v>12</x:v>
      </x:c>
      <x:c r="G8" s="62" t="str">
        <x:v>DOC1006</x:v>
      </x:c>
      <x:c r="H8" s="62" t="n">
        <x:v>10</x:v>
      </x:c>
      <x:c r="I8" s="74" t="n">
        <x:v>45657</x:v>
      </x:c>
      <x:c r="J8" s="74" t="n">
        <x:v>45657</x:v>
      </x:c>
      <x:c r="K8" s="74" t="n">
        <x:v>45657</x:v>
      </x:c>
      <x:c r="L8" s="74" t="n">
        <x:v>45657</x:v>
      </x:c>
      <x:c r="M8" s="77" t="n">
        <x:v>7</x:v>
      </x:c>
      <x:c r="N8" s="77"/>
      <x:c r="O8" s="78"/>
      <x:c r="P8" s="79" t="n">
        <x:f>M8</x:f>
        <x:v>7</x:v>
      </x:c>
      <x:c r="Q8" s="79" t="n">
        <x:f>IF(D8="营业收入",-P8,P8)</x:f>
        <x:v>7</x:v>
      </x:c>
      <x:c r="R8" s="62" t="str">
        <x:v>CNY</x:v>
      </x:c>
      <x:c r="S8" s="62" t="str">
        <x:v>万元</x:v>
      </x:c>
      <x:c r="T8" s="62" t="str">
        <x:v>费用不含税</x:v>
      </x:c>
      <x:c r="U8" s="62" t="str">
        <x:v>设备管理部</x:v>
      </x:c>
      <x:c r="V8" s="62" t="str">
        <x:v>设备维护折旧摊销分摊</x:v>
      </x:c>
      <x:c r="W8" s="62" t="str">
        <x:v>设备维护折旧摊销分摊</x:v>
      </x:c>
      <x:c r="X8" s="62" t="str">
        <x:v>17</x:v>
      </x:c>
      <x:c r="Y8" s="62" t="str">
        <x:v>17</x:v>
      </x:c>
      <x:c r="Z8" s="62" t="str">
        <x:v>17</x:v>
      </x:c>
      <x:c r="AA8" s="62" t="str">
        <x:v>设备维护</x:v>
      </x:c>
      <x:c r="AB8" s="62" t="str">
        <x:v>PRJ-SB-设备-2024-001</x:v>
      </x:c>
      <x:c r="AC8" s="74" t="n">
        <x:v>45657</x:v>
      </x:c>
      <x:c r="AD8" s="71" t="str">
        <x:v>源记录保留</x:v>
      </x:c>
      <x:c r="AE8" s="71" t="str">
        <x:v>2024年实际执行.xlsx</x:v>
      </x:c>
      <x:c r="AF8" s="71" t="str">
        <x:v>Sheet</x:v>
      </x:c>
      <x:c r="AG8" s="71" t="n">
        <x:v>8</x:v>
      </x:c>
      <x:c r="AH8" s="71" t="str">
        <x:v>2024年实际执行.xlsx/Sheet!8:8</x:v>
      </x:c>
      <x:c r="AI8" s="62" t="str">
        <x:f>IF(F8=MONTH(L8),"OK","FAIL")</x:f>
        <x:v>OK</x:v>
      </x:c>
      <x:c r="AJ8" s="62" t="str">
        <x:f>IF(J8&lt;=L8,"OK","FAIL")</x:f>
        <x:v>OK</x:v>
      </x:c>
      <x:c r="AK8" s="62" t="str">
        <x:f>IF(D8&lt;&gt;"营业收入","OK",IF(AND(P8&lt;0,Q8&gt;0),"OK","FAIL"))</x:f>
        <x:v>OK</x:v>
      </x:c>
      <x:c r="AL8" s="62" t="str">
        <x:f>IF(COUNTIF($A$2:$A$204,A8)=1,"OK","FAIL")</x:f>
        <x:v>OK</x:v>
      </x:c>
    </x:row>
    <x:row r="9">
      <x:c r="A9" s="62" t="str">
        <x:v>DEMO01|2024|DOC1007|10</x:v>
      </x:c>
      <x:c r="B9" s="62" t="str">
        <x:v>SOURCE</x:v>
      </x:c>
      <x:c r="C9" s="62" t="str">
        <x:v>业务支持费</x:v>
      </x:c>
      <x:c r="D9" s="62" t="str">
        <x:v>业务支持费-其他</x:v>
      </x:c>
      <x:c r="E9" s="62" t="n">
        <x:v>12</x:v>
      </x:c>
      <x:c r="F9" s="62" t="n">
        <x:v>12</x:v>
      </x:c>
      <x:c r="G9" s="62" t="str">
        <x:v>DOC1007</x:v>
      </x:c>
      <x:c r="H9" s="62" t="n">
        <x:v>10</x:v>
      </x:c>
      <x:c r="I9" s="74" t="n">
        <x:v>45657</x:v>
      </x:c>
      <x:c r="J9" s="74" t="n">
        <x:v>45657</x:v>
      </x:c>
      <x:c r="K9" s="74" t="n">
        <x:v>45657</x:v>
      </x:c>
      <x:c r="L9" s="74" t="n">
        <x:v>45657</x:v>
      </x:c>
      <x:c r="M9" s="77" t="n">
        <x:v>24.878</x:v>
      </x:c>
      <x:c r="N9" s="77"/>
      <x:c r="O9" s="78"/>
      <x:c r="P9" s="79" t="n">
        <x:f>M9</x:f>
        <x:v>24.878</x:v>
      </x:c>
      <x:c r="Q9" s="79" t="n">
        <x:f>IF(D9="营业收入",-P9,P9)</x:f>
        <x:v>24.878</x:v>
      </x:c>
      <x:c r="R9" s="62" t="str">
        <x:v>CNY</x:v>
      </x:c>
      <x:c r="S9" s="62" t="str">
        <x:v>万元</x:v>
      </x:c>
      <x:c r="T9" s="62" t="str">
        <x:v>费用不含税</x:v>
      </x:c>
      <x:c r="U9" s="62" t="str">
        <x:v>设备管理部</x:v>
      </x:c>
      <x:c r="V9" s="62" t="str">
        <x:v>计提设备维护_2024年末预提</x:v>
      </x:c>
      <x:c r="W9" s="62" t="str">
        <x:v>计提设备维护_2024年末预提</x:v>
      </x:c>
      <x:c r="X9" s="62" t="str">
        <x:v>中核运维</x:v>
      </x:c>
      <x:c r="Y9" s="62" t="str">
        <x:v>中核运维</x:v>
      </x:c>
      <x:c r="Z9" s="62" t="str">
        <x:v>17</x:v>
      </x:c>
      <x:c r="AA9" s="62" t="str">
        <x:v>设备维护</x:v>
      </x:c>
      <x:c r="AB9" s="62" t="str">
        <x:v>PRJ-SB-设备-2024-001</x:v>
      </x:c>
      <x:c r="AC9" s="74" t="n">
        <x:v>45657</x:v>
      </x:c>
      <x:c r="AD9" s="71" t="str">
        <x:v>源记录保留</x:v>
      </x:c>
      <x:c r="AE9" s="71" t="str">
        <x:v>2024年实际执行.xlsx</x:v>
      </x:c>
      <x:c r="AF9" s="71" t="str">
        <x:v>Sheet</x:v>
      </x:c>
      <x:c r="AG9" s="71" t="n">
        <x:v>9</x:v>
      </x:c>
      <x:c r="AH9" s="71" t="str">
        <x:v>2024年实际执行.xlsx/Sheet!9:9</x:v>
      </x:c>
      <x:c r="AI9" s="62" t="str">
        <x:f>IF(F9=MONTH(L9),"OK","FAIL")</x:f>
        <x:v>OK</x:v>
      </x:c>
      <x:c r="AJ9" s="62" t="str">
        <x:f>IF(J9&lt;=L9,"OK","FAIL")</x:f>
        <x:v>OK</x:v>
      </x:c>
      <x:c r="AK9" s="62" t="str">
        <x:f>IF(D9&lt;&gt;"营业收入","OK",IF(AND(P9&lt;0,Q9&gt;0),"OK","FAIL"))</x:f>
        <x:v>OK</x:v>
      </x:c>
      <x:c r="AL9" s="62" t="str">
        <x:f>IF(COUNTIF($A$2:$A$204,A9)=1,"OK","FAIL")</x:f>
        <x:v>OK</x:v>
      </x:c>
    </x:row>
    <x:row r="10">
      <x:c r="A10" s="62" t="str">
        <x:v>DEMO01|2024|DOC1008|10</x:v>
      </x:c>
      <x:c r="B10" s="62" t="str">
        <x:v>SOURCE</x:v>
      </x:c>
      <x:c r="C10" s="62" t="str">
        <x:v>营业收入</x:v>
      </x:c>
      <x:c r="D10" s="62" t="str">
        <x:v>营业收入</x:v>
      </x:c>
      <x:c r="E10" s="62" t="n">
        <x:v>6</x:v>
      </x:c>
      <x:c r="F10" s="62" t="n">
        <x:v>6</x:v>
      </x:c>
      <x:c r="G10" s="62" t="str">
        <x:v>DOC1008</x:v>
      </x:c>
      <x:c r="H10" s="62" t="n">
        <x:v>10</x:v>
      </x:c>
      <x:c r="I10" s="74" t="n">
        <x:v>45458</x:v>
      </x:c>
      <x:c r="J10" s="74" t="n">
        <x:v>45458</x:v>
      </x:c>
      <x:c r="K10" s="74" t="n">
        <x:v>45458</x:v>
      </x:c>
      <x:c r="L10" s="74" t="n">
        <x:v>45458</x:v>
      </x:c>
      <x:c r="M10" s="77" t="n">
        <x:v>-110</x:v>
      </x:c>
      <x:c r="N10" s="77"/>
      <x:c r="O10" s="78"/>
      <x:c r="P10" s="79" t="n">
        <x:f>M10</x:f>
        <x:v>-110</x:v>
      </x:c>
      <x:c r="Q10" s="79" t="n">
        <x:f>IF(D10="营业收入",-P10,P10)</x:f>
        <x:v>110</x:v>
      </x:c>
      <x:c r="R10" s="62" t="str">
        <x:v>CNY</x:v>
      </x:c>
      <x:c r="S10" s="62" t="str">
        <x:v>万元</x:v>
      </x:c>
      <x:c r="T10" s="62" t="str">
        <x:v>收益；源负号</x:v>
      </x:c>
      <x:c r="U10" s="62" t="str">
        <x:v>设备管理部</x:v>
      </x:c>
      <x:c r="V10" s="62" t="str">
        <x:v>设备维护收入确认</x:v>
      </x:c>
      <x:c r="W10" s="62" t="str">
        <x:v>设备维护收入确认</x:v>
      </x:c>
      <x:c r="X10" s="62" t="str">
        <x:v>17</x:v>
      </x:c>
      <x:c r="Y10" s="62" t="str">
        <x:v>17</x:v>
      </x:c>
      <x:c r="Z10" s="62" t="str">
        <x:v>17</x:v>
      </x:c>
      <x:c r="AA10" s="62" t="str">
        <x:v>设备维护</x:v>
      </x:c>
      <x:c r="AB10" s="62" t="str">
        <x:v>PRJ-SB-设备-2025-002</x:v>
      </x:c>
      <x:c r="AC10" s="74" t="n">
        <x:v>45657</x:v>
      </x:c>
      <x:c r="AD10" s="71" t="str">
        <x:v>源记录保留</x:v>
      </x:c>
      <x:c r="AE10" s="71" t="str">
        <x:v>2024年实际执行.xlsx</x:v>
      </x:c>
      <x:c r="AF10" s="71" t="str">
        <x:v>Sheet</x:v>
      </x:c>
      <x:c r="AG10" s="71" t="n">
        <x:v>10</x:v>
      </x:c>
      <x:c r="AH10" s="71" t="str">
        <x:v>2024年实际执行.xlsx/Sheet!10:10</x:v>
      </x:c>
      <x:c r="AI10" s="62" t="str">
        <x:f>IF(F10=MONTH(L10),"OK","FAIL")</x:f>
        <x:v>OK</x:v>
      </x:c>
      <x:c r="AJ10" s="62" t="str">
        <x:f>IF(J10&lt;=L10,"OK","FAIL")</x:f>
        <x:v>OK</x:v>
      </x:c>
      <x:c r="AK10" s="62" t="str">
        <x:f>IF(D10&lt;&gt;"营业收入","OK",IF(AND(P10&lt;0,Q10&gt;0),"OK","FAIL"))</x:f>
        <x:v>OK</x:v>
      </x:c>
      <x:c r="AL10" s="62" t="str">
        <x:f>IF(COUNTIF($A$2:$A$204,A10)=1,"OK","FAIL")</x:f>
        <x:v>OK</x:v>
      </x:c>
    </x:row>
    <x:row r="11">
      <x:c r="A11" s="62" t="str">
        <x:v>DEMO01|2024|DOC1009|10</x:v>
      </x:c>
      <x:c r="B11" s="62" t="str">
        <x:v>SOURCE</x:v>
      </x:c>
      <x:c r="C11" s="62" t="str">
        <x:v>会议费</x:v>
      </x:c>
      <x:c r="D11" s="62" t="str">
        <x:v>会议费</x:v>
      </x:c>
      <x:c r="E11" s="62" t="n">
        <x:v>4</x:v>
      </x:c>
      <x:c r="F11" s="62" t="n">
        <x:v>4</x:v>
      </x:c>
      <x:c r="G11" s="62" t="str">
        <x:v>DOC1009</x:v>
      </x:c>
      <x:c r="H11" s="62" t="n">
        <x:v>10</x:v>
      </x:c>
      <x:c r="I11" s="74" t="n">
        <x:v>45397</x:v>
      </x:c>
      <x:c r="J11" s="74" t="n">
        <x:v>45397</x:v>
      </x:c>
      <x:c r="K11" s="74" t="n">
        <x:v>45397</x:v>
      </x:c>
      <x:c r="L11" s="74" t="n">
        <x:v>45397</x:v>
      </x:c>
      <x:c r="M11" s="77" t="n">
        <x:v>1.74696666666667</x:v>
      </x:c>
      <x:c r="N11" s="77"/>
      <x:c r="O11" s="78"/>
      <x:c r="P11" s="79" t="n">
        <x:f>M11</x:f>
        <x:v>1.74696666666667</x:v>
      </x:c>
      <x:c r="Q11" s="79" t="n">
        <x:f>IF(D11="营业收入",-P11,P11)</x:f>
        <x:v>1.74696666666667</x:v>
      </x:c>
      <x:c r="R11" s="62" t="str">
        <x:v>CNY</x:v>
      </x:c>
      <x:c r="S11" s="62" t="str">
        <x:v>万元</x:v>
      </x:c>
      <x:c r="T11" s="62" t="str">
        <x:v>费用不含税</x:v>
      </x:c>
      <x:c r="U11" s="62" t="str">
        <x:v>设备管理部</x:v>
      </x:c>
      <x:c r="V11" s="62" t="str">
        <x:v>设备维护项目阶段评审会</x:v>
      </x:c>
      <x:c r="W11" s="62" t="str">
        <x:v>设备维护项目阶段评审会</x:v>
      </x:c>
      <x:c r="X11" s="62" t="str">
        <x:v>北京核工院</x:v>
      </x:c>
      <x:c r="Y11" s="62" t="str">
        <x:v>北京核工院</x:v>
      </x:c>
      <x:c r="Z11" s="62" t="str">
        <x:v>17</x:v>
      </x:c>
      <x:c r="AA11" s="62" t="str">
        <x:v>设备维护</x:v>
      </x:c>
      <x:c r="AB11" s="62" t="str">
        <x:v>PRJ-SB-设备-2025-002</x:v>
      </x:c>
      <x:c r="AC11" s="74" t="n">
        <x:v>45657</x:v>
      </x:c>
      <x:c r="AD11" s="71" t="str">
        <x:v>源记录保留</x:v>
      </x:c>
      <x:c r="AE11" s="71" t="str">
        <x:v>2024年实际执行.xlsx</x:v>
      </x:c>
      <x:c r="AF11" s="71" t="str">
        <x:v>Sheet</x:v>
      </x:c>
      <x:c r="AG11" s="71" t="n">
        <x:v>11</x:v>
      </x:c>
      <x:c r="AH11" s="71" t="str">
        <x:v>2024年实际执行.xlsx/Sheet!11:11</x:v>
      </x:c>
      <x:c r="AI11" s="62" t="str">
        <x:f>IF(F11=MONTH(L11),"OK","FAIL")</x:f>
        <x:v>OK</x:v>
      </x:c>
      <x:c r="AJ11" s="62" t="str">
        <x:f>IF(J11&lt;=L11,"OK","FAIL")</x:f>
        <x:v>OK</x:v>
      </x:c>
      <x:c r="AK11" s="62" t="str">
        <x:f>IF(D11&lt;&gt;"营业收入","OK",IF(AND(P11&lt;0,Q11&gt;0),"OK","FAIL"))</x:f>
        <x:v>OK</x:v>
      </x:c>
      <x:c r="AL11" s="62" t="str">
        <x:f>IF(COUNTIF($A$2:$A$204,A11)=1,"OK","FAIL")</x:f>
        <x:v>OK</x:v>
      </x:c>
    </x:row>
    <x:row r="12">
      <x:c r="A12" s="62" t="str">
        <x:v>DEMO01|2024|DOC1010|10</x:v>
      </x:c>
      <x:c r="B12" s="62" t="str">
        <x:v>SOURCE</x:v>
      </x:c>
      <x:c r="C12" s="62" t="str">
        <x:v>业务支持费</x:v>
      </x:c>
      <x:c r="D12" s="62" t="str">
        <x:v>业务支持费-技术配置</x:v>
      </x:c>
      <x:c r="E12" s="62" t="n">
        <x:v>3</x:v>
      </x:c>
      <x:c r="F12" s="62" t="n">
        <x:v>3</x:v>
      </x:c>
      <x:c r="G12" s="62" t="str">
        <x:v>DOC1010</x:v>
      </x:c>
      <x:c r="H12" s="62" t="n">
        <x:v>10</x:v>
      </x:c>
      <x:c r="I12" s="74" t="n">
        <x:v>45366</x:v>
      </x:c>
      <x:c r="J12" s="74" t="n">
        <x:v>45366</x:v>
      </x:c>
      <x:c r="K12" s="74" t="n">
        <x:v>45366</x:v>
      </x:c>
      <x:c r="L12" s="74" t="n">
        <x:v>45366</x:v>
      </x:c>
      <x:c r="M12" s="77" t="n">
        <x:v>33.3333333333333</x:v>
      </x:c>
      <x:c r="N12" s="77"/>
      <x:c r="O12" s="78"/>
      <x:c r="P12" s="79" t="n">
        <x:f>M12</x:f>
        <x:v>33.3333333333333</x:v>
      </x:c>
      <x:c r="Q12" s="79" t="n">
        <x:f>IF(D12="营业收入",-P12,P12)</x:f>
        <x:v>33.3333333333333</x:v>
      </x:c>
      <x:c r="R12" s="62" t="str">
        <x:v>CNY</x:v>
      </x:c>
      <x:c r="S12" s="62" t="str">
        <x:v>万元</x:v>
      </x:c>
      <x:c r="T12" s="62" t="str">
        <x:v>费用不含税</x:v>
      </x:c>
      <x:c r="U12" s="62" t="str">
        <x:v>设备管理部</x:v>
      </x:c>
      <x:c r="V12" s="62" t="str">
        <x:v>设备维护技术配置_前期阶段</x:v>
      </x:c>
      <x:c r="W12" s="62" t="str">
        <x:v>设备维护技术配置_前期阶段</x:v>
      </x:c>
      <x:c r="X12" s="62" t="str">
        <x:v>北京核工院</x:v>
      </x:c>
      <x:c r="Y12" s="62" t="str">
        <x:v>北京核工院</x:v>
      </x:c>
      <x:c r="Z12" s="62" t="str">
        <x:v>17</x:v>
      </x:c>
      <x:c r="AA12" s="62" t="str">
        <x:v>设备维护</x:v>
      </x:c>
      <x:c r="AB12" s="62" t="str">
        <x:v>PRJ-SB-设备-2025-002</x:v>
      </x:c>
      <x:c r="AC12" s="74" t="n">
        <x:v>45657</x:v>
      </x:c>
      <x:c r="AD12" s="71" t="str">
        <x:v>源记录保留</x:v>
      </x:c>
      <x:c r="AE12" s="71" t="str">
        <x:v>2024年实际执行.xlsx</x:v>
      </x:c>
      <x:c r="AF12" s="71" t="str">
        <x:v>Sheet</x:v>
      </x:c>
      <x:c r="AG12" s="71" t="n">
        <x:v>12</x:v>
      </x:c>
      <x:c r="AH12" s="71" t="str">
        <x:v>2024年实际执行.xlsx/Sheet!12:12</x:v>
      </x:c>
      <x:c r="AI12" s="62" t="str">
        <x:f>IF(F12=MONTH(L12),"OK","FAIL")</x:f>
        <x:v>OK</x:v>
      </x:c>
      <x:c r="AJ12" s="62" t="str">
        <x:f>IF(J12&lt;=L12,"OK","FAIL")</x:f>
        <x:v>OK</x:v>
      </x:c>
      <x:c r="AK12" s="62" t="str">
        <x:f>IF(D12&lt;&gt;"营业收入","OK",IF(AND(P12&lt;0,Q12&gt;0),"OK","FAIL"))</x:f>
        <x:v>OK</x:v>
      </x:c>
      <x:c r="AL12" s="62" t="str">
        <x:f>IF(COUNTIF($A$2:$A$204,A12)=1,"OK","FAIL")</x:f>
        <x:v>OK</x:v>
      </x:c>
    </x:row>
    <x:row r="13">
      <x:c r="A13" s="62" t="str">
        <x:v>DEMO01|2024|DOC1011|10</x:v>
      </x:c>
      <x:c r="B13" s="62" t="str">
        <x:v>SOURCE</x:v>
      </x:c>
      <x:c r="C13" s="62" t="str">
        <x:v>生产物料费</x:v>
      </x:c>
      <x:c r="D13" s="62" t="str">
        <x:v>生产物料费</x:v>
      </x:c>
      <x:c r="E13" s="62" t="n">
        <x:v>12</x:v>
      </x:c>
      <x:c r="F13" s="62" t="n">
        <x:v>12</x:v>
      </x:c>
      <x:c r="G13" s="62" t="str">
        <x:v>DOC1011</x:v>
      </x:c>
      <x:c r="H13" s="62" t="n">
        <x:v>10</x:v>
      </x:c>
      <x:c r="I13" s="74" t="n">
        <x:v>45641</x:v>
      </x:c>
      <x:c r="J13" s="74" t="n">
        <x:v>45641</x:v>
      </x:c>
      <x:c r="K13" s="74" t="n">
        <x:v>45641</x:v>
      </x:c>
      <x:c r="L13" s="74" t="n">
        <x:v>45641</x:v>
      </x:c>
      <x:c r="M13" s="77" t="n">
        <x:v>26.2045</x:v>
      </x:c>
      <x:c r="N13" s="77"/>
      <x:c r="O13" s="78"/>
      <x:c r="P13" s="79" t="n">
        <x:f>M13</x:f>
        <x:v>26.2045</x:v>
      </x:c>
      <x:c r="Q13" s="79" t="n">
        <x:f>IF(D13="营业收入",-P13,P13)</x:f>
        <x:v>26.2045</x:v>
      </x:c>
      <x:c r="R13" s="62" t="str">
        <x:v>CNY</x:v>
      </x:c>
      <x:c r="S13" s="62" t="str">
        <x:v>万元</x:v>
      </x:c>
      <x:c r="T13" s="62" t="str">
        <x:v>费用不含税</x:v>
      </x:c>
      <x:c r="U13" s="62" t="str">
        <x:v>设备管理部</x:v>
      </x:c>
      <x:c r="V13" s="62" t="str">
        <x:v>设备维护现场物料采购</x:v>
      </x:c>
      <x:c r="W13" s="62" t="str">
        <x:v>设备维护现场物料采购</x:v>
      </x:c>
      <x:c r="X13" s="62" t="str">
        <x:v>北京核工院</x:v>
      </x:c>
      <x:c r="Y13" s="62" t="str">
        <x:v>北京核工院</x:v>
      </x:c>
      <x:c r="Z13" s="62" t="str">
        <x:v>17</x:v>
      </x:c>
      <x:c r="AA13" s="62" t="str">
        <x:v>设备维护</x:v>
      </x:c>
      <x:c r="AB13" s="62" t="str">
        <x:v>PRJ-SB-设备-2025-002</x:v>
      </x:c>
      <x:c r="AC13" s="74" t="n">
        <x:v>45657</x:v>
      </x:c>
      <x:c r="AD13" s="71" t="str">
        <x:v>源记录保留</x:v>
      </x:c>
      <x:c r="AE13" s="71" t="str">
        <x:v>2024年实际执行.xlsx</x:v>
      </x:c>
      <x:c r="AF13" s="71" t="str">
        <x:v>Sheet</x:v>
      </x:c>
      <x:c r="AG13" s="71" t="n">
        <x:v>13</x:v>
      </x:c>
      <x:c r="AH13" s="71" t="str">
        <x:v>2024年实际执行.xlsx/Sheet!13:13</x:v>
      </x:c>
      <x:c r="AI13" s="62" t="str">
        <x:f>IF(F13=MONTH(L13),"OK","FAIL")</x:f>
        <x:v>OK</x:v>
      </x:c>
      <x:c r="AJ13" s="62" t="str">
        <x:f>IF(J13&lt;=L13,"OK","FAIL")</x:f>
        <x:v>OK</x:v>
      </x:c>
      <x:c r="AK13" s="62" t="str">
        <x:f>IF(D13&lt;&gt;"营业收入","OK",IF(AND(P13&lt;0,Q13&gt;0),"OK","FAIL"))</x:f>
        <x:v>OK</x:v>
      </x:c>
      <x:c r="AL13" s="62" t="str">
        <x:f>IF(COUNTIF($A$2:$A$204,A13)=1,"OK","FAIL")</x:f>
        <x:v>OK</x:v>
      </x:c>
    </x:row>
    <x:row r="14">
      <x:c r="A14" s="62" t="str">
        <x:v>DEMO01|2024|DOC1012|10</x:v>
      </x:c>
      <x:c r="B14" s="62" t="str">
        <x:v>SOURCE</x:v>
      </x:c>
      <x:c r="C14" s="62" t="str">
        <x:v>办公费</x:v>
      </x:c>
      <x:c r="D14" s="62" t="str">
        <x:v>办公费</x:v>
      </x:c>
      <x:c r="E14" s="62" t="n">
        <x:v>2</x:v>
      </x:c>
      <x:c r="F14" s="62" t="n">
        <x:v>2</x:v>
      </x:c>
      <x:c r="G14" s="62" t="str">
        <x:v>DOC1012</x:v>
      </x:c>
      <x:c r="H14" s="62" t="n">
        <x:v>10</x:v>
      </x:c>
      <x:c r="I14" s="74" t="n">
        <x:v>45337</x:v>
      </x:c>
      <x:c r="J14" s="74" t="n">
        <x:v>45337</x:v>
      </x:c>
      <x:c r="K14" s="74" t="n">
        <x:v>45337</x:v>
      </x:c>
      <x:c r="L14" s="74" t="n">
        <x:v>45337</x:v>
      </x:c>
      <x:c r="M14" s="77" t="n">
        <x:v>5.2409</x:v>
      </x:c>
      <x:c r="N14" s="77"/>
      <x:c r="O14" s="78"/>
      <x:c r="P14" s="79" t="n">
        <x:f>M14</x:f>
        <x:v>5.2409</x:v>
      </x:c>
      <x:c r="Q14" s="79" t="n">
        <x:f>IF(D14="营业收入",-P14,P14)</x:f>
        <x:v>5.2409</x:v>
      </x:c>
      <x:c r="R14" s="62" t="str">
        <x:v>CNY</x:v>
      </x:c>
      <x:c r="S14" s="62" t="str">
        <x:v>万元</x:v>
      </x:c>
      <x:c r="T14" s="62" t="str">
        <x:v>费用不含税</x:v>
      </x:c>
      <x:c r="U14" s="62" t="str">
        <x:v>设备管理部</x:v>
      </x:c>
      <x:c r="V14" s="62" t="str">
        <x:v>设备维护日常办公</x:v>
      </x:c>
      <x:c r="W14" s="62" t="str">
        <x:v>设备维护日常办公</x:v>
      </x:c>
      <x:c r="X14" s="62" t="str">
        <x:v>北京核工院</x:v>
      </x:c>
      <x:c r="Y14" s="62" t="str">
        <x:v>北京核工院</x:v>
      </x:c>
      <x:c r="Z14" s="62" t="str">
        <x:v>17</x:v>
      </x:c>
      <x:c r="AA14" s="62" t="str">
        <x:v>设备维护</x:v>
      </x:c>
      <x:c r="AB14" s="62" t="str">
        <x:v>PRJ-SB-设备-2025-002</x:v>
      </x:c>
      <x:c r="AC14" s="74" t="n">
        <x:v>45657</x:v>
      </x:c>
      <x:c r="AD14" s="71" t="str">
        <x:v>源记录保留</x:v>
      </x:c>
      <x:c r="AE14" s="71" t="str">
        <x:v>2024年实际执行.xlsx</x:v>
      </x:c>
      <x:c r="AF14" s="71" t="str">
        <x:v>Sheet</x:v>
      </x:c>
      <x:c r="AG14" s="71" t="n">
        <x:v>14</x:v>
      </x:c>
      <x:c r="AH14" s="71" t="str">
        <x:v>2024年实际执行.xlsx/Sheet!14:14</x:v>
      </x:c>
      <x:c r="AI14" s="62" t="str">
        <x:f>IF(F14=MONTH(L14),"OK","FAIL")</x:f>
        <x:v>OK</x:v>
      </x:c>
      <x:c r="AJ14" s="62" t="str">
        <x:f>IF(J14&lt;=L14,"OK","FAIL")</x:f>
        <x:v>OK</x:v>
      </x:c>
      <x:c r="AK14" s="62" t="str">
        <x:f>IF(D14&lt;&gt;"营业收入","OK",IF(AND(P14&lt;0,Q14&gt;0),"OK","FAIL"))</x:f>
        <x:v>OK</x:v>
      </x:c>
      <x:c r="AL14" s="62" t="str">
        <x:f>IF(COUNTIF($A$2:$A$204,A14)=1,"OK","FAIL")</x:f>
        <x:v>OK</x:v>
      </x:c>
    </x:row>
    <x:row r="15">
      <x:c r="A15" s="62" t="str">
        <x:v>DEMO01|2024|DOC1013|10</x:v>
      </x:c>
      <x:c r="B15" s="62" t="str">
        <x:v>SOURCE</x:v>
      </x:c>
      <x:c r="C15" s="62" t="str">
        <x:v>人工成本</x:v>
      </x:c>
      <x:c r="D15" s="62" t="str">
        <x:v>人工成本</x:v>
      </x:c>
      <x:c r="E15" s="62" t="n">
        <x:v>6</x:v>
      </x:c>
      <x:c r="F15" s="62" t="n">
        <x:v>6</x:v>
      </x:c>
      <x:c r="G15" s="62" t="str">
        <x:v>DOC1013</x:v>
      </x:c>
      <x:c r="H15" s="62" t="n">
        <x:v>10</x:v>
      </x:c>
      <x:c r="I15" s="74" t="n">
        <x:v>45473</x:v>
      </x:c>
      <x:c r="J15" s="74" t="n">
        <x:v>45473</x:v>
      </x:c>
      <x:c r="K15" s="74" t="n">
        <x:v>45473</x:v>
      </x:c>
      <x:c r="L15" s="74" t="n">
        <x:v>45473</x:v>
      </x:c>
      <x:c r="M15" s="77" t="n">
        <x:v>20</x:v>
      </x:c>
      <x:c r="N15" s="77"/>
      <x:c r="O15" s="78"/>
      <x:c r="P15" s="79" t="n">
        <x:f>M15</x:f>
        <x:v>20</x:v>
      </x:c>
      <x:c r="Q15" s="79" t="n">
        <x:f>IF(D15="营业收入",-P15,P15)</x:f>
        <x:v>20</x:v>
      </x:c>
      <x:c r="R15" s="62" t="str">
        <x:v>CNY</x:v>
      </x:c>
      <x:c r="S15" s="62" t="str">
        <x:v>万元</x:v>
      </x:c>
      <x:c r="T15" s="62" t="str">
        <x:v>费用不含税</x:v>
      </x:c>
      <x:c r="U15" s="62" t="str">
        <x:v>设备管理部</x:v>
      </x:c>
      <x:c r="V15" s="62" t="str">
        <x:v>设备维护人工成本分摊</x:v>
      </x:c>
      <x:c r="W15" s="62" t="str">
        <x:v>设备维护人工成本分摊</x:v>
      </x:c>
      <x:c r="X15" s="62" t="str">
        <x:v>17</x:v>
      </x:c>
      <x:c r="Y15" s="62" t="str">
        <x:v>17</x:v>
      </x:c>
      <x:c r="Z15" s="62" t="str">
        <x:v>17</x:v>
      </x:c>
      <x:c r="AA15" s="62" t="str">
        <x:v>设备维护</x:v>
      </x:c>
      <x:c r="AB15" s="62" t="str">
        <x:v>PRJ-SB-设备-2025-002</x:v>
      </x:c>
      <x:c r="AC15" s="74" t="n">
        <x:v>45657</x:v>
      </x:c>
      <x:c r="AD15" s="71" t="str">
        <x:v>源记录保留</x:v>
      </x:c>
      <x:c r="AE15" s="71" t="str">
        <x:v>2024年实际执行.xlsx</x:v>
      </x:c>
      <x:c r="AF15" s="71" t="str">
        <x:v>Sheet</x:v>
      </x:c>
      <x:c r="AG15" s="71" t="n">
        <x:v>15</x:v>
      </x:c>
      <x:c r="AH15" s="71" t="str">
        <x:v>2024年实际执行.xlsx/Sheet!15:15</x:v>
      </x:c>
      <x:c r="AI15" s="62" t="str">
        <x:f>IF(F15=MONTH(L15),"OK","FAIL")</x:f>
        <x:v>OK</x:v>
      </x:c>
      <x:c r="AJ15" s="62" t="str">
        <x:f>IF(J15&lt;=L15,"OK","FAIL")</x:f>
        <x:v>OK</x:v>
      </x:c>
      <x:c r="AK15" s="62" t="str">
        <x:f>IF(D15&lt;&gt;"营业收入","OK",IF(AND(P15&lt;0,Q15&gt;0),"OK","FAIL"))</x:f>
        <x:v>OK</x:v>
      </x:c>
      <x:c r="AL15" s="62" t="str">
        <x:f>IF(COUNTIF($A$2:$A$204,A15)=1,"OK","FAIL")</x:f>
        <x:v>OK</x:v>
      </x:c>
    </x:row>
    <x:row r="16">
      <x:c r="A16" s="62" t="str">
        <x:v>DEMO01|2024|DOC1014|10</x:v>
      </x:c>
      <x:c r="B16" s="62" t="str">
        <x:v>SOURCE</x:v>
      </x:c>
      <x:c r="C16" s="62" t="str">
        <x:v>折旧摊销</x:v>
      </x:c>
      <x:c r="D16" s="62" t="str">
        <x:v>折旧摊销</x:v>
      </x:c>
      <x:c r="E16" s="62" t="n">
        <x:v>12</x:v>
      </x:c>
      <x:c r="F16" s="62" t="n">
        <x:v>12</x:v>
      </x:c>
      <x:c r="G16" s="62" t="str">
        <x:v>DOC1014</x:v>
      </x:c>
      <x:c r="H16" s="62" t="n">
        <x:v>10</x:v>
      </x:c>
      <x:c r="I16" s="74" t="n">
        <x:v>45657</x:v>
      </x:c>
      <x:c r="J16" s="74" t="n">
        <x:v>45657</x:v>
      </x:c>
      <x:c r="K16" s="74" t="n">
        <x:v>45657</x:v>
      </x:c>
      <x:c r="L16" s="74" t="n">
        <x:v>45657</x:v>
      </x:c>
      <x:c r="M16" s="77" t="n">
        <x:v>8</x:v>
      </x:c>
      <x:c r="N16" s="77"/>
      <x:c r="O16" s="78"/>
      <x:c r="P16" s="79" t="n">
        <x:f>M16</x:f>
        <x:v>8</x:v>
      </x:c>
      <x:c r="Q16" s="79" t="n">
        <x:f>IF(D16="营业收入",-P16,P16)</x:f>
        <x:v>8</x:v>
      </x:c>
      <x:c r="R16" s="62" t="str">
        <x:v>CNY</x:v>
      </x:c>
      <x:c r="S16" s="62" t="str">
        <x:v>万元</x:v>
      </x:c>
      <x:c r="T16" s="62" t="str">
        <x:v>费用不含税</x:v>
      </x:c>
      <x:c r="U16" s="62" t="str">
        <x:v>设备管理部</x:v>
      </x:c>
      <x:c r="V16" s="62" t="str">
        <x:v>设备维护折旧摊销分摊</x:v>
      </x:c>
      <x:c r="W16" s="62" t="str">
        <x:v>设备维护折旧摊销分摊</x:v>
      </x:c>
      <x:c r="X16" s="62" t="str">
        <x:v>17</x:v>
      </x:c>
      <x:c r="Y16" s="62" t="str">
        <x:v>17</x:v>
      </x:c>
      <x:c r="Z16" s="62" t="str">
        <x:v>17</x:v>
      </x:c>
      <x:c r="AA16" s="62" t="str">
        <x:v>设备维护</x:v>
      </x:c>
      <x:c r="AB16" s="62" t="str">
        <x:v>PRJ-SB-设备-2025-002</x:v>
      </x:c>
      <x:c r="AC16" s="74" t="n">
        <x:v>45657</x:v>
      </x:c>
      <x:c r="AD16" s="71" t="str">
        <x:v>源记录保留</x:v>
      </x:c>
      <x:c r="AE16" s="71" t="str">
        <x:v>2024年实际执行.xlsx</x:v>
      </x:c>
      <x:c r="AF16" s="71" t="str">
        <x:v>Sheet</x:v>
      </x:c>
      <x:c r="AG16" s="71" t="n">
        <x:v>16</x:v>
      </x:c>
      <x:c r="AH16" s="71" t="str">
        <x:v>2024年实际执行.xlsx/Sheet!16:16</x:v>
      </x:c>
      <x:c r="AI16" s="62" t="str">
        <x:f>IF(F16=MONTH(L16),"OK","FAIL")</x:f>
        <x:v>OK</x:v>
      </x:c>
      <x:c r="AJ16" s="62" t="str">
        <x:f>IF(J16&lt;=L16,"OK","FAIL")</x:f>
        <x:v>OK</x:v>
      </x:c>
      <x:c r="AK16" s="62" t="str">
        <x:f>IF(D16&lt;&gt;"营业收入","OK",IF(AND(P16&lt;0,Q16&gt;0),"OK","FAIL"))</x:f>
        <x:v>OK</x:v>
      </x:c>
      <x:c r="AL16" s="62" t="str">
        <x:f>IF(COUNTIF($A$2:$A$204,A16)=1,"OK","FAIL")</x:f>
        <x:v>OK</x:v>
      </x:c>
    </x:row>
    <x:row r="17">
      <x:c r="A17" s="62" t="str">
        <x:v>DEMO01|2024|DOC1015|10</x:v>
      </x:c>
      <x:c r="B17" s="62" t="str">
        <x:v>SOURCE</x:v>
      </x:c>
      <x:c r="C17" s="62" t="str">
        <x:v>业务支持费</x:v>
      </x:c>
      <x:c r="D17" s="62" t="str">
        <x:v>业务支持费-其他</x:v>
      </x:c>
      <x:c r="E17" s="62" t="n">
        <x:v>12</x:v>
      </x:c>
      <x:c r="F17" s="62" t="n">
        <x:v>12</x:v>
      </x:c>
      <x:c r="G17" s="62" t="str">
        <x:v>DOC1015</x:v>
      </x:c>
      <x:c r="H17" s="62" t="n">
        <x:v>10</x:v>
      </x:c>
      <x:c r="I17" s="74" t="n">
        <x:v>45657</x:v>
      </x:c>
      <x:c r="J17" s="74" t="n">
        <x:v>45657</x:v>
      </x:c>
      <x:c r="K17" s="74" t="n">
        <x:v>45657</x:v>
      </x:c>
      <x:c r="L17" s="74" t="n">
        <x:v>45657</x:v>
      </x:c>
      <x:c r="M17" s="77" t="n">
        <x:v>26.2045</x:v>
      </x:c>
      <x:c r="N17" s="77"/>
      <x:c r="O17" s="78"/>
      <x:c r="P17" s="79" t="n">
        <x:f>M17</x:f>
        <x:v>26.2045</x:v>
      </x:c>
      <x:c r="Q17" s="79" t="n">
        <x:f>IF(D17="营业收入",-P17,P17)</x:f>
        <x:v>26.2045</x:v>
      </x:c>
      <x:c r="R17" s="62" t="str">
        <x:v>CNY</x:v>
      </x:c>
      <x:c r="S17" s="62" t="str">
        <x:v>万元</x:v>
      </x:c>
      <x:c r="T17" s="62" t="str">
        <x:v>费用不含税</x:v>
      </x:c>
      <x:c r="U17" s="62" t="str">
        <x:v>设备管理部</x:v>
      </x:c>
      <x:c r="V17" s="62" t="str">
        <x:v>计提设备维护_2024年末预提</x:v>
      </x:c>
      <x:c r="W17" s="62" t="str">
        <x:v>计提设备维护_2024年末预提</x:v>
      </x:c>
      <x:c r="X17" s="62" t="str">
        <x:v>北京核工院</x:v>
      </x:c>
      <x:c r="Y17" s="62" t="str">
        <x:v>北京核工院</x:v>
      </x:c>
      <x:c r="Z17" s="62" t="str">
        <x:v>17</x:v>
      </x:c>
      <x:c r="AA17" s="62" t="str">
        <x:v>设备维护</x:v>
      </x:c>
      <x:c r="AB17" s="62" t="str">
        <x:v>PRJ-SB-设备-2025-002</x:v>
      </x:c>
      <x:c r="AC17" s="74" t="n">
        <x:v>45657</x:v>
      </x:c>
      <x:c r="AD17" s="71" t="str">
        <x:v>源记录保留</x:v>
      </x:c>
      <x:c r="AE17" s="71" t="str">
        <x:v>2024年实际执行.xlsx</x:v>
      </x:c>
      <x:c r="AF17" s="71" t="str">
        <x:v>Sheet</x:v>
      </x:c>
      <x:c r="AG17" s="71" t="n">
        <x:v>17</x:v>
      </x:c>
      <x:c r="AH17" s="71" t="str">
        <x:v>2024年实际执行.xlsx/Sheet!17:17</x:v>
      </x:c>
      <x:c r="AI17" s="62" t="str">
        <x:f>IF(F17=MONTH(L17),"OK","FAIL")</x:f>
        <x:v>OK</x:v>
      </x:c>
      <x:c r="AJ17" s="62" t="str">
        <x:f>IF(J17&lt;=L17,"OK","FAIL")</x:f>
        <x:v>OK</x:v>
      </x:c>
      <x:c r="AK17" s="62" t="str">
        <x:f>IF(D17&lt;&gt;"营业收入","OK",IF(AND(P17&lt;0,Q17&gt;0),"OK","FAIL"))</x:f>
        <x:v>OK</x:v>
      </x:c>
      <x:c r="AL17" s="62" t="str">
        <x:f>IF(COUNTIF($A$2:$A$204,A17)=1,"OK","FAIL")</x:f>
        <x:v>OK</x:v>
      </x:c>
    </x:row>
    <x:row r="18">
      <x:c r="A18" s="62" t="str">
        <x:v>DEMO01|2024|DOC1016|10</x:v>
      </x:c>
      <x:c r="B18" s="62" t="str">
        <x:v>SOURCE</x:v>
      </x:c>
      <x:c r="C18" s="62" t="str">
        <x:v>营业收入</x:v>
      </x:c>
      <x:c r="D18" s="62" t="str">
        <x:v>营业收入</x:v>
      </x:c>
      <x:c r="E18" s="62" t="n">
        <x:v>6</x:v>
      </x:c>
      <x:c r="F18" s="62" t="n">
        <x:v>6</x:v>
      </x:c>
      <x:c r="G18" s="62" t="str">
        <x:v>DOC1016</x:v>
      </x:c>
      <x:c r="H18" s="62" t="n">
        <x:v>10</x:v>
      </x:c>
      <x:c r="I18" s="74" t="n">
        <x:v>45458</x:v>
      </x:c>
      <x:c r="J18" s="74" t="n">
        <x:v>45458</x:v>
      </x:c>
      <x:c r="K18" s="74" t="n">
        <x:v>45458</x:v>
      </x:c>
      <x:c r="L18" s="74" t="n">
        <x:v>45458</x:v>
      </x:c>
      <x:c r="M18" s="77" t="n">
        <x:v>-110</x:v>
      </x:c>
      <x:c r="N18" s="77"/>
      <x:c r="O18" s="78"/>
      <x:c r="P18" s="79" t="n">
        <x:f>M18</x:f>
        <x:v>-110</x:v>
      </x:c>
      <x:c r="Q18" s="79" t="n">
        <x:f>IF(D18="营业收入",-P18,P18)</x:f>
        <x:v>110</x:v>
      </x:c>
      <x:c r="R18" s="62" t="str">
        <x:v>CNY</x:v>
      </x:c>
      <x:c r="S18" s="62" t="str">
        <x:v>万元</x:v>
      </x:c>
      <x:c r="T18" s="62" t="str">
        <x:v>收益；源负号</x:v>
      </x:c>
      <x:c r="U18" s="62" t="str">
        <x:v>设备管理部</x:v>
      </x:c>
      <x:c r="V18" s="62" t="str">
        <x:v>设备维护收入确认</x:v>
      </x:c>
      <x:c r="W18" s="62" t="str">
        <x:v>设备维护收入确认</x:v>
      </x:c>
      <x:c r="X18" s="62" t="str">
        <x:v>17</x:v>
      </x:c>
      <x:c r="Y18" s="62" t="str">
        <x:v>17</x:v>
      </x:c>
      <x:c r="Z18" s="62" t="str">
        <x:v>17</x:v>
      </x:c>
      <x:c r="AA18" s="62" t="str">
        <x:v>设备维护</x:v>
      </x:c>
      <x:c r="AB18" s="62" t="str">
        <x:v>PRJ-SB-设备-2025-003</x:v>
      </x:c>
      <x:c r="AC18" s="74" t="n">
        <x:v>45657</x:v>
      </x:c>
      <x:c r="AD18" s="71" t="str">
        <x:v>源记录保留</x:v>
      </x:c>
      <x:c r="AE18" s="71" t="str">
        <x:v>2024年实际执行.xlsx</x:v>
      </x:c>
      <x:c r="AF18" s="71" t="str">
        <x:v>Sheet</x:v>
      </x:c>
      <x:c r="AG18" s="71" t="n">
        <x:v>18</x:v>
      </x:c>
      <x:c r="AH18" s="71" t="str">
        <x:v>2024年实际执行.xlsx/Sheet!18:18</x:v>
      </x:c>
      <x:c r="AI18" s="62" t="str">
        <x:f>IF(F18=MONTH(L18),"OK","FAIL")</x:f>
        <x:v>OK</x:v>
      </x:c>
      <x:c r="AJ18" s="62" t="str">
        <x:f>IF(J18&lt;=L18,"OK","FAIL")</x:f>
        <x:v>OK</x:v>
      </x:c>
      <x:c r="AK18" s="62" t="str">
        <x:f>IF(D18&lt;&gt;"营业收入","OK",IF(AND(P18&lt;0,Q18&gt;0),"OK","FAIL"))</x:f>
        <x:v>OK</x:v>
      </x:c>
      <x:c r="AL18" s="62" t="str">
        <x:f>IF(COUNTIF($A$2:$A$204,A18)=1,"OK","FAIL")</x:f>
        <x:v>OK</x:v>
      </x:c>
    </x:row>
    <x:row r="19">
      <x:c r="A19" s="62" t="str">
        <x:v>DEMO01|2024|DOC1017|10</x:v>
      </x:c>
      <x:c r="B19" s="62" t="str">
        <x:v>SOURCE</x:v>
      </x:c>
      <x:c r="C19" s="62" t="str">
        <x:v>会议费</x:v>
      </x:c>
      <x:c r="D19" s="62" t="str">
        <x:v>会议费</x:v>
      </x:c>
      <x:c r="E19" s="62" t="n">
        <x:v>12</x:v>
      </x:c>
      <x:c r="F19" s="62" t="n">
        <x:v>12</x:v>
      </x:c>
      <x:c r="G19" s="62" t="str">
        <x:v>DOC1017</x:v>
      </x:c>
      <x:c r="H19" s="62" t="n">
        <x:v>10</x:v>
      </x:c>
      <x:c r="I19" s="74" t="n">
        <x:v>45641</x:v>
      </x:c>
      <x:c r="J19" s="74" t="n">
        <x:v>45641</x:v>
      </x:c>
      <x:c r="K19" s="74" t="n">
        <x:v>45641</x:v>
      </x:c>
      <x:c r="L19" s="74" t="n">
        <x:v>45641</x:v>
      </x:c>
      <x:c r="M19" s="77" t="n">
        <x:v>1.71243333333333</x:v>
      </x:c>
      <x:c r="N19" s="77"/>
      <x:c r="O19" s="78"/>
      <x:c r="P19" s="79" t="n">
        <x:f>M19</x:f>
        <x:v>1.71243333333333</x:v>
      </x:c>
      <x:c r="Q19" s="79" t="n">
        <x:f>IF(D19="营业收入",-P19,P19)</x:f>
        <x:v>1.71243333333333</x:v>
      </x:c>
      <x:c r="R19" s="62" t="str">
        <x:v>CNY</x:v>
      </x:c>
      <x:c r="S19" s="62" t="str">
        <x:v>万元</x:v>
      </x:c>
      <x:c r="T19" s="62" t="str">
        <x:v>费用不含税</x:v>
      </x:c>
      <x:c r="U19" s="62" t="str">
        <x:v>设备管理部</x:v>
      </x:c>
      <x:c r="V19" s="62" t="str">
        <x:v>设备维护项目阶段评审会</x:v>
      </x:c>
      <x:c r="W19" s="62" t="str">
        <x:v>设备维护项目阶段评审会</x:v>
      </x:c>
      <x:c r="X19" s="62" t="str">
        <x:v>上海电气</x:v>
      </x:c>
      <x:c r="Y19" s="62" t="str">
        <x:v>上海电气</x:v>
      </x:c>
      <x:c r="Z19" s="62" t="str">
        <x:v>17</x:v>
      </x:c>
      <x:c r="AA19" s="62" t="str">
        <x:v>设备维护</x:v>
      </x:c>
      <x:c r="AB19" s="62" t="str">
        <x:v>PRJ-SB-设备-2025-003</x:v>
      </x:c>
      <x:c r="AC19" s="74" t="n">
        <x:v>45657</x:v>
      </x:c>
      <x:c r="AD19" s="71" t="str">
        <x:v>源记录保留</x:v>
      </x:c>
      <x:c r="AE19" s="71" t="str">
        <x:v>2024年实际执行.xlsx</x:v>
      </x:c>
      <x:c r="AF19" s="71" t="str">
        <x:v>Sheet</x:v>
      </x:c>
      <x:c r="AG19" s="71" t="n">
        <x:v>19</x:v>
      </x:c>
      <x:c r="AH19" s="71" t="str">
        <x:v>2024年实际执行.xlsx/Sheet!19:19</x:v>
      </x:c>
      <x:c r="AI19" s="62" t="str">
        <x:f>IF(F19=MONTH(L19),"OK","FAIL")</x:f>
        <x:v>OK</x:v>
      </x:c>
      <x:c r="AJ19" s="62" t="str">
        <x:f>IF(J19&lt;=L19,"OK","FAIL")</x:f>
        <x:v>OK</x:v>
      </x:c>
      <x:c r="AK19" s="62" t="str">
        <x:f>IF(D19&lt;&gt;"营业收入","OK",IF(AND(P19&lt;0,Q19&gt;0),"OK","FAIL"))</x:f>
        <x:v>OK</x:v>
      </x:c>
      <x:c r="AL19" s="62" t="str">
        <x:f>IF(COUNTIF($A$2:$A$204,A19)=1,"OK","FAIL")</x:f>
        <x:v>OK</x:v>
      </x:c>
    </x:row>
    <x:row r="20">
      <x:c r="A20" s="62" t="str">
        <x:v>DEMO01|2024|DOC1018|10</x:v>
      </x:c>
      <x:c r="B20" s="62" t="str">
        <x:v>SOURCE</x:v>
      </x:c>
      <x:c r="C20" s="62" t="str">
        <x:v>业务支持费</x:v>
      </x:c>
      <x:c r="D20" s="62" t="str">
        <x:v>业务支持费-技术配置</x:v>
      </x:c>
      <x:c r="E20" s="62" t="n">
        <x:v>9</x:v>
      </x:c>
      <x:c r="F20" s="62" t="n">
        <x:v>9</x:v>
      </x:c>
      <x:c r="G20" s="62" t="str">
        <x:v>DOC1018</x:v>
      </x:c>
      <x:c r="H20" s="62" t="n">
        <x:v>10</x:v>
      </x:c>
      <x:c r="I20" s="74" t="n">
        <x:v>45550</x:v>
      </x:c>
      <x:c r="J20" s="74" t="n">
        <x:v>45550</x:v>
      </x:c>
      <x:c r="K20" s="74" t="n">
        <x:v>45550</x:v>
      </x:c>
      <x:c r="L20" s="74" t="n">
        <x:v>45550</x:v>
      </x:c>
      <x:c r="M20" s="77" t="n">
        <x:v>33.3333333333333</x:v>
      </x:c>
      <x:c r="N20" s="77"/>
      <x:c r="O20" s="78"/>
      <x:c r="P20" s="79" t="n">
        <x:f>M20</x:f>
        <x:v>33.3333333333333</x:v>
      </x:c>
      <x:c r="Q20" s="79" t="n">
        <x:f>IF(D20="营业收入",-P20,P20)</x:f>
        <x:v>33.3333333333333</x:v>
      </x:c>
      <x:c r="R20" s="62" t="str">
        <x:v>CNY</x:v>
      </x:c>
      <x:c r="S20" s="62" t="str">
        <x:v>万元</x:v>
      </x:c>
      <x:c r="T20" s="62" t="str">
        <x:v>费用不含税</x:v>
      </x:c>
      <x:c r="U20" s="62" t="str">
        <x:v>设备管理部</x:v>
      </x:c>
      <x:c r="V20" s="62" t="str">
        <x:v>设备维护技术配置_前期阶段</x:v>
      </x:c>
      <x:c r="W20" s="62" t="str">
        <x:v>设备维护技术配置_前期阶段</x:v>
      </x:c>
      <x:c r="X20" s="62" t="str">
        <x:v>上海电气</x:v>
      </x:c>
      <x:c r="Y20" s="62" t="str">
        <x:v>上海电气</x:v>
      </x:c>
      <x:c r="Z20" s="62" t="str">
        <x:v>17</x:v>
      </x:c>
      <x:c r="AA20" s="62" t="str">
        <x:v>设备维护</x:v>
      </x:c>
      <x:c r="AB20" s="62" t="str">
        <x:v>PRJ-SB-设备-2025-003</x:v>
      </x:c>
      <x:c r="AC20" s="74" t="n">
        <x:v>45657</x:v>
      </x:c>
      <x:c r="AD20" s="71" t="str">
        <x:v>源记录保留</x:v>
      </x:c>
      <x:c r="AE20" s="71" t="str">
        <x:v>2024年实际执行.xlsx</x:v>
      </x:c>
      <x:c r="AF20" s="71" t="str">
        <x:v>Sheet</x:v>
      </x:c>
      <x:c r="AG20" s="71" t="n">
        <x:v>20</x:v>
      </x:c>
      <x:c r="AH20" s="71" t="str">
        <x:v>2024年实际执行.xlsx/Sheet!20:20</x:v>
      </x:c>
      <x:c r="AI20" s="62" t="str">
        <x:f>IF(F20=MONTH(L20),"OK","FAIL")</x:f>
        <x:v>OK</x:v>
      </x:c>
      <x:c r="AJ20" s="62" t="str">
        <x:f>IF(J20&lt;=L20,"OK","FAIL")</x:f>
        <x:v>OK</x:v>
      </x:c>
      <x:c r="AK20" s="62" t="str">
        <x:f>IF(D20&lt;&gt;"营业收入","OK",IF(AND(P20&lt;0,Q20&gt;0),"OK","FAIL"))</x:f>
        <x:v>OK</x:v>
      </x:c>
      <x:c r="AL20" s="62" t="str">
        <x:f>IF(COUNTIF($A$2:$A$204,A20)=1,"OK","FAIL")</x:f>
        <x:v>OK</x:v>
      </x:c>
    </x:row>
    <x:row r="21">
      <x:c r="A21" s="62" t="str">
        <x:v>DEMO01|2024|DOC1019|10</x:v>
      </x:c>
      <x:c r="B21" s="62" t="str">
        <x:v>SOURCE</x:v>
      </x:c>
      <x:c r="C21" s="62" t="str">
        <x:v>生产物料费</x:v>
      </x:c>
      <x:c r="D21" s="62" t="str">
        <x:v>生产物料费</x:v>
      </x:c>
      <x:c r="E21" s="62" t="n">
        <x:v>2</x:v>
      </x:c>
      <x:c r="F21" s="62" t="n">
        <x:v>2</x:v>
      </x:c>
      <x:c r="G21" s="62" t="str">
        <x:v>DOC1019</x:v>
      </x:c>
      <x:c r="H21" s="62" t="n">
        <x:v>10</x:v>
      </x:c>
      <x:c r="I21" s="74" t="n">
        <x:v>45337</x:v>
      </x:c>
      <x:c r="J21" s="74" t="n">
        <x:v>45337</x:v>
      </x:c>
      <x:c r="K21" s="74" t="n">
        <x:v>45337</x:v>
      </x:c>
      <x:c r="L21" s="74" t="n">
        <x:v>45337</x:v>
      </x:c>
      <x:c r="M21" s="77" t="n">
        <x:v>25.6865</x:v>
      </x:c>
      <x:c r="N21" s="77"/>
      <x:c r="O21" s="78"/>
      <x:c r="P21" s="79" t="n">
        <x:f>M21</x:f>
        <x:v>25.6865</x:v>
      </x:c>
      <x:c r="Q21" s="79" t="n">
        <x:f>IF(D21="营业收入",-P21,P21)</x:f>
        <x:v>25.6865</x:v>
      </x:c>
      <x:c r="R21" s="62" t="str">
        <x:v>CNY</x:v>
      </x:c>
      <x:c r="S21" s="62" t="str">
        <x:v>万元</x:v>
      </x:c>
      <x:c r="T21" s="62" t="str">
        <x:v>费用不含税</x:v>
      </x:c>
      <x:c r="U21" s="62" t="str">
        <x:v>设备管理部</x:v>
      </x:c>
      <x:c r="V21" s="62" t="str">
        <x:v>设备维护现场物料采购</x:v>
      </x:c>
      <x:c r="W21" s="62" t="str">
        <x:v>设备维护现场物料采购</x:v>
      </x:c>
      <x:c r="X21" s="62" t="str">
        <x:v>上海电气</x:v>
      </x:c>
      <x:c r="Y21" s="62" t="str">
        <x:v>上海电气</x:v>
      </x:c>
      <x:c r="Z21" s="62" t="str">
        <x:v>17</x:v>
      </x:c>
      <x:c r="AA21" s="62" t="str">
        <x:v>设备维护</x:v>
      </x:c>
      <x:c r="AB21" s="62" t="str">
        <x:v>PRJ-SB-设备-2025-003</x:v>
      </x:c>
      <x:c r="AC21" s="74" t="n">
        <x:v>45657</x:v>
      </x:c>
      <x:c r="AD21" s="71" t="str">
        <x:v>源记录保留</x:v>
      </x:c>
      <x:c r="AE21" s="71" t="str">
        <x:v>2024年实际执行.xlsx</x:v>
      </x:c>
      <x:c r="AF21" s="71" t="str">
        <x:v>Sheet</x:v>
      </x:c>
      <x:c r="AG21" s="71" t="n">
        <x:v>21</x:v>
      </x:c>
      <x:c r="AH21" s="71" t="str">
        <x:v>2024年实际执行.xlsx/Sheet!21:21</x:v>
      </x:c>
      <x:c r="AI21" s="62" t="str">
        <x:f>IF(F21=MONTH(L21),"OK","FAIL")</x:f>
        <x:v>OK</x:v>
      </x:c>
      <x:c r="AJ21" s="62" t="str">
        <x:f>IF(J21&lt;=L21,"OK","FAIL")</x:f>
        <x:v>OK</x:v>
      </x:c>
      <x:c r="AK21" s="62" t="str">
        <x:f>IF(D21&lt;&gt;"营业收入","OK",IF(AND(P21&lt;0,Q21&gt;0),"OK","FAIL"))</x:f>
        <x:v>OK</x:v>
      </x:c>
      <x:c r="AL21" s="62" t="str">
        <x:f>IF(COUNTIF($A$2:$A$204,A21)=1,"OK","FAIL")</x:f>
        <x:v>OK</x:v>
      </x:c>
    </x:row>
    <x:row r="22">
      <x:c r="A22" s="62" t="str">
        <x:v>DEMO01|2024|DOC1020|10</x:v>
      </x:c>
      <x:c r="B22" s="62" t="str">
        <x:v>SOURCE</x:v>
      </x:c>
      <x:c r="C22" s="62" t="str">
        <x:v>办公费</x:v>
      </x:c>
      <x:c r="D22" s="62" t="str">
        <x:v>办公费</x:v>
      </x:c>
      <x:c r="E22" s="62" t="n">
        <x:v>10</x:v>
      </x:c>
      <x:c r="F22" s="62" t="n">
        <x:v>10</x:v>
      </x:c>
      <x:c r="G22" s="62" t="str">
        <x:v>DOC1020</x:v>
      </x:c>
      <x:c r="H22" s="62" t="n">
        <x:v>10</x:v>
      </x:c>
      <x:c r="I22" s="74" t="n">
        <x:v>45580</x:v>
      </x:c>
      <x:c r="J22" s="74" t="n">
        <x:v>45580</x:v>
      </x:c>
      <x:c r="K22" s="74" t="n">
        <x:v>45580</x:v>
      </x:c>
      <x:c r="L22" s="74" t="n">
        <x:v>45580</x:v>
      </x:c>
      <x:c r="M22" s="77" t="n">
        <x:v>5.1373</x:v>
      </x:c>
      <x:c r="N22" s="77"/>
      <x:c r="O22" s="78"/>
      <x:c r="P22" s="79" t="n">
        <x:f>M22</x:f>
        <x:v>5.1373</x:v>
      </x:c>
      <x:c r="Q22" s="79" t="n">
        <x:f>IF(D22="营业收入",-P22,P22)</x:f>
        <x:v>5.1373</x:v>
      </x:c>
      <x:c r="R22" s="62" t="str">
        <x:v>CNY</x:v>
      </x:c>
      <x:c r="S22" s="62" t="str">
        <x:v>万元</x:v>
      </x:c>
      <x:c r="T22" s="62" t="str">
        <x:v>费用不含税</x:v>
      </x:c>
      <x:c r="U22" s="62" t="str">
        <x:v>设备管理部</x:v>
      </x:c>
      <x:c r="V22" s="62" t="str">
        <x:v>设备维护日常办公</x:v>
      </x:c>
      <x:c r="W22" s="62" t="str">
        <x:v>设备维护日常办公</x:v>
      </x:c>
      <x:c r="X22" s="62" t="str">
        <x:v>上海电气</x:v>
      </x:c>
      <x:c r="Y22" s="62" t="str">
        <x:v>上海电气</x:v>
      </x:c>
      <x:c r="Z22" s="62" t="str">
        <x:v>17</x:v>
      </x:c>
      <x:c r="AA22" s="62" t="str">
        <x:v>设备维护</x:v>
      </x:c>
      <x:c r="AB22" s="62" t="str">
        <x:v>PRJ-SB-设备-2025-003</x:v>
      </x:c>
      <x:c r="AC22" s="74" t="n">
        <x:v>45657</x:v>
      </x:c>
      <x:c r="AD22" s="71" t="str">
        <x:v>源记录保留</x:v>
      </x:c>
      <x:c r="AE22" s="71" t="str">
        <x:v>2024年实际执行.xlsx</x:v>
      </x:c>
      <x:c r="AF22" s="71" t="str">
        <x:v>Sheet</x:v>
      </x:c>
      <x:c r="AG22" s="71" t="n">
        <x:v>22</x:v>
      </x:c>
      <x:c r="AH22" s="71" t="str">
        <x:v>2024年实际执行.xlsx/Sheet!22:22</x:v>
      </x:c>
      <x:c r="AI22" s="62" t="str">
        <x:f>IF(F22=MONTH(L22),"OK","FAIL")</x:f>
        <x:v>OK</x:v>
      </x:c>
      <x:c r="AJ22" s="62" t="str">
        <x:f>IF(J22&lt;=L22,"OK","FAIL")</x:f>
        <x:v>OK</x:v>
      </x:c>
      <x:c r="AK22" s="62" t="str">
        <x:f>IF(D22&lt;&gt;"营业收入","OK",IF(AND(P22&lt;0,Q22&gt;0),"OK","FAIL"))</x:f>
        <x:v>OK</x:v>
      </x:c>
      <x:c r="AL22" s="62" t="str">
        <x:f>IF(COUNTIF($A$2:$A$204,A22)=1,"OK","FAIL")</x:f>
        <x:v>OK</x:v>
      </x:c>
    </x:row>
    <x:row r="23">
      <x:c r="A23" s="62" t="str">
        <x:v>DEMO01|2024|DOC1021|10</x:v>
      </x:c>
      <x:c r="B23" s="62" t="str">
        <x:v>SOURCE</x:v>
      </x:c>
      <x:c r="C23" s="62" t="str">
        <x:v>人工成本</x:v>
      </x:c>
      <x:c r="D23" s="62" t="str">
        <x:v>人工成本</x:v>
      </x:c>
      <x:c r="E23" s="62" t="n">
        <x:v>6</x:v>
      </x:c>
      <x:c r="F23" s="62" t="n">
        <x:v>6</x:v>
      </x:c>
      <x:c r="G23" s="62" t="str">
        <x:v>DOC1021</x:v>
      </x:c>
      <x:c r="H23" s="62" t="n">
        <x:v>10</x:v>
      </x:c>
      <x:c r="I23" s="74" t="n">
        <x:v>45473</x:v>
      </x:c>
      <x:c r="J23" s="74" t="n">
        <x:v>45473</x:v>
      </x:c>
      <x:c r="K23" s="74" t="n">
        <x:v>45473</x:v>
      </x:c>
      <x:c r="L23" s="74" t="n">
        <x:v>45473</x:v>
      </x:c>
      <x:c r="M23" s="77" t="n">
        <x:v>20</x:v>
      </x:c>
      <x:c r="N23" s="77"/>
      <x:c r="O23" s="78"/>
      <x:c r="P23" s="79" t="n">
        <x:f>M23</x:f>
        <x:v>20</x:v>
      </x:c>
      <x:c r="Q23" s="79" t="n">
        <x:f>IF(D23="营业收入",-P23,P23)</x:f>
        <x:v>20</x:v>
      </x:c>
      <x:c r="R23" s="62" t="str">
        <x:v>CNY</x:v>
      </x:c>
      <x:c r="S23" s="62" t="str">
        <x:v>万元</x:v>
      </x:c>
      <x:c r="T23" s="62" t="str">
        <x:v>费用不含税</x:v>
      </x:c>
      <x:c r="U23" s="62" t="str">
        <x:v>设备管理部</x:v>
      </x:c>
      <x:c r="V23" s="62" t="str">
        <x:v>设备维护人工成本分摊</x:v>
      </x:c>
      <x:c r="W23" s="62" t="str">
        <x:v>设备维护人工成本分摊</x:v>
      </x:c>
      <x:c r="X23" s="62" t="str">
        <x:v>17</x:v>
      </x:c>
      <x:c r="Y23" s="62" t="str">
        <x:v>17</x:v>
      </x:c>
      <x:c r="Z23" s="62" t="str">
        <x:v>17</x:v>
      </x:c>
      <x:c r="AA23" s="62" t="str">
        <x:v>设备维护</x:v>
      </x:c>
      <x:c r="AB23" s="62" t="str">
        <x:v>PRJ-SB-设备-2025-003</x:v>
      </x:c>
      <x:c r="AC23" s="74" t="n">
        <x:v>45657</x:v>
      </x:c>
      <x:c r="AD23" s="71" t="str">
        <x:v>源记录保留</x:v>
      </x:c>
      <x:c r="AE23" s="71" t="str">
        <x:v>2024年实际执行.xlsx</x:v>
      </x:c>
      <x:c r="AF23" s="71" t="str">
        <x:v>Sheet</x:v>
      </x:c>
      <x:c r="AG23" s="71" t="n">
        <x:v>23</x:v>
      </x:c>
      <x:c r="AH23" s="71" t="str">
        <x:v>2024年实际执行.xlsx/Sheet!23:23</x:v>
      </x:c>
      <x:c r="AI23" s="62" t="str">
        <x:f>IF(F23=MONTH(L23),"OK","FAIL")</x:f>
        <x:v>OK</x:v>
      </x:c>
      <x:c r="AJ23" s="62" t="str">
        <x:f>IF(J23&lt;=L23,"OK","FAIL")</x:f>
        <x:v>OK</x:v>
      </x:c>
      <x:c r="AK23" s="62" t="str">
        <x:f>IF(D23&lt;&gt;"营业收入","OK",IF(AND(P23&lt;0,Q23&gt;0),"OK","FAIL"))</x:f>
        <x:v>OK</x:v>
      </x:c>
      <x:c r="AL23" s="62" t="str">
        <x:f>IF(COUNTIF($A$2:$A$204,A23)=1,"OK","FAIL")</x:f>
        <x:v>OK</x:v>
      </x:c>
    </x:row>
    <x:row r="24">
      <x:c r="A24" s="62" t="str">
        <x:v>DEMO01|2024|DOC1022|10</x:v>
      </x:c>
      <x:c r="B24" s="62" t="str">
        <x:v>SOURCE</x:v>
      </x:c>
      <x:c r="C24" s="62" t="str">
        <x:v>折旧摊销</x:v>
      </x:c>
      <x:c r="D24" s="62" t="str">
        <x:v>折旧摊销</x:v>
      </x:c>
      <x:c r="E24" s="62" t="n">
        <x:v>12</x:v>
      </x:c>
      <x:c r="F24" s="62" t="n">
        <x:v>12</x:v>
      </x:c>
      <x:c r="G24" s="62" t="str">
        <x:v>DOC1022</x:v>
      </x:c>
      <x:c r="H24" s="62" t="n">
        <x:v>10</x:v>
      </x:c>
      <x:c r="I24" s="74" t="n">
        <x:v>45657</x:v>
      </x:c>
      <x:c r="J24" s="74" t="n">
        <x:v>45657</x:v>
      </x:c>
      <x:c r="K24" s="74" t="n">
        <x:v>45657</x:v>
      </x:c>
      <x:c r="L24" s="74" t="n">
        <x:v>45657</x:v>
      </x:c>
      <x:c r="M24" s="77" t="n">
        <x:v>10</x:v>
      </x:c>
      <x:c r="N24" s="77"/>
      <x:c r="O24" s="78"/>
      <x:c r="P24" s="79" t="n">
        <x:f>M24</x:f>
        <x:v>10</x:v>
      </x:c>
      <x:c r="Q24" s="79" t="n">
        <x:f>IF(D24="营业收入",-P24,P24)</x:f>
        <x:v>10</x:v>
      </x:c>
      <x:c r="R24" s="62" t="str">
        <x:v>CNY</x:v>
      </x:c>
      <x:c r="S24" s="62" t="str">
        <x:v>万元</x:v>
      </x:c>
      <x:c r="T24" s="62" t="str">
        <x:v>费用不含税</x:v>
      </x:c>
      <x:c r="U24" s="62" t="str">
        <x:v>设备管理部</x:v>
      </x:c>
      <x:c r="V24" s="62" t="str">
        <x:v>设备维护折旧摊销分摊</x:v>
      </x:c>
      <x:c r="W24" s="62" t="str">
        <x:v>设备维护折旧摊销分摊</x:v>
      </x:c>
      <x:c r="X24" s="62" t="str">
        <x:v>17</x:v>
      </x:c>
      <x:c r="Y24" s="62" t="str">
        <x:v>17</x:v>
      </x:c>
      <x:c r="Z24" s="62" t="str">
        <x:v>17</x:v>
      </x:c>
      <x:c r="AA24" s="62" t="str">
        <x:v>设备维护</x:v>
      </x:c>
      <x:c r="AB24" s="62" t="str">
        <x:v>PRJ-SB-设备-2025-003</x:v>
      </x:c>
      <x:c r="AC24" s="74" t="n">
        <x:v>45657</x:v>
      </x:c>
      <x:c r="AD24" s="71" t="str">
        <x:v>源记录保留</x:v>
      </x:c>
      <x:c r="AE24" s="71" t="str">
        <x:v>2024年实际执行.xlsx</x:v>
      </x:c>
      <x:c r="AF24" s="71" t="str">
        <x:v>Sheet</x:v>
      </x:c>
      <x:c r="AG24" s="71" t="n">
        <x:v>24</x:v>
      </x:c>
      <x:c r="AH24" s="71" t="str">
        <x:v>2024年实际执行.xlsx/Sheet!24:24</x:v>
      </x:c>
      <x:c r="AI24" s="62" t="str">
        <x:f>IF(F24=MONTH(L24),"OK","FAIL")</x:f>
        <x:v>OK</x:v>
      </x:c>
      <x:c r="AJ24" s="62" t="str">
        <x:f>IF(J24&lt;=L24,"OK","FAIL")</x:f>
        <x:v>OK</x:v>
      </x:c>
      <x:c r="AK24" s="62" t="str">
        <x:f>IF(D24&lt;&gt;"营业收入","OK",IF(AND(P24&lt;0,Q24&gt;0),"OK","FAIL"))</x:f>
        <x:v>OK</x:v>
      </x:c>
      <x:c r="AL24" s="62" t="str">
        <x:f>IF(COUNTIF($A$2:$A$204,A24)=1,"OK","FAIL")</x:f>
        <x:v>OK</x:v>
      </x:c>
    </x:row>
    <x:row r="25">
      <x:c r="A25" s="62" t="str">
        <x:v>DEMO01|2024|DOC1023|10</x:v>
      </x:c>
      <x:c r="B25" s="62" t="str">
        <x:v>SOURCE</x:v>
      </x:c>
      <x:c r="C25" s="62" t="str">
        <x:v>营业收入</x:v>
      </x:c>
      <x:c r="D25" s="62" t="str">
        <x:v>营业收入</x:v>
      </x:c>
      <x:c r="E25" s="62" t="n">
        <x:v>6</x:v>
      </x:c>
      <x:c r="F25" s="62" t="n">
        <x:v>6</x:v>
      </x:c>
      <x:c r="G25" s="62" t="str">
        <x:v>DOC1023</x:v>
      </x:c>
      <x:c r="H25" s="62" t="n">
        <x:v>10</x:v>
      </x:c>
      <x:c r="I25" s="74" t="n">
        <x:v>45458</x:v>
      </x:c>
      <x:c r="J25" s="74" t="n">
        <x:v>45458</x:v>
      </x:c>
      <x:c r="K25" s="74" t="n">
        <x:v>45458</x:v>
      </x:c>
      <x:c r="L25" s="74" t="n">
        <x:v>45458</x:v>
      </x:c>
      <x:c r="M25" s="77" t="n">
        <x:v>-220</x:v>
      </x:c>
      <x:c r="N25" s="77"/>
      <x:c r="O25" s="78"/>
      <x:c r="P25" s="79" t="n">
        <x:f>M25</x:f>
        <x:v>-220</x:v>
      </x:c>
      <x:c r="Q25" s="79" t="n">
        <x:f>IF(D25="营业收入",-P25,P25)</x:f>
        <x:v>220</x:v>
      </x:c>
      <x:c r="R25" s="62" t="str">
        <x:v>CNY</x:v>
      </x:c>
      <x:c r="S25" s="62" t="str">
        <x:v>万元</x:v>
      </x:c>
      <x:c r="T25" s="62" t="str">
        <x:v>收益；源负号</x:v>
      </x:c>
      <x:c r="U25" s="62" t="str">
        <x:v>技术部</x:v>
      </x:c>
      <x:c r="V25" s="62" t="str">
        <x:v>热能动力研究收入确认</x:v>
      </x:c>
      <x:c r="W25" s="62" t="str">
        <x:v>热能动力研究收入确认</x:v>
      </x:c>
      <x:c r="X25" s="62" t="str">
        <x:v>17</x:v>
      </x:c>
      <x:c r="Y25" s="62" t="str">
        <x:v>17</x:v>
      </x:c>
      <x:c r="Z25" s="62" t="str">
        <x:v>17</x:v>
      </x:c>
      <x:c r="AA25" s="62" t="str">
        <x:v>热能动力研究</x:v>
      </x:c>
      <x:c r="AB25" s="62" t="str">
        <x:v>PRJ-JS-热能-2024-001</x:v>
      </x:c>
      <x:c r="AC25" s="74" t="n">
        <x:v>45657</x:v>
      </x:c>
      <x:c r="AD25" s="71" t="str">
        <x:v>源记录保留</x:v>
      </x:c>
      <x:c r="AE25" s="71" t="str">
        <x:v>2024年实际执行.xlsx</x:v>
      </x:c>
      <x:c r="AF25" s="71" t="str">
        <x:v>Sheet</x:v>
      </x:c>
      <x:c r="AG25" s="71" t="n">
        <x:v>25</x:v>
      </x:c>
      <x:c r="AH25" s="71" t="str">
        <x:v>2024年实际执行.xlsx/Sheet!25:25</x:v>
      </x:c>
      <x:c r="AI25" s="62" t="str">
        <x:f>IF(F25=MONTH(L25),"OK","FAIL")</x:f>
        <x:v>OK</x:v>
      </x:c>
      <x:c r="AJ25" s="62" t="str">
        <x:f>IF(J25&lt;=L25,"OK","FAIL")</x:f>
        <x:v>OK</x:v>
      </x:c>
      <x:c r="AK25" s="62" t="str">
        <x:f>IF(D25&lt;&gt;"营业收入","OK",IF(AND(P25&lt;0,Q25&gt;0),"OK","FAIL"))</x:f>
        <x:v>OK</x:v>
      </x:c>
      <x:c r="AL25" s="62" t="str">
        <x:f>IF(COUNTIF($A$2:$A$204,A25)=1,"OK","FAIL")</x:f>
        <x:v>OK</x:v>
      </x:c>
    </x:row>
    <x:row r="26">
      <x:c r="A26" s="62" t="str">
        <x:v>DEMO01|2024|DOC1024|10</x:v>
      </x:c>
      <x:c r="B26" s="62" t="str">
        <x:v>SOURCE</x:v>
      </x:c>
      <x:c r="C26" s="62" t="str">
        <x:v>会议费</x:v>
      </x:c>
      <x:c r="D26" s="62" t="str">
        <x:v>会议费</x:v>
      </x:c>
      <x:c r="E26" s="62" t="n">
        <x:v>1</x:v>
      </x:c>
      <x:c r="F26" s="62" t="n">
        <x:v>1</x:v>
      </x:c>
      <x:c r="G26" s="62" t="str">
        <x:v>DOC1024</x:v>
      </x:c>
      <x:c r="H26" s="62" t="n">
        <x:v>10</x:v>
      </x:c>
      <x:c r="I26" s="74" t="n">
        <x:v>45306</x:v>
      </x:c>
      <x:c r="J26" s="74" t="n">
        <x:v>45306</x:v>
      </x:c>
      <x:c r="K26" s="74" t="n">
        <x:v>45306</x:v>
      </x:c>
      <x:c r="L26" s="74" t="n">
        <x:v>45306</x:v>
      </x:c>
      <x:c r="M26" s="77" t="n">
        <x:v>0.3346</x:v>
      </x:c>
      <x:c r="N26" s="77"/>
      <x:c r="O26" s="78"/>
      <x:c r="P26" s="79" t="n">
        <x:f>M26</x:f>
        <x:v>0.3346</x:v>
      </x:c>
      <x:c r="Q26" s="79" t="n">
        <x:f>IF(D26="营业收入",-P26,P26)</x:f>
        <x:v>0.3346</x:v>
      </x:c>
      <x:c r="R26" s="62" t="str">
        <x:v>CNY</x:v>
      </x:c>
      <x:c r="S26" s="62" t="str">
        <x:v>万元</x:v>
      </x:c>
      <x:c r="T26" s="62" t="str">
        <x:v>费用不含税</x:v>
      </x:c>
      <x:c r="U26" s="62" t="str">
        <x:v>技术部</x:v>
      </x:c>
      <x:c r="V26" s="62" t="str">
        <x:v>热能动力研究项目阶段评审会</x:v>
      </x:c>
      <x:c r="W26" s="62" t="str">
        <x:v>热能动力研究项目阶段评审会</x:v>
      </x:c>
      <x:c r="X26" s="62" t="str">
        <x:v>中核运维</x:v>
      </x:c>
      <x:c r="Y26" s="62" t="str">
        <x:v>中核运维</x:v>
      </x:c>
      <x:c r="Z26" s="62" t="str">
        <x:v>17</x:v>
      </x:c>
      <x:c r="AA26" s="62" t="str">
        <x:v>热能动力研究</x:v>
      </x:c>
      <x:c r="AB26" s="62" t="str">
        <x:v>PRJ-JS-热能-2024-001</x:v>
      </x:c>
      <x:c r="AC26" s="74" t="n">
        <x:v>45657</x:v>
      </x:c>
      <x:c r="AD26" s="71" t="str">
        <x:v>源记录保留</x:v>
      </x:c>
      <x:c r="AE26" s="71" t="str">
        <x:v>2024年实际执行.xlsx</x:v>
      </x:c>
      <x:c r="AF26" s="71" t="str">
        <x:v>Sheet</x:v>
      </x:c>
      <x:c r="AG26" s="71" t="n">
        <x:v>26</x:v>
      </x:c>
      <x:c r="AH26" s="71" t="str">
        <x:v>2024年实际执行.xlsx/Sheet!26:26</x:v>
      </x:c>
      <x:c r="AI26" s="62" t="str">
        <x:f>IF(F26=MONTH(L26),"OK","FAIL")</x:f>
        <x:v>OK</x:v>
      </x:c>
      <x:c r="AJ26" s="62" t="str">
        <x:f>IF(J26&lt;=L26,"OK","FAIL")</x:f>
        <x:v>OK</x:v>
      </x:c>
      <x:c r="AK26" s="62" t="str">
        <x:f>IF(D26&lt;&gt;"营业收入","OK",IF(AND(P26&lt;0,Q26&gt;0),"OK","FAIL"))</x:f>
        <x:v>OK</x:v>
      </x:c>
      <x:c r="AL26" s="62" t="str">
        <x:f>IF(COUNTIF($A$2:$A$204,A26)=1,"OK","FAIL")</x:f>
        <x:v>OK</x:v>
      </x:c>
    </x:row>
    <x:row r="27">
      <x:c r="A27" s="62" t="str">
        <x:v>DEMO01|2024|DOC1025|10</x:v>
      </x:c>
      <x:c r="B27" s="62" t="str">
        <x:v>SOURCE</x:v>
      </x:c>
      <x:c r="C27" s="62" t="str">
        <x:v>业务支持费</x:v>
      </x:c>
      <x:c r="D27" s="62" t="str">
        <x:v>业务支持费-技术配置</x:v>
      </x:c>
      <x:c r="E27" s="62" t="n">
        <x:v>1</x:v>
      </x:c>
      <x:c r="F27" s="62" t="n">
        <x:v>1</x:v>
      </x:c>
      <x:c r="G27" s="62" t="str">
        <x:v>DOC1025</x:v>
      </x:c>
      <x:c r="H27" s="62" t="n">
        <x:v>10</x:v>
      </x:c>
      <x:c r="I27" s="74" t="n">
        <x:v>45306</x:v>
      </x:c>
      <x:c r="J27" s="74" t="n">
        <x:v>45306</x:v>
      </x:c>
      <x:c r="K27" s="74" t="n">
        <x:v>45306</x:v>
      </x:c>
      <x:c r="L27" s="74" t="n">
        <x:v>45306</x:v>
      </x:c>
      <x:c r="M27" s="77" t="n">
        <x:v>13.384</x:v>
      </x:c>
      <x:c r="N27" s="77"/>
      <x:c r="O27" s="78"/>
      <x:c r="P27" s="79" t="n">
        <x:f>M27</x:f>
        <x:v>13.384</x:v>
      </x:c>
      <x:c r="Q27" s="79" t="n">
        <x:f>IF(D27="营业收入",-P27,P27)</x:f>
        <x:v>13.384</x:v>
      </x:c>
      <x:c r="R27" s="62" t="str">
        <x:v>CNY</x:v>
      </x:c>
      <x:c r="S27" s="62" t="str">
        <x:v>万元</x:v>
      </x:c>
      <x:c r="T27" s="62" t="str">
        <x:v>费用不含税</x:v>
      </x:c>
      <x:c r="U27" s="62" t="str">
        <x:v>技术部</x:v>
      </x:c>
      <x:c r="V27" s="62" t="str">
        <x:v>热能动力研究技术配置_前期阶段</x:v>
      </x:c>
      <x:c r="W27" s="62" t="str">
        <x:v>热能动力研究技术配置_前期阶段</x:v>
      </x:c>
      <x:c r="X27" s="62" t="str">
        <x:v>中核运维</x:v>
      </x:c>
      <x:c r="Y27" s="62" t="str">
        <x:v>中核运维</x:v>
      </x:c>
      <x:c r="Z27" s="62" t="str">
        <x:v>17</x:v>
      </x:c>
      <x:c r="AA27" s="62" t="str">
        <x:v>热能动力研究</x:v>
      </x:c>
      <x:c r="AB27" s="62" t="str">
        <x:v>PRJ-JS-热能-2024-001</x:v>
      </x:c>
      <x:c r="AC27" s="74" t="n">
        <x:v>45657</x:v>
      </x:c>
      <x:c r="AD27" s="71" t="str">
        <x:v>源记录保留</x:v>
      </x:c>
      <x:c r="AE27" s="71" t="str">
        <x:v>2024年实际执行.xlsx</x:v>
      </x:c>
      <x:c r="AF27" s="71" t="str">
        <x:v>Sheet</x:v>
      </x:c>
      <x:c r="AG27" s="71" t="n">
        <x:v>27</x:v>
      </x:c>
      <x:c r="AH27" s="71" t="str">
        <x:v>2024年实际执行.xlsx/Sheet!27:27</x:v>
      </x:c>
      <x:c r="AI27" s="62" t="str">
        <x:f>IF(F27=MONTH(L27),"OK","FAIL")</x:f>
        <x:v>OK</x:v>
      </x:c>
      <x:c r="AJ27" s="62" t="str">
        <x:f>IF(J27&lt;=L27,"OK","FAIL")</x:f>
        <x:v>OK</x:v>
      </x:c>
      <x:c r="AK27" s="62" t="str">
        <x:f>IF(D27&lt;&gt;"营业收入","OK",IF(AND(P27&lt;0,Q27&gt;0),"OK","FAIL"))</x:f>
        <x:v>OK</x:v>
      </x:c>
      <x:c r="AL27" s="62" t="str">
        <x:f>IF(COUNTIF($A$2:$A$204,A27)=1,"OK","FAIL")</x:f>
        <x:v>OK</x:v>
      </x:c>
    </x:row>
    <x:row r="28">
      <x:c r="A28" s="62" t="str">
        <x:v>DEMO01|2024|DOC1026|10</x:v>
      </x:c>
      <x:c r="B28" s="62" t="str">
        <x:v>SOURCE</x:v>
      </x:c>
      <x:c r="C28" s="62" t="str">
        <x:v>生产物料费</x:v>
      </x:c>
      <x:c r="D28" s="62" t="str">
        <x:v>生产物料费</x:v>
      </x:c>
      <x:c r="E28" s="62" t="n">
        <x:v>2</x:v>
      </x:c>
      <x:c r="F28" s="62" t="n">
        <x:v>2</x:v>
      </x:c>
      <x:c r="G28" s="62" t="str">
        <x:v>DOC1026</x:v>
      </x:c>
      <x:c r="H28" s="62" t="n">
        <x:v>10</x:v>
      </x:c>
      <x:c r="I28" s="74" t="n">
        <x:v>45337</x:v>
      </x:c>
      <x:c r="J28" s="74" t="n">
        <x:v>45337</x:v>
      </x:c>
      <x:c r="K28" s="74" t="n">
        <x:v>45337</x:v>
      </x:c>
      <x:c r="L28" s="74" t="n">
        <x:v>45337</x:v>
      </x:c>
      <x:c r="M28" s="77" t="n">
        <x:v>5.019</x:v>
      </x:c>
      <x:c r="N28" s="77"/>
      <x:c r="O28" s="78"/>
      <x:c r="P28" s="79" t="n">
        <x:f>M28</x:f>
        <x:v>5.019</x:v>
      </x:c>
      <x:c r="Q28" s="79" t="n">
        <x:f>IF(D28="营业收入",-P28,P28)</x:f>
        <x:v>5.019</x:v>
      </x:c>
      <x:c r="R28" s="62" t="str">
        <x:v>CNY</x:v>
      </x:c>
      <x:c r="S28" s="62" t="str">
        <x:v>万元</x:v>
      </x:c>
      <x:c r="T28" s="62" t="str">
        <x:v>费用不含税</x:v>
      </x:c>
      <x:c r="U28" s="62" t="str">
        <x:v>技术部</x:v>
      </x:c>
      <x:c r="V28" s="62" t="str">
        <x:v>热能动力研究现场物料采购</x:v>
      </x:c>
      <x:c r="W28" s="62" t="str">
        <x:v>热能动力研究现场物料采购</x:v>
      </x:c>
      <x:c r="X28" s="62" t="str">
        <x:v>中核运维</x:v>
      </x:c>
      <x:c r="Y28" s="62" t="str">
        <x:v>中核运维</x:v>
      </x:c>
      <x:c r="Z28" s="62" t="str">
        <x:v>17</x:v>
      </x:c>
      <x:c r="AA28" s="62" t="str">
        <x:v>热能动力研究</x:v>
      </x:c>
      <x:c r="AB28" s="62" t="str">
        <x:v>PRJ-JS-热能-2024-001</x:v>
      </x:c>
      <x:c r="AC28" s="74" t="n">
        <x:v>45657</x:v>
      </x:c>
      <x:c r="AD28" s="71" t="str">
        <x:v>源记录保留</x:v>
      </x:c>
      <x:c r="AE28" s="71" t="str">
        <x:v>2024年实际执行.xlsx</x:v>
      </x:c>
      <x:c r="AF28" s="71" t="str">
        <x:v>Sheet</x:v>
      </x:c>
      <x:c r="AG28" s="71" t="n">
        <x:v>28</x:v>
      </x:c>
      <x:c r="AH28" s="71" t="str">
        <x:v>2024年实际执行.xlsx/Sheet!28:28</x:v>
      </x:c>
      <x:c r="AI28" s="62" t="str">
        <x:f>IF(F28=MONTH(L28),"OK","FAIL")</x:f>
        <x:v>OK</x:v>
      </x:c>
      <x:c r="AJ28" s="62" t="str">
        <x:f>IF(J28&lt;=L28,"OK","FAIL")</x:f>
        <x:v>OK</x:v>
      </x:c>
      <x:c r="AK28" s="62" t="str">
        <x:f>IF(D28&lt;&gt;"营业收入","OK",IF(AND(P28&lt;0,Q28&gt;0),"OK","FAIL"))</x:f>
        <x:v>OK</x:v>
      </x:c>
      <x:c r="AL28" s="62" t="str">
        <x:f>IF(COUNTIF($A$2:$A$204,A28)=1,"OK","FAIL")</x:f>
        <x:v>OK</x:v>
      </x:c>
    </x:row>
    <x:row r="29">
      <x:c r="A29" s="62" t="str">
        <x:v>DEMO01|2024|DOC1027|10</x:v>
      </x:c>
      <x:c r="B29" s="62" t="str">
        <x:v>SOURCE</x:v>
      </x:c>
      <x:c r="C29" s="62" t="str">
        <x:v>办公费</x:v>
      </x:c>
      <x:c r="D29" s="62" t="str">
        <x:v>办公费</x:v>
      </x:c>
      <x:c r="E29" s="62" t="n">
        <x:v>4</x:v>
      </x:c>
      <x:c r="F29" s="62" t="n">
        <x:v>4</x:v>
      </x:c>
      <x:c r="G29" s="62" t="str">
        <x:v>DOC1027</x:v>
      </x:c>
      <x:c r="H29" s="62" t="n">
        <x:v>10</x:v>
      </x:c>
      <x:c r="I29" s="74" t="n">
        <x:v>45397</x:v>
      </x:c>
      <x:c r="J29" s="74" t="n">
        <x:v>45397</x:v>
      </x:c>
      <x:c r="K29" s="74" t="n">
        <x:v>45397</x:v>
      </x:c>
      <x:c r="L29" s="74" t="n">
        <x:v>45397</x:v>
      </x:c>
      <x:c r="M29" s="77" t="n">
        <x:v>1.0038</x:v>
      </x:c>
      <x:c r="N29" s="77"/>
      <x:c r="O29" s="78"/>
      <x:c r="P29" s="79" t="n">
        <x:f>M29</x:f>
        <x:v>1.0038</x:v>
      </x:c>
      <x:c r="Q29" s="79" t="n">
        <x:f>IF(D29="营业收入",-P29,P29)</x:f>
        <x:v>1.0038</x:v>
      </x:c>
      <x:c r="R29" s="62" t="str">
        <x:v>CNY</x:v>
      </x:c>
      <x:c r="S29" s="62" t="str">
        <x:v>万元</x:v>
      </x:c>
      <x:c r="T29" s="62" t="str">
        <x:v>费用不含税</x:v>
      </x:c>
      <x:c r="U29" s="62" t="str">
        <x:v>技术部</x:v>
      </x:c>
      <x:c r="V29" s="62" t="str">
        <x:v>热能动力研究日常办公</x:v>
      </x:c>
      <x:c r="W29" s="62" t="str">
        <x:v>热能动力研究日常办公</x:v>
      </x:c>
      <x:c r="X29" s="62" t="str">
        <x:v>中核运维</x:v>
      </x:c>
      <x:c r="Y29" s="62" t="str">
        <x:v>中核运维</x:v>
      </x:c>
      <x:c r="Z29" s="62" t="str">
        <x:v>17</x:v>
      </x:c>
      <x:c r="AA29" s="62" t="str">
        <x:v>热能动力研究</x:v>
      </x:c>
      <x:c r="AB29" s="62" t="str">
        <x:v>PRJ-JS-热能-2024-001</x:v>
      </x:c>
      <x:c r="AC29" s="74" t="n">
        <x:v>45657</x:v>
      </x:c>
      <x:c r="AD29" s="71" t="str">
        <x:v>源记录保留</x:v>
      </x:c>
      <x:c r="AE29" s="71" t="str">
        <x:v>2024年实际执行.xlsx</x:v>
      </x:c>
      <x:c r="AF29" s="71" t="str">
        <x:v>Sheet</x:v>
      </x:c>
      <x:c r="AG29" s="71" t="n">
        <x:v>29</x:v>
      </x:c>
      <x:c r="AH29" s="71" t="str">
        <x:v>2024年实际执行.xlsx/Sheet!29:29</x:v>
      </x:c>
      <x:c r="AI29" s="62" t="str">
        <x:f>IF(F29=MONTH(L29),"OK","FAIL")</x:f>
        <x:v>OK</x:v>
      </x:c>
      <x:c r="AJ29" s="62" t="str">
        <x:f>IF(J29&lt;=L29,"OK","FAIL")</x:f>
        <x:v>OK</x:v>
      </x:c>
      <x:c r="AK29" s="62" t="str">
        <x:f>IF(D29&lt;&gt;"营业收入","OK",IF(AND(P29&lt;0,Q29&gt;0),"OK","FAIL"))</x:f>
        <x:v>OK</x:v>
      </x:c>
      <x:c r="AL29" s="62" t="str">
        <x:f>IF(COUNTIF($A$2:$A$204,A29)=1,"OK","FAIL")</x:f>
        <x:v>OK</x:v>
      </x:c>
    </x:row>
    <x:row r="30">
      <x:c r="A30" s="62" t="str">
        <x:v>DEMO01|2024|DOC1028|10</x:v>
      </x:c>
      <x:c r="B30" s="62" t="str">
        <x:v>SOURCE</x:v>
      </x:c>
      <x:c r="C30" s="62" t="str">
        <x:v>人工成本</x:v>
      </x:c>
      <x:c r="D30" s="62" t="str">
        <x:v>人工成本</x:v>
      </x:c>
      <x:c r="E30" s="62" t="n">
        <x:v>6</x:v>
      </x:c>
      <x:c r="F30" s="62" t="n">
        <x:v>6</x:v>
      </x:c>
      <x:c r="G30" s="62" t="str">
        <x:v>DOC1028</x:v>
      </x:c>
      <x:c r="H30" s="62" t="n">
        <x:v>10</x:v>
      </x:c>
      <x:c r="I30" s="74" t="n">
        <x:v>45473</x:v>
      </x:c>
      <x:c r="J30" s="74" t="n">
        <x:v>45473</x:v>
      </x:c>
      <x:c r="K30" s="74" t="n">
        <x:v>45473</x:v>
      </x:c>
      <x:c r="L30" s="74" t="n">
        <x:v>45473</x:v>
      </x:c>
      <x:c r="M30" s="77" t="n">
        <x:v>9</x:v>
      </x:c>
      <x:c r="N30" s="77"/>
      <x:c r="O30" s="78"/>
      <x:c r="P30" s="79" t="n">
        <x:f>M30</x:f>
        <x:v>9</x:v>
      </x:c>
      <x:c r="Q30" s="79" t="n">
        <x:f>IF(D30="营业收入",-P30,P30)</x:f>
        <x:v>9</x:v>
      </x:c>
      <x:c r="R30" s="62" t="str">
        <x:v>CNY</x:v>
      </x:c>
      <x:c r="S30" s="62" t="str">
        <x:v>万元</x:v>
      </x:c>
      <x:c r="T30" s="62" t="str">
        <x:v>费用不含税</x:v>
      </x:c>
      <x:c r="U30" s="62" t="str">
        <x:v>技术部</x:v>
      </x:c>
      <x:c r="V30" s="62" t="str">
        <x:v>热能动力研究人工成本分摊</x:v>
      </x:c>
      <x:c r="W30" s="62" t="str">
        <x:v>热能动力研究人工成本分摊</x:v>
      </x:c>
      <x:c r="X30" s="62" t="str">
        <x:v>17</x:v>
      </x:c>
      <x:c r="Y30" s="62" t="str">
        <x:v>17</x:v>
      </x:c>
      <x:c r="Z30" s="62" t="str">
        <x:v>17</x:v>
      </x:c>
      <x:c r="AA30" s="62" t="str">
        <x:v>热能动力研究</x:v>
      </x:c>
      <x:c r="AB30" s="62" t="str">
        <x:v>PRJ-JS-热能-2024-001</x:v>
      </x:c>
      <x:c r="AC30" s="74" t="n">
        <x:v>45657</x:v>
      </x:c>
      <x:c r="AD30" s="71" t="str">
        <x:v>源记录保留</x:v>
      </x:c>
      <x:c r="AE30" s="71" t="str">
        <x:v>2024年实际执行.xlsx</x:v>
      </x:c>
      <x:c r="AF30" s="71" t="str">
        <x:v>Sheet</x:v>
      </x:c>
      <x:c r="AG30" s="71" t="n">
        <x:v>30</x:v>
      </x:c>
      <x:c r="AH30" s="71" t="str">
        <x:v>2024年实际执行.xlsx/Sheet!30:30</x:v>
      </x:c>
      <x:c r="AI30" s="62" t="str">
        <x:f>IF(F30=MONTH(L30),"OK","FAIL")</x:f>
        <x:v>OK</x:v>
      </x:c>
      <x:c r="AJ30" s="62" t="str">
        <x:f>IF(J30&lt;=L30,"OK","FAIL")</x:f>
        <x:v>OK</x:v>
      </x:c>
      <x:c r="AK30" s="62" t="str">
        <x:f>IF(D30&lt;&gt;"营业收入","OK",IF(AND(P30&lt;0,Q30&gt;0),"OK","FAIL"))</x:f>
        <x:v>OK</x:v>
      </x:c>
      <x:c r="AL30" s="62" t="str">
        <x:f>IF(COUNTIF($A$2:$A$204,A30)=1,"OK","FAIL")</x:f>
        <x:v>OK</x:v>
      </x:c>
    </x:row>
    <x:row r="31">
      <x:c r="A31" s="62" t="str">
        <x:v>DEMO01|2024|DOC1029|10</x:v>
      </x:c>
      <x:c r="B31" s="62" t="str">
        <x:v>SOURCE</x:v>
      </x:c>
      <x:c r="C31" s="62" t="str">
        <x:v>折旧摊销</x:v>
      </x:c>
      <x:c r="D31" s="62" t="str">
        <x:v>折旧摊销</x:v>
      </x:c>
      <x:c r="E31" s="62" t="n">
        <x:v>12</x:v>
      </x:c>
      <x:c r="F31" s="62" t="n">
        <x:v>12</x:v>
      </x:c>
      <x:c r="G31" s="62" t="str">
        <x:v>DOC1029</x:v>
      </x:c>
      <x:c r="H31" s="62" t="n">
        <x:v>10</x:v>
      </x:c>
      <x:c r="I31" s="74" t="n">
        <x:v>45657</x:v>
      </x:c>
      <x:c r="J31" s="74" t="n">
        <x:v>45657</x:v>
      </x:c>
      <x:c r="K31" s="74" t="n">
        <x:v>45657</x:v>
      </x:c>
      <x:c r="L31" s="74" t="n">
        <x:v>45657</x:v>
      </x:c>
      <x:c r="M31" s="77" t="n">
        <x:v>2</x:v>
      </x:c>
      <x:c r="N31" s="77"/>
      <x:c r="O31" s="78"/>
      <x:c r="P31" s="79" t="n">
        <x:f>M31</x:f>
        <x:v>2</x:v>
      </x:c>
      <x:c r="Q31" s="79" t="n">
        <x:f>IF(D31="营业收入",-P31,P31)</x:f>
        <x:v>2</x:v>
      </x:c>
      <x:c r="R31" s="62" t="str">
        <x:v>CNY</x:v>
      </x:c>
      <x:c r="S31" s="62" t="str">
        <x:v>万元</x:v>
      </x:c>
      <x:c r="T31" s="62" t="str">
        <x:v>费用不含税</x:v>
      </x:c>
      <x:c r="U31" s="62" t="str">
        <x:v>技术部</x:v>
      </x:c>
      <x:c r="V31" s="62" t="str">
        <x:v>热能动力研究折旧摊销分摊</x:v>
      </x:c>
      <x:c r="W31" s="62" t="str">
        <x:v>热能动力研究折旧摊销分摊</x:v>
      </x:c>
      <x:c r="X31" s="62" t="str">
        <x:v>17</x:v>
      </x:c>
      <x:c r="Y31" s="62" t="str">
        <x:v>17</x:v>
      </x:c>
      <x:c r="Z31" s="62" t="str">
        <x:v>17</x:v>
      </x:c>
      <x:c r="AA31" s="62" t="str">
        <x:v>热能动力研究</x:v>
      </x:c>
      <x:c r="AB31" s="62" t="str">
        <x:v>PRJ-JS-热能-2024-001</x:v>
      </x:c>
      <x:c r="AC31" s="74" t="n">
        <x:v>45657</x:v>
      </x:c>
      <x:c r="AD31" s="71" t="str">
        <x:v>源记录保留</x:v>
      </x:c>
      <x:c r="AE31" s="71" t="str">
        <x:v>2024年实际执行.xlsx</x:v>
      </x:c>
      <x:c r="AF31" s="71" t="str">
        <x:v>Sheet</x:v>
      </x:c>
      <x:c r="AG31" s="71" t="n">
        <x:v>31</x:v>
      </x:c>
      <x:c r="AH31" s="71" t="str">
        <x:v>2024年实际执行.xlsx/Sheet!31:31</x:v>
      </x:c>
      <x:c r="AI31" s="62" t="str">
        <x:f>IF(F31=MONTH(L31),"OK","FAIL")</x:f>
        <x:v>OK</x:v>
      </x:c>
      <x:c r="AJ31" s="62" t="str">
        <x:f>IF(J31&lt;=L31,"OK","FAIL")</x:f>
        <x:v>OK</x:v>
      </x:c>
      <x:c r="AK31" s="62" t="str">
        <x:f>IF(D31&lt;&gt;"营业收入","OK",IF(AND(P31&lt;0,Q31&gt;0),"OK","FAIL"))</x:f>
        <x:v>OK</x:v>
      </x:c>
      <x:c r="AL31" s="62" t="str">
        <x:f>IF(COUNTIF($A$2:$A$204,A31)=1,"OK","FAIL")</x:f>
        <x:v>OK</x:v>
      </x:c>
    </x:row>
    <x:row r="32">
      <x:c r="A32" s="62" t="str">
        <x:v>DEMO01|2024|DOC1030|10</x:v>
      </x:c>
      <x:c r="B32" s="62" t="str">
        <x:v>SOURCE</x:v>
      </x:c>
      <x:c r="C32" s="62" t="str">
        <x:v>业务支持费</x:v>
      </x:c>
      <x:c r="D32" s="62" t="str">
        <x:v>业务支持费-其他</x:v>
      </x:c>
      <x:c r="E32" s="62" t="n">
        <x:v>12</x:v>
      </x:c>
      <x:c r="F32" s="62" t="n">
        <x:v>12</x:v>
      </x:c>
      <x:c r="G32" s="62" t="str">
        <x:v>DOC1030</x:v>
      </x:c>
      <x:c r="H32" s="62" t="n">
        <x:v>10</x:v>
      </x:c>
      <x:c r="I32" s="74" t="n">
        <x:v>45657</x:v>
      </x:c>
      <x:c r="J32" s="74" t="n">
        <x:v>45657</x:v>
      </x:c>
      <x:c r="K32" s="74" t="n">
        <x:v>45657</x:v>
      </x:c>
      <x:c r="L32" s="74" t="n">
        <x:v>45657</x:v>
      </x:c>
      <x:c r="M32" s="77" t="n">
        <x:v>5.019</x:v>
      </x:c>
      <x:c r="N32" s="77"/>
      <x:c r="O32" s="78"/>
      <x:c r="P32" s="79" t="n">
        <x:f>M32</x:f>
        <x:v>5.019</x:v>
      </x:c>
      <x:c r="Q32" s="79" t="n">
        <x:f>IF(D32="营业收入",-P32,P32)</x:f>
        <x:v>5.019</x:v>
      </x:c>
      <x:c r="R32" s="62" t="str">
        <x:v>CNY</x:v>
      </x:c>
      <x:c r="S32" s="62" t="str">
        <x:v>万元</x:v>
      </x:c>
      <x:c r="T32" s="62" t="str">
        <x:v>费用不含税</x:v>
      </x:c>
      <x:c r="U32" s="62" t="str">
        <x:v>技术部</x:v>
      </x:c>
      <x:c r="V32" s="62" t="str">
        <x:v>计提热能动力研究_2024年末预提</x:v>
      </x:c>
      <x:c r="W32" s="62" t="str">
        <x:v>计提热能动力研究_2024年末预提</x:v>
      </x:c>
      <x:c r="X32" s="62" t="str">
        <x:v>中核运维</x:v>
      </x:c>
      <x:c r="Y32" s="62" t="str">
        <x:v>中核运维</x:v>
      </x:c>
      <x:c r="Z32" s="62" t="str">
        <x:v>17</x:v>
      </x:c>
      <x:c r="AA32" s="62" t="str">
        <x:v>热能动力研究</x:v>
      </x:c>
      <x:c r="AB32" s="62" t="str">
        <x:v>PRJ-JS-热能-2024-001</x:v>
      </x:c>
      <x:c r="AC32" s="74" t="n">
        <x:v>45657</x:v>
      </x:c>
      <x:c r="AD32" s="71" t="str">
        <x:v>源记录保留</x:v>
      </x:c>
      <x:c r="AE32" s="71" t="str">
        <x:v>2024年实际执行.xlsx</x:v>
      </x:c>
      <x:c r="AF32" s="71" t="str">
        <x:v>Sheet</x:v>
      </x:c>
      <x:c r="AG32" s="71" t="n">
        <x:v>32</x:v>
      </x:c>
      <x:c r="AH32" s="71" t="str">
        <x:v>2024年实际执行.xlsx/Sheet!32:32</x:v>
      </x:c>
      <x:c r="AI32" s="62" t="str">
        <x:f>IF(F32=MONTH(L32),"OK","FAIL")</x:f>
        <x:v>OK</x:v>
      </x:c>
      <x:c r="AJ32" s="62" t="str">
        <x:f>IF(J32&lt;=L32,"OK","FAIL")</x:f>
        <x:v>OK</x:v>
      </x:c>
      <x:c r="AK32" s="62" t="str">
        <x:f>IF(D32&lt;&gt;"营业收入","OK",IF(AND(P32&lt;0,Q32&gt;0),"OK","FAIL"))</x:f>
        <x:v>OK</x:v>
      </x:c>
      <x:c r="AL32" s="62" t="str">
        <x:f>IF(COUNTIF($A$2:$A$204,A32)=1,"OK","FAIL")</x:f>
        <x:v>OK</x:v>
      </x:c>
    </x:row>
    <x:row r="33">
      <x:c r="A33" s="62" t="str">
        <x:v>DEMO01|2024|DOC1031|10</x:v>
      </x:c>
      <x:c r="B33" s="62" t="str">
        <x:v>SOURCE</x:v>
      </x:c>
      <x:c r="C33" s="62" t="str">
        <x:v>营业收入</x:v>
      </x:c>
      <x:c r="D33" s="62" t="str">
        <x:v>营业收入</x:v>
      </x:c>
      <x:c r="E33" s="62" t="n">
        <x:v>6</x:v>
      </x:c>
      <x:c r="F33" s="62" t="n">
        <x:v>6</x:v>
      </x:c>
      <x:c r="G33" s="62" t="str">
        <x:v>DOC1031</x:v>
      </x:c>
      <x:c r="H33" s="62" t="n">
        <x:v>10</x:v>
      </x:c>
      <x:c r="I33" s="74" t="n">
        <x:v>45458</x:v>
      </x:c>
      <x:c r="J33" s="74" t="n">
        <x:v>45458</x:v>
      </x:c>
      <x:c r="K33" s="74" t="n">
        <x:v>45458</x:v>
      </x:c>
      <x:c r="L33" s="74" t="n">
        <x:v>45458</x:v>
      </x:c>
      <x:c r="M33" s="77" t="n">
        <x:v>-23</x:v>
      </x:c>
      <x:c r="N33" s="77"/>
      <x:c r="O33" s="78"/>
      <x:c r="P33" s="79" t="n">
        <x:f>M33</x:f>
        <x:v>-23</x:v>
      </x:c>
      <x:c r="Q33" s="79" t="n">
        <x:f>IF(D33="营业收入",-P33,P33)</x:f>
        <x:v>23</x:v>
      </x:c>
      <x:c r="R33" s="62" t="str">
        <x:v>CNY</x:v>
      </x:c>
      <x:c r="S33" s="62" t="str">
        <x:v>万元</x:v>
      </x:c>
      <x:c r="T33" s="62" t="str">
        <x:v>收益；源负号</x:v>
      </x:c>
      <x:c r="U33" s="62" t="str">
        <x:v>技术部</x:v>
      </x:c>
      <x:c r="V33" s="62" t="str">
        <x:v>热能动力研究收入确认</x:v>
      </x:c>
      <x:c r="W33" s="62" t="str">
        <x:v>热能动力研究收入确认</x:v>
      </x:c>
      <x:c r="X33" s="62" t="str">
        <x:v>17</x:v>
      </x:c>
      <x:c r="Y33" s="62" t="str">
        <x:v>17</x:v>
      </x:c>
      <x:c r="Z33" s="62" t="str">
        <x:v>17</x:v>
      </x:c>
      <x:c r="AA33" s="62" t="str">
        <x:v>热能动力研究</x:v>
      </x:c>
      <x:c r="AB33" s="62" t="str">
        <x:v>PRJ-JS-热能-2025-002</x:v>
      </x:c>
      <x:c r="AC33" s="74" t="n">
        <x:v>45657</x:v>
      </x:c>
      <x:c r="AD33" s="71" t="str">
        <x:v>源记录保留</x:v>
      </x:c>
      <x:c r="AE33" s="71" t="str">
        <x:v>2024年实际执行.xlsx</x:v>
      </x:c>
      <x:c r="AF33" s="71" t="str">
        <x:v>Sheet</x:v>
      </x:c>
      <x:c r="AG33" s="71" t="n">
        <x:v>33</x:v>
      </x:c>
      <x:c r="AH33" s="71" t="str">
        <x:v>2024年实际执行.xlsx/Sheet!33:33</x:v>
      </x:c>
      <x:c r="AI33" s="62" t="str">
        <x:f>IF(F33=MONTH(L33),"OK","FAIL")</x:f>
        <x:v>OK</x:v>
      </x:c>
      <x:c r="AJ33" s="62" t="str">
        <x:f>IF(J33&lt;=L33,"OK","FAIL")</x:f>
        <x:v>OK</x:v>
      </x:c>
      <x:c r="AK33" s="62" t="str">
        <x:f>IF(D33&lt;&gt;"营业收入","OK",IF(AND(P33&lt;0,Q33&gt;0),"OK","FAIL"))</x:f>
        <x:v>OK</x:v>
      </x:c>
      <x:c r="AL33" s="62" t="str">
        <x:f>IF(COUNTIF($A$2:$A$204,A33)=1,"OK","FAIL")</x:f>
        <x:v>OK</x:v>
      </x:c>
    </x:row>
    <x:row r="34">
      <x:c r="A34" s="62" t="str">
        <x:v>DEMO01|2024|DOC1032|10</x:v>
      </x:c>
      <x:c r="B34" s="62" t="str">
        <x:v>SOURCE</x:v>
      </x:c>
      <x:c r="C34" s="62" t="str">
        <x:v>会议费</x:v>
      </x:c>
      <x:c r="D34" s="62" t="str">
        <x:v>会议费</x:v>
      </x:c>
      <x:c r="E34" s="62" t="n">
        <x:v>9</x:v>
      </x:c>
      <x:c r="F34" s="62" t="n">
        <x:v>9</x:v>
      </x:c>
      <x:c r="G34" s="62" t="str">
        <x:v>DOC1032</x:v>
      </x:c>
      <x:c r="H34" s="62" t="n">
        <x:v>10</x:v>
      </x:c>
      <x:c r="I34" s="74" t="n">
        <x:v>45550</x:v>
      </x:c>
      <x:c r="J34" s="74" t="n">
        <x:v>45550</x:v>
      </x:c>
      <x:c r="K34" s="74" t="n">
        <x:v>45550</x:v>
      </x:c>
      <x:c r="L34" s="74" t="n">
        <x:v>45550</x:v>
      </x:c>
      <x:c r="M34" s="77" t="n">
        <x:v>0.355133333333333</x:v>
      </x:c>
      <x:c r="N34" s="77"/>
      <x:c r="O34" s="78"/>
      <x:c r="P34" s="79" t="n">
        <x:f>M34</x:f>
        <x:v>0.355133333333333</x:v>
      </x:c>
      <x:c r="Q34" s="79" t="n">
        <x:f>IF(D34="营业收入",-P34,P34)</x:f>
        <x:v>0.355133333333333</x:v>
      </x:c>
      <x:c r="R34" s="62" t="str">
        <x:v>CNY</x:v>
      </x:c>
      <x:c r="S34" s="62" t="str">
        <x:v>万元</x:v>
      </x:c>
      <x:c r="T34" s="62" t="str">
        <x:v>费用不含税</x:v>
      </x:c>
      <x:c r="U34" s="62" t="str">
        <x:v>技术部</x:v>
      </x:c>
      <x:c r="V34" s="62" t="str">
        <x:v>热能动力研究项目阶段评审会</x:v>
      </x:c>
      <x:c r="W34" s="62" t="str">
        <x:v>热能动力研究项目阶段评审会</x:v>
      </x:c>
      <x:c r="X34" s="62" t="str">
        <x:v>中核运维</x:v>
      </x:c>
      <x:c r="Y34" s="62" t="str">
        <x:v>中核运维</x:v>
      </x:c>
      <x:c r="Z34" s="62" t="str">
        <x:v>17</x:v>
      </x:c>
      <x:c r="AA34" s="62" t="str">
        <x:v>热能动力研究</x:v>
      </x:c>
      <x:c r="AB34" s="62" t="str">
        <x:v>PRJ-JS-热能-2025-002</x:v>
      </x:c>
      <x:c r="AC34" s="74" t="n">
        <x:v>45657</x:v>
      </x:c>
      <x:c r="AD34" s="71" t="str">
        <x:v>源记录保留</x:v>
      </x:c>
      <x:c r="AE34" s="71" t="str">
        <x:v>2024年实际执行.xlsx</x:v>
      </x:c>
      <x:c r="AF34" s="71" t="str">
        <x:v>Sheet</x:v>
      </x:c>
      <x:c r="AG34" s="71" t="n">
        <x:v>34</x:v>
      </x:c>
      <x:c r="AH34" s="71" t="str">
        <x:v>2024年实际执行.xlsx/Sheet!34:34</x:v>
      </x:c>
      <x:c r="AI34" s="62" t="str">
        <x:f>IF(F34=MONTH(L34),"OK","FAIL")</x:f>
        <x:v>OK</x:v>
      </x:c>
      <x:c r="AJ34" s="62" t="str">
        <x:f>IF(J34&lt;=L34,"OK","FAIL")</x:f>
        <x:v>OK</x:v>
      </x:c>
      <x:c r="AK34" s="62" t="str">
        <x:f>IF(D34&lt;&gt;"营业收入","OK",IF(AND(P34&lt;0,Q34&gt;0),"OK","FAIL"))</x:f>
        <x:v>OK</x:v>
      </x:c>
      <x:c r="AL34" s="62" t="str">
        <x:f>IF(COUNTIF($A$2:$A$204,A34)=1,"OK","FAIL")</x:f>
        <x:v>OK</x:v>
      </x:c>
    </x:row>
    <x:row r="35">
      <x:c r="A35" s="62" t="str">
        <x:v>DEMO01|2024|DOC1033|10</x:v>
      </x:c>
      <x:c r="B35" s="62" t="str">
        <x:v>SOURCE</x:v>
      </x:c>
      <x:c r="C35" s="62" t="str">
        <x:v>业务支持费</x:v>
      </x:c>
      <x:c r="D35" s="62" t="str">
        <x:v>业务支持费-技术配置</x:v>
      </x:c>
      <x:c r="E35" s="62" t="n">
        <x:v>10</x:v>
      </x:c>
      <x:c r="F35" s="62" t="n">
        <x:v>10</x:v>
      </x:c>
      <x:c r="G35" s="62" t="str">
        <x:v>DOC1033</x:v>
      </x:c>
      <x:c r="H35" s="62" t="n">
        <x:v>10</x:v>
      </x:c>
      <x:c r="I35" s="74" t="n">
        <x:v>45580</x:v>
      </x:c>
      <x:c r="J35" s="74" t="n">
        <x:v>45580</x:v>
      </x:c>
      <x:c r="K35" s="74" t="n">
        <x:v>45580</x:v>
      </x:c>
      <x:c r="L35" s="74" t="n">
        <x:v>45580</x:v>
      </x:c>
      <x:c r="M35" s="77" t="n">
        <x:v>14.2053333333333</x:v>
      </x:c>
      <x:c r="N35" s="77"/>
      <x:c r="O35" s="78"/>
      <x:c r="P35" s="79" t="n">
        <x:f>M35</x:f>
        <x:v>14.2053333333333</x:v>
      </x:c>
      <x:c r="Q35" s="79" t="n">
        <x:f>IF(D35="营业收入",-P35,P35)</x:f>
        <x:v>14.2053333333333</x:v>
      </x:c>
      <x:c r="R35" s="62" t="str">
        <x:v>CNY</x:v>
      </x:c>
      <x:c r="S35" s="62" t="str">
        <x:v>万元</x:v>
      </x:c>
      <x:c r="T35" s="62" t="str">
        <x:v>费用不含税</x:v>
      </x:c>
      <x:c r="U35" s="62" t="str">
        <x:v>技术部</x:v>
      </x:c>
      <x:c r="V35" s="62" t="str">
        <x:v>热能动力研究技术配置_前期阶段</x:v>
      </x:c>
      <x:c r="W35" s="62" t="str">
        <x:v>热能动力研究技术配置_前期阶段</x:v>
      </x:c>
      <x:c r="X35" s="62" t="str">
        <x:v>中核运维</x:v>
      </x:c>
      <x:c r="Y35" s="62" t="str">
        <x:v>中核运维</x:v>
      </x:c>
      <x:c r="Z35" s="62" t="str">
        <x:v>17</x:v>
      </x:c>
      <x:c r="AA35" s="62" t="str">
        <x:v>热能动力研究</x:v>
      </x:c>
      <x:c r="AB35" s="62" t="str">
        <x:v>PRJ-JS-热能-2025-002</x:v>
      </x:c>
      <x:c r="AC35" s="74" t="n">
        <x:v>45657</x:v>
      </x:c>
      <x:c r="AD35" s="71" t="str">
        <x:v>源记录保留</x:v>
      </x:c>
      <x:c r="AE35" s="71" t="str">
        <x:v>2024年实际执行.xlsx</x:v>
      </x:c>
      <x:c r="AF35" s="71" t="str">
        <x:v>Sheet</x:v>
      </x:c>
      <x:c r="AG35" s="71" t="n">
        <x:v>35</x:v>
      </x:c>
      <x:c r="AH35" s="71" t="str">
        <x:v>2024年实际执行.xlsx/Sheet!35:35</x:v>
      </x:c>
      <x:c r="AI35" s="62" t="str">
        <x:f>IF(F35=MONTH(L35),"OK","FAIL")</x:f>
        <x:v>OK</x:v>
      </x:c>
      <x:c r="AJ35" s="62" t="str">
        <x:f>IF(J35&lt;=L35,"OK","FAIL")</x:f>
        <x:v>OK</x:v>
      </x:c>
      <x:c r="AK35" s="62" t="str">
        <x:f>IF(D35&lt;&gt;"营业收入","OK",IF(AND(P35&lt;0,Q35&gt;0),"OK","FAIL"))</x:f>
        <x:v>OK</x:v>
      </x:c>
      <x:c r="AL35" s="62" t="str">
        <x:f>IF(COUNTIF($A$2:$A$204,A35)=1,"OK","FAIL")</x:f>
        <x:v>OK</x:v>
      </x:c>
    </x:row>
    <x:row r="36">
      <x:c r="A36" s="62" t="str">
        <x:v>DEMO01|2024|DOC1034|10</x:v>
      </x:c>
      <x:c r="B36" s="62" t="str">
        <x:v>SOURCE</x:v>
      </x:c>
      <x:c r="C36" s="62" t="str">
        <x:v>生产物料费</x:v>
      </x:c>
      <x:c r="D36" s="62" t="str">
        <x:v>生产物料费</x:v>
      </x:c>
      <x:c r="E36" s="62" t="n">
        <x:v>1</x:v>
      </x:c>
      <x:c r="F36" s="62" t="n">
        <x:v>1</x:v>
      </x:c>
      <x:c r="G36" s="62" t="str">
        <x:v>DOC1034</x:v>
      </x:c>
      <x:c r="H36" s="62" t="n">
        <x:v>10</x:v>
      </x:c>
      <x:c r="I36" s="74" t="n">
        <x:v>45306</x:v>
      </x:c>
      <x:c r="J36" s="74" t="n">
        <x:v>45306</x:v>
      </x:c>
      <x:c r="K36" s="74" t="n">
        <x:v>45306</x:v>
      </x:c>
      <x:c r="L36" s="74" t="n">
        <x:v>45306</x:v>
      </x:c>
      <x:c r="M36" s="77" t="n">
        <x:v>5.327</x:v>
      </x:c>
      <x:c r="N36" s="77"/>
      <x:c r="O36" s="78"/>
      <x:c r="P36" s="79" t="n">
        <x:f>M36</x:f>
        <x:v>5.327</x:v>
      </x:c>
      <x:c r="Q36" s="79" t="n">
        <x:f>IF(D36="营业收入",-P36,P36)</x:f>
        <x:v>5.327</x:v>
      </x:c>
      <x:c r="R36" s="62" t="str">
        <x:v>CNY</x:v>
      </x:c>
      <x:c r="S36" s="62" t="str">
        <x:v>万元</x:v>
      </x:c>
      <x:c r="T36" s="62" t="str">
        <x:v>费用不含税</x:v>
      </x:c>
      <x:c r="U36" s="62" t="str">
        <x:v>技术部</x:v>
      </x:c>
      <x:c r="V36" s="62" t="str">
        <x:v>热能动力研究现场物料采购</x:v>
      </x:c>
      <x:c r="W36" s="62" t="str">
        <x:v>热能动力研究现场物料采购</x:v>
      </x:c>
      <x:c r="X36" s="62" t="str">
        <x:v>中核运维</x:v>
      </x:c>
      <x:c r="Y36" s="62" t="str">
        <x:v>中核运维</x:v>
      </x:c>
      <x:c r="Z36" s="62" t="str">
        <x:v>17</x:v>
      </x:c>
      <x:c r="AA36" s="62" t="str">
        <x:v>热能动力研究</x:v>
      </x:c>
      <x:c r="AB36" s="62" t="str">
        <x:v>PRJ-JS-热能-2025-002</x:v>
      </x:c>
      <x:c r="AC36" s="74" t="n">
        <x:v>45657</x:v>
      </x:c>
      <x:c r="AD36" s="71" t="str">
        <x:v>源记录保留</x:v>
      </x:c>
      <x:c r="AE36" s="71" t="str">
        <x:v>2024年实际执行.xlsx</x:v>
      </x:c>
      <x:c r="AF36" s="71" t="str">
        <x:v>Sheet</x:v>
      </x:c>
      <x:c r="AG36" s="71" t="n">
        <x:v>36</x:v>
      </x:c>
      <x:c r="AH36" s="71" t="str">
        <x:v>2024年实际执行.xlsx/Sheet!36:36</x:v>
      </x:c>
      <x:c r="AI36" s="62" t="str">
        <x:f>IF(F36=MONTH(L36),"OK","FAIL")</x:f>
        <x:v>OK</x:v>
      </x:c>
      <x:c r="AJ36" s="62" t="str">
        <x:f>IF(J36&lt;=L36,"OK","FAIL")</x:f>
        <x:v>OK</x:v>
      </x:c>
      <x:c r="AK36" s="62" t="str">
        <x:f>IF(D36&lt;&gt;"营业收入","OK",IF(AND(P36&lt;0,Q36&gt;0),"OK","FAIL"))</x:f>
        <x:v>OK</x:v>
      </x:c>
      <x:c r="AL36" s="62" t="str">
        <x:f>IF(COUNTIF($A$2:$A$204,A36)=1,"OK","FAIL")</x:f>
        <x:v>OK</x:v>
      </x:c>
    </x:row>
    <x:row r="37">
      <x:c r="A37" s="62" t="str">
        <x:v>DEMO01|2024|DOC1035|10</x:v>
      </x:c>
      <x:c r="B37" s="62" t="str">
        <x:v>SOURCE</x:v>
      </x:c>
      <x:c r="C37" s="62" t="str">
        <x:v>办公费</x:v>
      </x:c>
      <x:c r="D37" s="62" t="str">
        <x:v>办公费</x:v>
      </x:c>
      <x:c r="E37" s="62" t="n">
        <x:v>9</x:v>
      </x:c>
      <x:c r="F37" s="62" t="n">
        <x:v>9</x:v>
      </x:c>
      <x:c r="G37" s="62" t="str">
        <x:v>DOC1035</x:v>
      </x:c>
      <x:c r="H37" s="62" t="n">
        <x:v>10</x:v>
      </x:c>
      <x:c r="I37" s="74" t="n">
        <x:v>45550</x:v>
      </x:c>
      <x:c r="J37" s="74" t="n">
        <x:v>45550</x:v>
      </x:c>
      <x:c r="K37" s="74" t="n">
        <x:v>45550</x:v>
      </x:c>
      <x:c r="L37" s="74" t="n">
        <x:v>45550</x:v>
      </x:c>
      <x:c r="M37" s="77" t="n">
        <x:v>1.0654</x:v>
      </x:c>
      <x:c r="N37" s="77"/>
      <x:c r="O37" s="78"/>
      <x:c r="P37" s="79" t="n">
        <x:f>M37</x:f>
        <x:v>1.0654</x:v>
      </x:c>
      <x:c r="Q37" s="79" t="n">
        <x:f>IF(D37="营业收入",-P37,P37)</x:f>
        <x:v>1.0654</x:v>
      </x:c>
      <x:c r="R37" s="62" t="str">
        <x:v>CNY</x:v>
      </x:c>
      <x:c r="S37" s="62" t="str">
        <x:v>万元</x:v>
      </x:c>
      <x:c r="T37" s="62" t="str">
        <x:v>费用不含税</x:v>
      </x:c>
      <x:c r="U37" s="62" t="str">
        <x:v>技术部</x:v>
      </x:c>
      <x:c r="V37" s="62" t="str">
        <x:v>热能动力研究日常办公</x:v>
      </x:c>
      <x:c r="W37" s="62" t="str">
        <x:v>热能动力研究日常办公</x:v>
      </x:c>
      <x:c r="X37" s="62" t="str">
        <x:v>中核运维</x:v>
      </x:c>
      <x:c r="Y37" s="62" t="str">
        <x:v>中核运维</x:v>
      </x:c>
      <x:c r="Z37" s="62" t="str">
        <x:v>17</x:v>
      </x:c>
      <x:c r="AA37" s="62" t="str">
        <x:v>热能动力研究</x:v>
      </x:c>
      <x:c r="AB37" s="62" t="str">
        <x:v>PRJ-JS-热能-2025-002</x:v>
      </x:c>
      <x:c r="AC37" s="74" t="n">
        <x:v>45657</x:v>
      </x:c>
      <x:c r="AD37" s="71" t="str">
        <x:v>源记录保留</x:v>
      </x:c>
      <x:c r="AE37" s="71" t="str">
        <x:v>2024年实际执行.xlsx</x:v>
      </x:c>
      <x:c r="AF37" s="71" t="str">
        <x:v>Sheet</x:v>
      </x:c>
      <x:c r="AG37" s="71" t="n">
        <x:v>37</x:v>
      </x:c>
      <x:c r="AH37" s="71" t="str">
        <x:v>2024年实际执行.xlsx/Sheet!37:37</x:v>
      </x:c>
      <x:c r="AI37" s="62" t="str">
        <x:f>IF(F37=MONTH(L37),"OK","FAIL")</x:f>
        <x:v>OK</x:v>
      </x:c>
      <x:c r="AJ37" s="62" t="str">
        <x:f>IF(J37&lt;=L37,"OK","FAIL")</x:f>
        <x:v>OK</x:v>
      </x:c>
      <x:c r="AK37" s="62" t="str">
        <x:f>IF(D37&lt;&gt;"营业收入","OK",IF(AND(P37&lt;0,Q37&gt;0),"OK","FAIL"))</x:f>
        <x:v>OK</x:v>
      </x:c>
      <x:c r="AL37" s="62" t="str">
        <x:f>IF(COUNTIF($A$2:$A$204,A37)=1,"OK","FAIL")</x:f>
        <x:v>OK</x:v>
      </x:c>
    </x:row>
    <x:row r="38">
      <x:c r="A38" s="62" t="str">
        <x:v>DEMO01|2024|DOC1036|10</x:v>
      </x:c>
      <x:c r="B38" s="62" t="str">
        <x:v>SOURCE</x:v>
      </x:c>
      <x:c r="C38" s="62" t="str">
        <x:v>人工成本</x:v>
      </x:c>
      <x:c r="D38" s="62" t="str">
        <x:v>人工成本</x:v>
      </x:c>
      <x:c r="E38" s="62" t="n">
        <x:v>6</x:v>
      </x:c>
      <x:c r="F38" s="62" t="n">
        <x:v>6</x:v>
      </x:c>
      <x:c r="G38" s="62" t="str">
        <x:v>DOC1036</x:v>
      </x:c>
      <x:c r="H38" s="62" t="n">
        <x:v>10</x:v>
      </x:c>
      <x:c r="I38" s="74" t="n">
        <x:v>45473</x:v>
      </x:c>
      <x:c r="J38" s="74" t="n">
        <x:v>45473</x:v>
      </x:c>
      <x:c r="K38" s="74" t="n">
        <x:v>45473</x:v>
      </x:c>
      <x:c r="L38" s="74" t="n">
        <x:v>45473</x:v>
      </x:c>
      <x:c r="M38" s="77" t="n">
        <x:v>9</x:v>
      </x:c>
      <x:c r="N38" s="77"/>
      <x:c r="O38" s="78"/>
      <x:c r="P38" s="79" t="n">
        <x:f>M38</x:f>
        <x:v>9</x:v>
      </x:c>
      <x:c r="Q38" s="79" t="n">
        <x:f>IF(D38="营业收入",-P38,P38)</x:f>
        <x:v>9</x:v>
      </x:c>
      <x:c r="R38" s="62" t="str">
        <x:v>CNY</x:v>
      </x:c>
      <x:c r="S38" s="62" t="str">
        <x:v>万元</x:v>
      </x:c>
      <x:c r="T38" s="62" t="str">
        <x:v>费用不含税</x:v>
      </x:c>
      <x:c r="U38" s="62" t="str">
        <x:v>技术部</x:v>
      </x:c>
      <x:c r="V38" s="62" t="str">
        <x:v>热能动力研究人工成本分摊</x:v>
      </x:c>
      <x:c r="W38" s="62" t="str">
        <x:v>热能动力研究人工成本分摊</x:v>
      </x:c>
      <x:c r="X38" s="62" t="str">
        <x:v>17</x:v>
      </x:c>
      <x:c r="Y38" s="62" t="str">
        <x:v>17</x:v>
      </x:c>
      <x:c r="Z38" s="62" t="str">
        <x:v>17</x:v>
      </x:c>
      <x:c r="AA38" s="62" t="str">
        <x:v>热能动力研究</x:v>
      </x:c>
      <x:c r="AB38" s="62" t="str">
        <x:v>PRJ-JS-热能-2025-002</x:v>
      </x:c>
      <x:c r="AC38" s="74" t="n">
        <x:v>45657</x:v>
      </x:c>
      <x:c r="AD38" s="71" t="str">
        <x:v>源记录保留</x:v>
      </x:c>
      <x:c r="AE38" s="71" t="str">
        <x:v>2024年实际执行.xlsx</x:v>
      </x:c>
      <x:c r="AF38" s="71" t="str">
        <x:v>Sheet</x:v>
      </x:c>
      <x:c r="AG38" s="71" t="n">
        <x:v>38</x:v>
      </x:c>
      <x:c r="AH38" s="71" t="str">
        <x:v>2024年实际执行.xlsx/Sheet!38:38</x:v>
      </x:c>
      <x:c r="AI38" s="62" t="str">
        <x:f>IF(F38=MONTH(L38),"OK","FAIL")</x:f>
        <x:v>OK</x:v>
      </x:c>
      <x:c r="AJ38" s="62" t="str">
        <x:f>IF(J38&lt;=L38,"OK","FAIL")</x:f>
        <x:v>OK</x:v>
      </x:c>
      <x:c r="AK38" s="62" t="str">
        <x:f>IF(D38&lt;&gt;"营业收入","OK",IF(AND(P38&lt;0,Q38&gt;0),"OK","FAIL"))</x:f>
        <x:v>OK</x:v>
      </x:c>
      <x:c r="AL38" s="62" t="str">
        <x:f>IF(COUNTIF($A$2:$A$204,A38)=1,"OK","FAIL")</x:f>
        <x:v>OK</x:v>
      </x:c>
    </x:row>
    <x:row r="39">
      <x:c r="A39" s="62" t="str">
        <x:v>DEMO01|2024|DOC1037|10</x:v>
      </x:c>
      <x:c r="B39" s="62" t="str">
        <x:v>SOURCE</x:v>
      </x:c>
      <x:c r="C39" s="62" t="str">
        <x:v>折旧摊销</x:v>
      </x:c>
      <x:c r="D39" s="62" t="str">
        <x:v>折旧摊销</x:v>
      </x:c>
      <x:c r="E39" s="62" t="n">
        <x:v>12</x:v>
      </x:c>
      <x:c r="F39" s="62" t="n">
        <x:v>12</x:v>
      </x:c>
      <x:c r="G39" s="62" t="str">
        <x:v>DOC1037</x:v>
      </x:c>
      <x:c r="H39" s="62" t="n">
        <x:v>10</x:v>
      </x:c>
      <x:c r="I39" s="74" t="n">
        <x:v>45657</x:v>
      </x:c>
      <x:c r="J39" s="74" t="n">
        <x:v>45657</x:v>
      </x:c>
      <x:c r="K39" s="74" t="n">
        <x:v>45657</x:v>
      </x:c>
      <x:c r="L39" s="74" t="n">
        <x:v>45657</x:v>
      </x:c>
      <x:c r="M39" s="77" t="n">
        <x:v>2</x:v>
      </x:c>
      <x:c r="N39" s="77"/>
      <x:c r="O39" s="78"/>
      <x:c r="P39" s="79" t="n">
        <x:f>M39</x:f>
        <x:v>2</x:v>
      </x:c>
      <x:c r="Q39" s="79" t="n">
        <x:f>IF(D39="营业收入",-P39,P39)</x:f>
        <x:v>2</x:v>
      </x:c>
      <x:c r="R39" s="62" t="str">
        <x:v>CNY</x:v>
      </x:c>
      <x:c r="S39" s="62" t="str">
        <x:v>万元</x:v>
      </x:c>
      <x:c r="T39" s="62" t="str">
        <x:v>费用不含税</x:v>
      </x:c>
      <x:c r="U39" s="62" t="str">
        <x:v>技术部</x:v>
      </x:c>
      <x:c r="V39" s="62" t="str">
        <x:v>热能动力研究折旧摊销分摊</x:v>
      </x:c>
      <x:c r="W39" s="62" t="str">
        <x:v>热能动力研究折旧摊销分摊</x:v>
      </x:c>
      <x:c r="X39" s="62" t="str">
        <x:v>17</x:v>
      </x:c>
      <x:c r="Y39" s="62" t="str">
        <x:v>17</x:v>
      </x:c>
      <x:c r="Z39" s="62" t="str">
        <x:v>17</x:v>
      </x:c>
      <x:c r="AA39" s="62" t="str">
        <x:v>热能动力研究</x:v>
      </x:c>
      <x:c r="AB39" s="62" t="str">
        <x:v>PRJ-JS-热能-2025-002</x:v>
      </x:c>
      <x:c r="AC39" s="74" t="n">
        <x:v>45657</x:v>
      </x:c>
      <x:c r="AD39" s="71" t="str">
        <x:v>源记录保留</x:v>
      </x:c>
      <x:c r="AE39" s="71" t="str">
        <x:v>2024年实际执行.xlsx</x:v>
      </x:c>
      <x:c r="AF39" s="71" t="str">
        <x:v>Sheet</x:v>
      </x:c>
      <x:c r="AG39" s="71" t="n">
        <x:v>39</x:v>
      </x:c>
      <x:c r="AH39" s="71" t="str">
        <x:v>2024年实际执行.xlsx/Sheet!39:39</x:v>
      </x:c>
      <x:c r="AI39" s="62" t="str">
        <x:f>IF(F39=MONTH(L39),"OK","FAIL")</x:f>
        <x:v>OK</x:v>
      </x:c>
      <x:c r="AJ39" s="62" t="str">
        <x:f>IF(J39&lt;=L39,"OK","FAIL")</x:f>
        <x:v>OK</x:v>
      </x:c>
      <x:c r="AK39" s="62" t="str">
        <x:f>IF(D39&lt;&gt;"营业收入","OK",IF(AND(P39&lt;0,Q39&gt;0),"OK","FAIL"))</x:f>
        <x:v>OK</x:v>
      </x:c>
      <x:c r="AL39" s="62" t="str">
        <x:f>IF(COUNTIF($A$2:$A$204,A39)=1,"OK","FAIL")</x:f>
        <x:v>OK</x:v>
      </x:c>
    </x:row>
    <x:row r="40">
      <x:c r="A40" s="62" t="str">
        <x:v>DEMO01|2024|DOC1038|10</x:v>
      </x:c>
      <x:c r="B40" s="62" t="str">
        <x:v>SOURCE</x:v>
      </x:c>
      <x:c r="C40" s="62" t="str">
        <x:v>业务支持费</x:v>
      </x:c>
      <x:c r="D40" s="62" t="str">
        <x:v>业务支持费-其他</x:v>
      </x:c>
      <x:c r="E40" s="62" t="n">
        <x:v>12</x:v>
      </x:c>
      <x:c r="F40" s="62" t="n">
        <x:v>12</x:v>
      </x:c>
      <x:c r="G40" s="62" t="str">
        <x:v>DOC1038</x:v>
      </x:c>
      <x:c r="H40" s="62" t="n">
        <x:v>10</x:v>
      </x:c>
      <x:c r="I40" s="74" t="n">
        <x:v>45657</x:v>
      </x:c>
      <x:c r="J40" s="74" t="n">
        <x:v>45657</x:v>
      </x:c>
      <x:c r="K40" s="74" t="n">
        <x:v>45657</x:v>
      </x:c>
      <x:c r="L40" s="74" t="n">
        <x:v>45657</x:v>
      </x:c>
      <x:c r="M40" s="77" t="n">
        <x:v>5.327</x:v>
      </x:c>
      <x:c r="N40" s="77"/>
      <x:c r="O40" s="78"/>
      <x:c r="P40" s="79" t="n">
        <x:f>M40</x:f>
        <x:v>5.327</x:v>
      </x:c>
      <x:c r="Q40" s="79" t="n">
        <x:f>IF(D40="营业收入",-P40,P40)</x:f>
        <x:v>5.327</x:v>
      </x:c>
      <x:c r="R40" s="62" t="str">
        <x:v>CNY</x:v>
      </x:c>
      <x:c r="S40" s="62" t="str">
        <x:v>万元</x:v>
      </x:c>
      <x:c r="T40" s="62" t="str">
        <x:v>费用不含税</x:v>
      </x:c>
      <x:c r="U40" s="62" t="str">
        <x:v>技术部</x:v>
      </x:c>
      <x:c r="V40" s="62" t="str">
        <x:v>计提热能动力研究_2024年末预提</x:v>
      </x:c>
      <x:c r="W40" s="62" t="str">
        <x:v>计提热能动力研究_2024年末预提</x:v>
      </x:c>
      <x:c r="X40" s="62" t="str">
        <x:v>中核运维</x:v>
      </x:c>
      <x:c r="Y40" s="62" t="str">
        <x:v>中核运维</x:v>
      </x:c>
      <x:c r="Z40" s="62" t="str">
        <x:v>17</x:v>
      </x:c>
      <x:c r="AA40" s="62" t="str">
        <x:v>热能动力研究</x:v>
      </x:c>
      <x:c r="AB40" s="62" t="str">
        <x:v>PRJ-JS-热能-2025-002</x:v>
      </x:c>
      <x:c r="AC40" s="74" t="n">
        <x:v>45657</x:v>
      </x:c>
      <x:c r="AD40" s="71" t="str">
        <x:v>源记录保留</x:v>
      </x:c>
      <x:c r="AE40" s="71" t="str">
        <x:v>2024年实际执行.xlsx</x:v>
      </x:c>
      <x:c r="AF40" s="71" t="str">
        <x:v>Sheet</x:v>
      </x:c>
      <x:c r="AG40" s="71" t="n">
        <x:v>40</x:v>
      </x:c>
      <x:c r="AH40" s="71" t="str">
        <x:v>2024年实际执行.xlsx/Sheet!40:40</x:v>
      </x:c>
      <x:c r="AI40" s="62" t="str">
        <x:f>IF(F40=MONTH(L40),"OK","FAIL")</x:f>
        <x:v>OK</x:v>
      </x:c>
      <x:c r="AJ40" s="62" t="str">
        <x:f>IF(J40&lt;=L40,"OK","FAIL")</x:f>
        <x:v>OK</x:v>
      </x:c>
      <x:c r="AK40" s="62" t="str">
        <x:f>IF(D40&lt;&gt;"营业收入","OK",IF(AND(P40&lt;0,Q40&gt;0),"OK","FAIL"))</x:f>
        <x:v>OK</x:v>
      </x:c>
      <x:c r="AL40" s="62" t="str">
        <x:f>IF(COUNTIF($A$2:$A$204,A40)=1,"OK","FAIL")</x:f>
        <x:v>OK</x:v>
      </x:c>
    </x:row>
    <x:row r="41">
      <x:c r="A41" s="62" t="str">
        <x:v>DEMO01|2024|DOC1039|10</x:v>
      </x:c>
      <x:c r="B41" s="62" t="str">
        <x:v>SOURCE</x:v>
      </x:c>
      <x:c r="C41" s="62" t="str">
        <x:v>营业收入</x:v>
      </x:c>
      <x:c r="D41" s="62" t="str">
        <x:v>营业收入</x:v>
      </x:c>
      <x:c r="E41" s="62" t="n">
        <x:v>6</x:v>
      </x:c>
      <x:c r="F41" s="62" t="n">
        <x:v>6</x:v>
      </x:c>
      <x:c r="G41" s="62" t="str">
        <x:v>DOC1039</x:v>
      </x:c>
      <x:c r="H41" s="62" t="n">
        <x:v>10</x:v>
      </x:c>
      <x:c r="I41" s="74" t="n">
        <x:v>45458</x:v>
      </x:c>
      <x:c r="J41" s="74" t="n">
        <x:v>45458</x:v>
      </x:c>
      <x:c r="K41" s="74" t="n">
        <x:v>45458</x:v>
      </x:c>
      <x:c r="L41" s="74" t="n">
        <x:v>45458</x:v>
      </x:c>
      <x:c r="M41" s="77" t="n">
        <x:v>-24</x:v>
      </x:c>
      <x:c r="N41" s="77"/>
      <x:c r="O41" s="78"/>
      <x:c r="P41" s="79" t="n">
        <x:f>M41</x:f>
        <x:v>-24</x:v>
      </x:c>
      <x:c r="Q41" s="79" t="n">
        <x:f>IF(D41="营业收入",-P41,P41)</x:f>
        <x:v>24</x:v>
      </x:c>
      <x:c r="R41" s="62" t="str">
        <x:v>CNY</x:v>
      </x:c>
      <x:c r="S41" s="62" t="str">
        <x:v>万元</x:v>
      </x:c>
      <x:c r="T41" s="62" t="str">
        <x:v>收益；源负号</x:v>
      </x:c>
      <x:c r="U41" s="62" t="str">
        <x:v>技术部</x:v>
      </x:c>
      <x:c r="V41" s="62" t="str">
        <x:v>热能动力研究收入确认</x:v>
      </x:c>
      <x:c r="W41" s="62" t="str">
        <x:v>热能动力研究收入确认</x:v>
      </x:c>
      <x:c r="X41" s="62" t="str">
        <x:v>17</x:v>
      </x:c>
      <x:c r="Y41" s="62" t="str">
        <x:v>17</x:v>
      </x:c>
      <x:c r="Z41" s="62" t="str">
        <x:v>17</x:v>
      </x:c>
      <x:c r="AA41" s="62" t="str">
        <x:v>热能动力研究</x:v>
      </x:c>
      <x:c r="AB41" s="62" t="str">
        <x:v>PRJ-JS-热能-2025-003</x:v>
      </x:c>
      <x:c r="AC41" s="74" t="n">
        <x:v>45657</x:v>
      </x:c>
      <x:c r="AD41" s="71" t="str">
        <x:v>源记录保留</x:v>
      </x:c>
      <x:c r="AE41" s="71" t="str">
        <x:v>2024年实际执行.xlsx</x:v>
      </x:c>
      <x:c r="AF41" s="71" t="str">
        <x:v>Sheet</x:v>
      </x:c>
      <x:c r="AG41" s="71" t="n">
        <x:v>41</x:v>
      </x:c>
      <x:c r="AH41" s="71" t="str">
        <x:v>2024年实际执行.xlsx/Sheet!41:41</x:v>
      </x:c>
      <x:c r="AI41" s="62" t="str">
        <x:f>IF(F41=MONTH(L41),"OK","FAIL")</x:f>
        <x:v>OK</x:v>
      </x:c>
      <x:c r="AJ41" s="62" t="str">
        <x:f>IF(J41&lt;=L41,"OK","FAIL")</x:f>
        <x:v>OK</x:v>
      </x:c>
      <x:c r="AK41" s="62" t="str">
        <x:f>IF(D41&lt;&gt;"营业收入","OK",IF(AND(P41&lt;0,Q41&gt;0),"OK","FAIL"))</x:f>
        <x:v>OK</x:v>
      </x:c>
      <x:c r="AL41" s="62" t="str">
        <x:f>IF(COUNTIF($A$2:$A$204,A41)=1,"OK","FAIL")</x:f>
        <x:v>OK</x:v>
      </x:c>
    </x:row>
    <x:row r="42">
      <x:c r="A42" s="62" t="str">
        <x:v>DEMO01|2024|DOC1040|10</x:v>
      </x:c>
      <x:c r="B42" s="62" t="str">
        <x:v>SOURCE</x:v>
      </x:c>
      <x:c r="C42" s="62" t="str">
        <x:v>会议费</x:v>
      </x:c>
      <x:c r="D42" s="62" t="str">
        <x:v>会议费</x:v>
      </x:c>
      <x:c r="E42" s="62" t="n">
        <x:v>12</x:v>
      </x:c>
      <x:c r="F42" s="62" t="n">
        <x:v>12</x:v>
      </x:c>
      <x:c r="G42" s="62" t="str">
        <x:v>DOC1040</x:v>
      </x:c>
      <x:c r="H42" s="62" t="n">
        <x:v>10</x:v>
      </x:c>
      <x:c r="I42" s="74" t="n">
        <x:v>45641</x:v>
      </x:c>
      <x:c r="J42" s="74" t="n">
        <x:v>45641</x:v>
      </x:c>
      <x:c r="K42" s="74" t="n">
        <x:v>45641</x:v>
      </x:c>
      <x:c r="L42" s="74" t="n">
        <x:v>45641</x:v>
      </x:c>
      <x:c r="M42" s="77" t="n">
        <x:v>0.344633333333333</x:v>
      </x:c>
      <x:c r="N42" s="77"/>
      <x:c r="O42" s="78"/>
      <x:c r="P42" s="79" t="n">
        <x:f>M42</x:f>
        <x:v>0.344633333333333</x:v>
      </x:c>
      <x:c r="Q42" s="79" t="n">
        <x:f>IF(D42="营业收入",-P42,P42)</x:f>
        <x:v>0.344633333333333</x:v>
      </x:c>
      <x:c r="R42" s="62" t="str">
        <x:v>CNY</x:v>
      </x:c>
      <x:c r="S42" s="62" t="str">
        <x:v>万元</x:v>
      </x:c>
      <x:c r="T42" s="62" t="str">
        <x:v>费用不含税</x:v>
      </x:c>
      <x:c r="U42" s="62" t="str">
        <x:v>技术部</x:v>
      </x:c>
      <x:c r="V42" s="62" t="str">
        <x:v>热能动力研究项目阶段评审会</x:v>
      </x:c>
      <x:c r="W42" s="62" t="str">
        <x:v>热能动力研究项目阶段评审会</x:v>
      </x:c>
      <x:c r="X42" s="62" t="str">
        <x:v>北京核工院</x:v>
      </x:c>
      <x:c r="Y42" s="62" t="str">
        <x:v>北京核工院</x:v>
      </x:c>
      <x:c r="Z42" s="62" t="str">
        <x:v>17</x:v>
      </x:c>
      <x:c r="AA42" s="62" t="str">
        <x:v>热能动力研究</x:v>
      </x:c>
      <x:c r="AB42" s="62" t="str">
        <x:v>PRJ-JS-热能-2025-003</x:v>
      </x:c>
      <x:c r="AC42" s="74" t="n">
        <x:v>45657</x:v>
      </x:c>
      <x:c r="AD42" s="71" t="str">
        <x:v>源记录保留</x:v>
      </x:c>
      <x:c r="AE42" s="71" t="str">
        <x:v>2024年实际执行.xlsx</x:v>
      </x:c>
      <x:c r="AF42" s="71" t="str">
        <x:v>Sheet</x:v>
      </x:c>
      <x:c r="AG42" s="71" t="n">
        <x:v>42</x:v>
      </x:c>
      <x:c r="AH42" s="71" t="str">
        <x:v>2024年实际执行.xlsx/Sheet!42:42</x:v>
      </x:c>
      <x:c r="AI42" s="62" t="str">
        <x:f>IF(F42=MONTH(L42),"OK","FAIL")</x:f>
        <x:v>OK</x:v>
      </x:c>
      <x:c r="AJ42" s="62" t="str">
        <x:f>IF(J42&lt;=L42,"OK","FAIL")</x:f>
        <x:v>OK</x:v>
      </x:c>
      <x:c r="AK42" s="62" t="str">
        <x:f>IF(D42&lt;&gt;"营业收入","OK",IF(AND(P42&lt;0,Q42&gt;0),"OK","FAIL"))</x:f>
        <x:v>OK</x:v>
      </x:c>
      <x:c r="AL42" s="62" t="str">
        <x:f>IF(COUNTIF($A$2:$A$204,A42)=1,"OK","FAIL")</x:f>
        <x:v>OK</x:v>
      </x:c>
    </x:row>
    <x:row r="43">
      <x:c r="A43" s="62" t="str">
        <x:v>DEMO01|2024|DOC1041|10</x:v>
      </x:c>
      <x:c r="B43" s="62" t="str">
        <x:v>SOURCE</x:v>
      </x:c>
      <x:c r="C43" s="62" t="str">
        <x:v>业务支持费</x:v>
      </x:c>
      <x:c r="D43" s="62" t="str">
        <x:v>业务支持费-技术配置</x:v>
      </x:c>
      <x:c r="E43" s="62" t="n">
        <x:v>11</x:v>
      </x:c>
      <x:c r="F43" s="62" t="n">
        <x:v>11</x:v>
      </x:c>
      <x:c r="G43" s="62" t="str">
        <x:v>DOC1041</x:v>
      </x:c>
      <x:c r="H43" s="62" t="n">
        <x:v>10</x:v>
      </x:c>
      <x:c r="I43" s="74" t="n">
        <x:v>45611</x:v>
      </x:c>
      <x:c r="J43" s="74" t="n">
        <x:v>45611</x:v>
      </x:c>
      <x:c r="K43" s="74" t="n">
        <x:v>45611</x:v>
      </x:c>
      <x:c r="L43" s="74" t="n">
        <x:v>45611</x:v>
      </x:c>
      <x:c r="M43" s="77" t="n">
        <x:v>13.7853333333333</x:v>
      </x:c>
      <x:c r="N43" s="77"/>
      <x:c r="O43" s="78"/>
      <x:c r="P43" s="79" t="n">
        <x:f>M43</x:f>
        <x:v>13.7853333333333</x:v>
      </x:c>
      <x:c r="Q43" s="79" t="n">
        <x:f>IF(D43="营业收入",-P43,P43)</x:f>
        <x:v>13.7853333333333</x:v>
      </x:c>
      <x:c r="R43" s="62" t="str">
        <x:v>CNY</x:v>
      </x:c>
      <x:c r="S43" s="62" t="str">
        <x:v>万元</x:v>
      </x:c>
      <x:c r="T43" s="62" t="str">
        <x:v>费用不含税</x:v>
      </x:c>
      <x:c r="U43" s="62" t="str">
        <x:v>技术部</x:v>
      </x:c>
      <x:c r="V43" s="62" t="str">
        <x:v>热能动力研究技术配置_前期阶段</x:v>
      </x:c>
      <x:c r="W43" s="62" t="str">
        <x:v>热能动力研究技术配置_前期阶段</x:v>
      </x:c>
      <x:c r="X43" s="62" t="str">
        <x:v>北京核工院</x:v>
      </x:c>
      <x:c r="Y43" s="62" t="str">
        <x:v>北京核工院</x:v>
      </x:c>
      <x:c r="Z43" s="62" t="str">
        <x:v>17</x:v>
      </x:c>
      <x:c r="AA43" s="62" t="str">
        <x:v>热能动力研究</x:v>
      </x:c>
      <x:c r="AB43" s="62" t="str">
        <x:v>PRJ-JS-热能-2025-003</x:v>
      </x:c>
      <x:c r="AC43" s="74" t="n">
        <x:v>45657</x:v>
      </x:c>
      <x:c r="AD43" s="71" t="str">
        <x:v>源记录保留</x:v>
      </x:c>
      <x:c r="AE43" s="71" t="str">
        <x:v>2024年实际执行.xlsx</x:v>
      </x:c>
      <x:c r="AF43" s="71" t="str">
        <x:v>Sheet</x:v>
      </x:c>
      <x:c r="AG43" s="71" t="n">
        <x:v>43</x:v>
      </x:c>
      <x:c r="AH43" s="71" t="str">
        <x:v>2024年实际执行.xlsx/Sheet!43:43</x:v>
      </x:c>
      <x:c r="AI43" s="62" t="str">
        <x:f>IF(F43=MONTH(L43),"OK","FAIL")</x:f>
        <x:v>OK</x:v>
      </x:c>
      <x:c r="AJ43" s="62" t="str">
        <x:f>IF(J43&lt;=L43,"OK","FAIL")</x:f>
        <x:v>OK</x:v>
      </x:c>
      <x:c r="AK43" s="62" t="str">
        <x:f>IF(D43&lt;&gt;"营业收入","OK",IF(AND(P43&lt;0,Q43&gt;0),"OK","FAIL"))</x:f>
        <x:v>OK</x:v>
      </x:c>
      <x:c r="AL43" s="62" t="str">
        <x:f>IF(COUNTIF($A$2:$A$204,A43)=1,"OK","FAIL")</x:f>
        <x:v>OK</x:v>
      </x:c>
    </x:row>
    <x:row r="44">
      <x:c r="A44" s="62" t="str">
        <x:v>DEMO01|2024|DOC1042|10</x:v>
      </x:c>
      <x:c r="B44" s="62" t="str">
        <x:v>SOURCE</x:v>
      </x:c>
      <x:c r="C44" s="62" t="str">
        <x:v>生产物料费</x:v>
      </x:c>
      <x:c r="D44" s="62" t="str">
        <x:v>生产物料费</x:v>
      </x:c>
      <x:c r="E44" s="62" t="n">
        <x:v>12</x:v>
      </x:c>
      <x:c r="F44" s="62" t="n">
        <x:v>12</x:v>
      </x:c>
      <x:c r="G44" s="62" t="str">
        <x:v>DOC1042</x:v>
      </x:c>
      <x:c r="H44" s="62" t="n">
        <x:v>10</x:v>
      </x:c>
      <x:c r="I44" s="74" t="n">
        <x:v>45641</x:v>
      </x:c>
      <x:c r="J44" s="74" t="n">
        <x:v>45641</x:v>
      </x:c>
      <x:c r="K44" s="74" t="n">
        <x:v>45641</x:v>
      </x:c>
      <x:c r="L44" s="74" t="n">
        <x:v>45641</x:v>
      </x:c>
      <x:c r="M44" s="77" t="n">
        <x:v>5.1695</x:v>
      </x:c>
      <x:c r="N44" s="77"/>
      <x:c r="O44" s="78"/>
      <x:c r="P44" s="79" t="n">
        <x:f>M44</x:f>
        <x:v>5.1695</x:v>
      </x:c>
      <x:c r="Q44" s="79" t="n">
        <x:f>IF(D44="营业收入",-P44,P44)</x:f>
        <x:v>5.1695</x:v>
      </x:c>
      <x:c r="R44" s="62" t="str">
        <x:v>CNY</x:v>
      </x:c>
      <x:c r="S44" s="62" t="str">
        <x:v>万元</x:v>
      </x:c>
      <x:c r="T44" s="62" t="str">
        <x:v>费用不含税</x:v>
      </x:c>
      <x:c r="U44" s="62" t="str">
        <x:v>技术部</x:v>
      </x:c>
      <x:c r="V44" s="62" t="str">
        <x:v>热能动力研究现场物料采购</x:v>
      </x:c>
      <x:c r="W44" s="62" t="str">
        <x:v>热能动力研究现场物料采购</x:v>
      </x:c>
      <x:c r="X44" s="62" t="str">
        <x:v>北京核工院</x:v>
      </x:c>
      <x:c r="Y44" s="62" t="str">
        <x:v>北京核工院</x:v>
      </x:c>
      <x:c r="Z44" s="62" t="str">
        <x:v>17</x:v>
      </x:c>
      <x:c r="AA44" s="62" t="str">
        <x:v>热能动力研究</x:v>
      </x:c>
      <x:c r="AB44" s="62" t="str">
        <x:v>PRJ-JS-热能-2025-003</x:v>
      </x:c>
      <x:c r="AC44" s="74" t="n">
        <x:v>45657</x:v>
      </x:c>
      <x:c r="AD44" s="71" t="str">
        <x:v>源记录保留</x:v>
      </x:c>
      <x:c r="AE44" s="71" t="str">
        <x:v>2024年实际执行.xlsx</x:v>
      </x:c>
      <x:c r="AF44" s="71" t="str">
        <x:v>Sheet</x:v>
      </x:c>
      <x:c r="AG44" s="71" t="n">
        <x:v>44</x:v>
      </x:c>
      <x:c r="AH44" s="71" t="str">
        <x:v>2024年实际执行.xlsx/Sheet!44:44</x:v>
      </x:c>
      <x:c r="AI44" s="62" t="str">
        <x:f>IF(F44=MONTH(L44),"OK","FAIL")</x:f>
        <x:v>OK</x:v>
      </x:c>
      <x:c r="AJ44" s="62" t="str">
        <x:f>IF(J44&lt;=L44,"OK","FAIL")</x:f>
        <x:v>OK</x:v>
      </x:c>
      <x:c r="AK44" s="62" t="str">
        <x:f>IF(D44&lt;&gt;"营业收入","OK",IF(AND(P44&lt;0,Q44&gt;0),"OK","FAIL"))</x:f>
        <x:v>OK</x:v>
      </x:c>
      <x:c r="AL44" s="62" t="str">
        <x:f>IF(COUNTIF($A$2:$A$204,A44)=1,"OK","FAIL")</x:f>
        <x:v>OK</x:v>
      </x:c>
    </x:row>
    <x:row r="45">
      <x:c r="A45" s="62" t="str">
        <x:v>DEMO01|2024|DOC1043|10</x:v>
      </x:c>
      <x:c r="B45" s="62" t="str">
        <x:v>SOURCE</x:v>
      </x:c>
      <x:c r="C45" s="62" t="str">
        <x:v>办公费</x:v>
      </x:c>
      <x:c r="D45" s="62" t="str">
        <x:v>办公费</x:v>
      </x:c>
      <x:c r="E45" s="62" t="n">
        <x:v>9</x:v>
      </x:c>
      <x:c r="F45" s="62" t="n">
        <x:v>9</x:v>
      </x:c>
      <x:c r="G45" s="62" t="str">
        <x:v>DOC1043</x:v>
      </x:c>
      <x:c r="H45" s="62" t="n">
        <x:v>10</x:v>
      </x:c>
      <x:c r="I45" s="74" t="n">
        <x:v>45550</x:v>
      </x:c>
      <x:c r="J45" s="74" t="n">
        <x:v>45550</x:v>
      </x:c>
      <x:c r="K45" s="74" t="n">
        <x:v>45550</x:v>
      </x:c>
      <x:c r="L45" s="74" t="n">
        <x:v>45550</x:v>
      </x:c>
      <x:c r="M45" s="77" t="n">
        <x:v>1.0339</x:v>
      </x:c>
      <x:c r="N45" s="77"/>
      <x:c r="O45" s="78"/>
      <x:c r="P45" s="79" t="n">
        <x:f>M45</x:f>
        <x:v>1.0339</x:v>
      </x:c>
      <x:c r="Q45" s="79" t="n">
        <x:f>IF(D45="营业收入",-P45,P45)</x:f>
        <x:v>1.0339</x:v>
      </x:c>
      <x:c r="R45" s="62" t="str">
        <x:v>CNY</x:v>
      </x:c>
      <x:c r="S45" s="62" t="str">
        <x:v>万元</x:v>
      </x:c>
      <x:c r="T45" s="62" t="str">
        <x:v>费用不含税</x:v>
      </x:c>
      <x:c r="U45" s="62" t="str">
        <x:v>技术部</x:v>
      </x:c>
      <x:c r="V45" s="62" t="str">
        <x:v>热能动力研究日常办公</x:v>
      </x:c>
      <x:c r="W45" s="62" t="str">
        <x:v>热能动力研究日常办公</x:v>
      </x:c>
      <x:c r="X45" s="62" t="str">
        <x:v>北京核工院</x:v>
      </x:c>
      <x:c r="Y45" s="62" t="str">
        <x:v>北京核工院</x:v>
      </x:c>
      <x:c r="Z45" s="62" t="str">
        <x:v>17</x:v>
      </x:c>
      <x:c r="AA45" s="62" t="str">
        <x:v>热能动力研究</x:v>
      </x:c>
      <x:c r="AB45" s="62" t="str">
        <x:v>PRJ-JS-热能-2025-003</x:v>
      </x:c>
      <x:c r="AC45" s="74" t="n">
        <x:v>45657</x:v>
      </x:c>
      <x:c r="AD45" s="71" t="str">
        <x:v>源记录保留</x:v>
      </x:c>
      <x:c r="AE45" s="71" t="str">
        <x:v>2024年实际执行.xlsx</x:v>
      </x:c>
      <x:c r="AF45" s="71" t="str">
        <x:v>Sheet</x:v>
      </x:c>
      <x:c r="AG45" s="71" t="n">
        <x:v>45</x:v>
      </x:c>
      <x:c r="AH45" s="71" t="str">
        <x:v>2024年实际执行.xlsx/Sheet!45:45</x:v>
      </x:c>
      <x:c r="AI45" s="62" t="str">
        <x:f>IF(F45=MONTH(L45),"OK","FAIL")</x:f>
        <x:v>OK</x:v>
      </x:c>
      <x:c r="AJ45" s="62" t="str">
        <x:f>IF(J45&lt;=L45,"OK","FAIL")</x:f>
        <x:v>OK</x:v>
      </x:c>
      <x:c r="AK45" s="62" t="str">
        <x:f>IF(D45&lt;&gt;"营业收入","OK",IF(AND(P45&lt;0,Q45&gt;0),"OK","FAIL"))</x:f>
        <x:v>OK</x:v>
      </x:c>
      <x:c r="AL45" s="62" t="str">
        <x:f>IF(COUNTIF($A$2:$A$204,A45)=1,"OK","FAIL")</x:f>
        <x:v>OK</x:v>
      </x:c>
    </x:row>
    <x:row r="46">
      <x:c r="A46" s="62" t="str">
        <x:v>DEMO01|2024|DOC1044|10</x:v>
      </x:c>
      <x:c r="B46" s="62" t="str">
        <x:v>SOURCE</x:v>
      </x:c>
      <x:c r="C46" s="62" t="str">
        <x:v>人工成本</x:v>
      </x:c>
      <x:c r="D46" s="62" t="str">
        <x:v>人工成本</x:v>
      </x:c>
      <x:c r="E46" s="62" t="n">
        <x:v>6</x:v>
      </x:c>
      <x:c r="F46" s="62" t="n">
        <x:v>6</x:v>
      </x:c>
      <x:c r="G46" s="62" t="str">
        <x:v>DOC1044</x:v>
      </x:c>
      <x:c r="H46" s="62" t="n">
        <x:v>10</x:v>
      </x:c>
      <x:c r="I46" s="74" t="n">
        <x:v>45473</x:v>
      </x:c>
      <x:c r="J46" s="74" t="n">
        <x:v>45473</x:v>
      </x:c>
      <x:c r="K46" s="74" t="n">
        <x:v>45473</x:v>
      </x:c>
      <x:c r="L46" s="74" t="n">
        <x:v>45473</x:v>
      </x:c>
      <x:c r="M46" s="77" t="n">
        <x:v>9</x:v>
      </x:c>
      <x:c r="N46" s="77"/>
      <x:c r="O46" s="78"/>
      <x:c r="P46" s="79" t="n">
        <x:f>M46</x:f>
        <x:v>9</x:v>
      </x:c>
      <x:c r="Q46" s="79" t="n">
        <x:f>IF(D46="营业收入",-P46,P46)</x:f>
        <x:v>9</x:v>
      </x:c>
      <x:c r="R46" s="62" t="str">
        <x:v>CNY</x:v>
      </x:c>
      <x:c r="S46" s="62" t="str">
        <x:v>万元</x:v>
      </x:c>
      <x:c r="T46" s="62" t="str">
        <x:v>费用不含税</x:v>
      </x:c>
      <x:c r="U46" s="62" t="str">
        <x:v>技术部</x:v>
      </x:c>
      <x:c r="V46" s="62" t="str">
        <x:v>热能动力研究人工成本分摊</x:v>
      </x:c>
      <x:c r="W46" s="62" t="str">
        <x:v>热能动力研究人工成本分摊</x:v>
      </x:c>
      <x:c r="X46" s="62" t="str">
        <x:v>17</x:v>
      </x:c>
      <x:c r="Y46" s="62" t="str">
        <x:v>17</x:v>
      </x:c>
      <x:c r="Z46" s="62" t="str">
        <x:v>17</x:v>
      </x:c>
      <x:c r="AA46" s="62" t="str">
        <x:v>热能动力研究</x:v>
      </x:c>
      <x:c r="AB46" s="62" t="str">
        <x:v>PRJ-JS-热能-2025-003</x:v>
      </x:c>
      <x:c r="AC46" s="74" t="n">
        <x:v>45657</x:v>
      </x:c>
      <x:c r="AD46" s="71" t="str">
        <x:v>源记录保留</x:v>
      </x:c>
      <x:c r="AE46" s="71" t="str">
        <x:v>2024年实际执行.xlsx</x:v>
      </x:c>
      <x:c r="AF46" s="71" t="str">
        <x:v>Sheet</x:v>
      </x:c>
      <x:c r="AG46" s="71" t="n">
        <x:v>46</x:v>
      </x:c>
      <x:c r="AH46" s="71" t="str">
        <x:v>2024年实际执行.xlsx/Sheet!46:46</x:v>
      </x:c>
      <x:c r="AI46" s="62" t="str">
        <x:f>IF(F46=MONTH(L46),"OK","FAIL")</x:f>
        <x:v>OK</x:v>
      </x:c>
      <x:c r="AJ46" s="62" t="str">
        <x:f>IF(J46&lt;=L46,"OK","FAIL")</x:f>
        <x:v>OK</x:v>
      </x:c>
      <x:c r="AK46" s="62" t="str">
        <x:f>IF(D46&lt;&gt;"营业收入","OK",IF(AND(P46&lt;0,Q46&gt;0),"OK","FAIL"))</x:f>
        <x:v>OK</x:v>
      </x:c>
      <x:c r="AL46" s="62" t="str">
        <x:f>IF(COUNTIF($A$2:$A$204,A46)=1,"OK","FAIL")</x:f>
        <x:v>OK</x:v>
      </x:c>
    </x:row>
    <x:row r="47">
      <x:c r="A47" s="62" t="str">
        <x:v>DEMO01|2024|DOC1045|10</x:v>
      </x:c>
      <x:c r="B47" s="62" t="str">
        <x:v>SOURCE</x:v>
      </x:c>
      <x:c r="C47" s="62" t="str">
        <x:v>折旧摊销</x:v>
      </x:c>
      <x:c r="D47" s="62" t="str">
        <x:v>折旧摊销</x:v>
      </x:c>
      <x:c r="E47" s="62" t="n">
        <x:v>12</x:v>
      </x:c>
      <x:c r="F47" s="62" t="n">
        <x:v>12</x:v>
      </x:c>
      <x:c r="G47" s="62" t="str">
        <x:v>DOC1045</x:v>
      </x:c>
      <x:c r="H47" s="62" t="n">
        <x:v>10</x:v>
      </x:c>
      <x:c r="I47" s="74" t="n">
        <x:v>45657</x:v>
      </x:c>
      <x:c r="J47" s="74" t="n">
        <x:v>45657</x:v>
      </x:c>
      <x:c r="K47" s="74" t="n">
        <x:v>45657</x:v>
      </x:c>
      <x:c r="L47" s="74" t="n">
        <x:v>45657</x:v>
      </x:c>
      <x:c r="M47" s="77" t="n">
        <x:v>2</x:v>
      </x:c>
      <x:c r="N47" s="77"/>
      <x:c r="O47" s="78"/>
      <x:c r="P47" s="79" t="n">
        <x:f>M47</x:f>
        <x:v>2</x:v>
      </x:c>
      <x:c r="Q47" s="79" t="n">
        <x:f>IF(D47="营业收入",-P47,P47)</x:f>
        <x:v>2</x:v>
      </x:c>
      <x:c r="R47" s="62" t="str">
        <x:v>CNY</x:v>
      </x:c>
      <x:c r="S47" s="62" t="str">
        <x:v>万元</x:v>
      </x:c>
      <x:c r="T47" s="62" t="str">
        <x:v>费用不含税</x:v>
      </x:c>
      <x:c r="U47" s="62" t="str">
        <x:v>技术部</x:v>
      </x:c>
      <x:c r="V47" s="62" t="str">
        <x:v>热能动力研究折旧摊销分摊</x:v>
      </x:c>
      <x:c r="W47" s="62" t="str">
        <x:v>热能动力研究折旧摊销分摊</x:v>
      </x:c>
      <x:c r="X47" s="62" t="str">
        <x:v>17</x:v>
      </x:c>
      <x:c r="Y47" s="62" t="str">
        <x:v>17</x:v>
      </x:c>
      <x:c r="Z47" s="62" t="str">
        <x:v>17</x:v>
      </x:c>
      <x:c r="AA47" s="62" t="str">
        <x:v>热能动力研究</x:v>
      </x:c>
      <x:c r="AB47" s="62" t="str">
        <x:v>PRJ-JS-热能-2025-003</x:v>
      </x:c>
      <x:c r="AC47" s="74" t="n">
        <x:v>45657</x:v>
      </x:c>
      <x:c r="AD47" s="71" t="str">
        <x:v>源记录保留</x:v>
      </x:c>
      <x:c r="AE47" s="71" t="str">
        <x:v>2024年实际执行.xlsx</x:v>
      </x:c>
      <x:c r="AF47" s="71" t="str">
        <x:v>Sheet</x:v>
      </x:c>
      <x:c r="AG47" s="71" t="n">
        <x:v>47</x:v>
      </x:c>
      <x:c r="AH47" s="71" t="str">
        <x:v>2024年实际执行.xlsx/Sheet!47:47</x:v>
      </x:c>
      <x:c r="AI47" s="62" t="str">
        <x:f>IF(F47=MONTH(L47),"OK","FAIL")</x:f>
        <x:v>OK</x:v>
      </x:c>
      <x:c r="AJ47" s="62" t="str">
        <x:f>IF(J47&lt;=L47,"OK","FAIL")</x:f>
        <x:v>OK</x:v>
      </x:c>
      <x:c r="AK47" s="62" t="str">
        <x:f>IF(D47&lt;&gt;"营业收入","OK",IF(AND(P47&lt;0,Q47&gt;0),"OK","FAIL"))</x:f>
        <x:v>OK</x:v>
      </x:c>
      <x:c r="AL47" s="62" t="str">
        <x:f>IF(COUNTIF($A$2:$A$204,A47)=1,"OK","FAIL")</x:f>
        <x:v>OK</x:v>
      </x:c>
    </x:row>
    <x:row r="48">
      <x:c r="A48" s="62" t="str">
        <x:v>DEMO01|2024|DOC1046|10</x:v>
      </x:c>
      <x:c r="B48" s="62" t="str">
        <x:v>SOURCE</x:v>
      </x:c>
      <x:c r="C48" s="62" t="str">
        <x:v>营业收入</x:v>
      </x:c>
      <x:c r="D48" s="62" t="str">
        <x:v>营业收入</x:v>
      </x:c>
      <x:c r="E48" s="62" t="n">
        <x:v>6</x:v>
      </x:c>
      <x:c r="F48" s="62" t="n">
        <x:v>6</x:v>
      </x:c>
      <x:c r="G48" s="62" t="str">
        <x:v>DOC1046</x:v>
      </x:c>
      <x:c r="H48" s="62" t="n">
        <x:v>10</x:v>
      </x:c>
      <x:c r="I48" s="74" t="n">
        <x:v>45458</x:v>
      </x:c>
      <x:c r="J48" s="74" t="n">
        <x:v>45458</x:v>
      </x:c>
      <x:c r="K48" s="74" t="n">
        <x:v>45458</x:v>
      </x:c>
      <x:c r="L48" s="74" t="n">
        <x:v>45458</x:v>
      </x:c>
      <x:c r="M48" s="77" t="n">
        <x:v>-30</x:v>
      </x:c>
      <x:c r="N48" s="77"/>
      <x:c r="O48" s="78"/>
      <x:c r="P48" s="79" t="n">
        <x:f>M48</x:f>
        <x:v>-30</x:v>
      </x:c>
      <x:c r="Q48" s="79" t="n">
        <x:f>IF(D48="营业收入",-P48,P48)</x:f>
        <x:v>30</x:v>
      </x:c>
      <x:c r="R48" s="62" t="str">
        <x:v>CNY</x:v>
      </x:c>
      <x:c r="S48" s="62" t="str">
        <x:v>万元</x:v>
      </x:c>
      <x:c r="T48" s="62" t="str">
        <x:v>收益；源负号</x:v>
      </x:c>
      <x:c r="U48" s="62" t="str">
        <x:v>技术部</x:v>
      </x:c>
      <x:c r="V48" s="62" t="str">
        <x:v>经验反馈改进收入确认</x:v>
      </x:c>
      <x:c r="W48" s="62" t="str">
        <x:v>经验反馈改进收入确认</x:v>
      </x:c>
      <x:c r="X48" s="62" t="str">
        <x:v>17</x:v>
      </x:c>
      <x:c r="Y48" s="62" t="str">
        <x:v>17</x:v>
      </x:c>
      <x:c r="Z48" s="62" t="str">
        <x:v>17</x:v>
      </x:c>
      <x:c r="AA48" s="62" t="str">
        <x:v>经验反馈改进</x:v>
      </x:c>
      <x:c r="AB48" s="62" t="str">
        <x:v>PRJ-JS-经验-2024-001</x:v>
      </x:c>
      <x:c r="AC48" s="74" t="n">
        <x:v>45657</x:v>
      </x:c>
      <x:c r="AD48" s="71" t="str">
        <x:v>源记录保留</x:v>
      </x:c>
      <x:c r="AE48" s="71" t="str">
        <x:v>2024年实际执行.xlsx</x:v>
      </x:c>
      <x:c r="AF48" s="71" t="str">
        <x:v>Sheet</x:v>
      </x:c>
      <x:c r="AG48" s="71" t="n">
        <x:v>48</x:v>
      </x:c>
      <x:c r="AH48" s="71" t="str">
        <x:v>2024年实际执行.xlsx/Sheet!48:48</x:v>
      </x:c>
      <x:c r="AI48" s="62" t="str">
        <x:f>IF(F48=MONTH(L48),"OK","FAIL")</x:f>
        <x:v>OK</x:v>
      </x:c>
      <x:c r="AJ48" s="62" t="str">
        <x:f>IF(J48&lt;=L48,"OK","FAIL")</x:f>
        <x:v>OK</x:v>
      </x:c>
      <x:c r="AK48" s="62" t="str">
        <x:f>IF(D48&lt;&gt;"营业收入","OK",IF(AND(P48&lt;0,Q48&gt;0),"OK","FAIL"))</x:f>
        <x:v>OK</x:v>
      </x:c>
      <x:c r="AL48" s="62" t="str">
        <x:f>IF(COUNTIF($A$2:$A$204,A48)=1,"OK","FAIL")</x:f>
        <x:v>OK</x:v>
      </x:c>
    </x:row>
    <x:row r="49">
      <x:c r="A49" s="62" t="str">
        <x:v>DEMO01|2024|DOC1047|10</x:v>
      </x:c>
      <x:c r="B49" s="62" t="str">
        <x:v>SOURCE</x:v>
      </x:c>
      <x:c r="C49" s="62" t="str">
        <x:v>会议费</x:v>
      </x:c>
      <x:c r="D49" s="62" t="str">
        <x:v>会议费</x:v>
      </x:c>
      <x:c r="E49" s="62" t="n">
        <x:v>4</x:v>
      </x:c>
      <x:c r="F49" s="62" t="n">
        <x:v>4</x:v>
      </x:c>
      <x:c r="G49" s="62" t="str">
        <x:v>DOC1047</x:v>
      </x:c>
      <x:c r="H49" s="62" t="n">
        <x:v>10</x:v>
      </x:c>
      <x:c r="I49" s="74" t="n">
        <x:v>45397</x:v>
      </x:c>
      <x:c r="J49" s="74" t="n">
        <x:v>45397</x:v>
      </x:c>
      <x:c r="K49" s="74" t="n">
        <x:v>45397</x:v>
      </x:c>
      <x:c r="L49" s="74" t="n">
        <x:v>45397</x:v>
      </x:c>
      <x:c r="M49" s="77" t="n">
        <x:v>0.391066666666667</x:v>
      </x:c>
      <x:c r="N49" s="77"/>
      <x:c r="O49" s="78"/>
      <x:c r="P49" s="79" t="n">
        <x:f>M49</x:f>
        <x:v>0.391066666666667</x:v>
      </x:c>
      <x:c r="Q49" s="79" t="n">
        <x:f>IF(D49="营业收入",-P49,P49)</x:f>
        <x:v>0.391066666666667</x:v>
      </x:c>
      <x:c r="R49" s="62" t="str">
        <x:v>CNY</x:v>
      </x:c>
      <x:c r="S49" s="62" t="str">
        <x:v>万元</x:v>
      </x:c>
      <x:c r="T49" s="62" t="str">
        <x:v>费用不含税</x:v>
      </x:c>
      <x:c r="U49" s="62" t="str">
        <x:v>技术部</x:v>
      </x:c>
      <x:c r="V49" s="62" t="str">
        <x:v>经验反馈改进项目阶段评审会</x:v>
      </x:c>
      <x:c r="W49" s="62" t="str">
        <x:v>经验反馈改进项目阶段评审会</x:v>
      </x:c>
      <x:c r="X49" s="62" t="str">
        <x:v>华能服务</x:v>
      </x:c>
      <x:c r="Y49" s="62" t="str">
        <x:v>华能服务</x:v>
      </x:c>
      <x:c r="Z49" s="62" t="str">
        <x:v>17</x:v>
      </x:c>
      <x:c r="AA49" s="62" t="str">
        <x:v>经验反馈改进</x:v>
      </x:c>
      <x:c r="AB49" s="62" t="str">
        <x:v>PRJ-JS-经验-2024-001</x:v>
      </x:c>
      <x:c r="AC49" s="74" t="n">
        <x:v>45657</x:v>
      </x:c>
      <x:c r="AD49" s="71" t="str">
        <x:v>源记录保留</x:v>
      </x:c>
      <x:c r="AE49" s="71" t="str">
        <x:v>2024年实际执行.xlsx</x:v>
      </x:c>
      <x:c r="AF49" s="71" t="str">
        <x:v>Sheet</x:v>
      </x:c>
      <x:c r="AG49" s="71" t="n">
        <x:v>49</x:v>
      </x:c>
      <x:c r="AH49" s="71" t="str">
        <x:v>2024年实际执行.xlsx/Sheet!49:49</x:v>
      </x:c>
      <x:c r="AI49" s="62" t="str">
        <x:f>IF(F49=MONTH(L49),"OK","FAIL")</x:f>
        <x:v>OK</x:v>
      </x:c>
      <x:c r="AJ49" s="62" t="str">
        <x:f>IF(J49&lt;=L49,"OK","FAIL")</x:f>
        <x:v>OK</x:v>
      </x:c>
      <x:c r="AK49" s="62" t="str">
        <x:f>IF(D49&lt;&gt;"营业收入","OK",IF(AND(P49&lt;0,Q49&gt;0),"OK","FAIL"))</x:f>
        <x:v>OK</x:v>
      </x:c>
      <x:c r="AL49" s="62" t="str">
        <x:f>IF(COUNTIF($A$2:$A$204,A49)=1,"OK","FAIL")</x:f>
        <x:v>OK</x:v>
      </x:c>
    </x:row>
    <x:row r="50">
      <x:c r="A50" s="62" t="str">
        <x:v>DEMO01|2024|DOC1048|10</x:v>
      </x:c>
      <x:c r="B50" s="62" t="str">
        <x:v>SOURCE</x:v>
      </x:c>
      <x:c r="C50" s="62" t="str">
        <x:v>业务支持费</x:v>
      </x:c>
      <x:c r="D50" s="62" t="str">
        <x:v>业务支持费-技术配置</x:v>
      </x:c>
      <x:c r="E50" s="62" t="n">
        <x:v>8</x:v>
      </x:c>
      <x:c r="F50" s="62" t="n">
        <x:v>8</x:v>
      </x:c>
      <x:c r="G50" s="62" t="str">
        <x:v>DOC1048</x:v>
      </x:c>
      <x:c r="H50" s="62" t="n">
        <x:v>10</x:v>
      </x:c>
      <x:c r="I50" s="74" t="n">
        <x:v>45519</x:v>
      </x:c>
      <x:c r="J50" s="74" t="n">
        <x:v>45519</x:v>
      </x:c>
      <x:c r="K50" s="74" t="n">
        <x:v>45519</x:v>
      </x:c>
      <x:c r="L50" s="74" t="n">
        <x:v>45519</x:v>
      </x:c>
      <x:c r="M50" s="77" t="n">
        <x:v>15.6426666666667</x:v>
      </x:c>
      <x:c r="N50" s="77"/>
      <x:c r="O50" s="78"/>
      <x:c r="P50" s="79" t="n">
        <x:f>M50</x:f>
        <x:v>15.6426666666667</x:v>
      </x:c>
      <x:c r="Q50" s="79" t="n">
        <x:f>IF(D50="营业收入",-P50,P50)</x:f>
        <x:v>15.6426666666667</x:v>
      </x:c>
      <x:c r="R50" s="62" t="str">
        <x:v>CNY</x:v>
      </x:c>
      <x:c r="S50" s="62" t="str">
        <x:v>万元</x:v>
      </x:c>
      <x:c r="T50" s="62" t="str">
        <x:v>费用不含税</x:v>
      </x:c>
      <x:c r="U50" s="62" t="str">
        <x:v>技术部</x:v>
      </x:c>
      <x:c r="V50" s="62" t="str">
        <x:v>经验反馈改进技术配置_前期阶段</x:v>
      </x:c>
      <x:c r="W50" s="62" t="str">
        <x:v>经验反馈改进技术配置_前期阶段</x:v>
      </x:c>
      <x:c r="X50" s="62" t="str">
        <x:v>华能服务</x:v>
      </x:c>
      <x:c r="Y50" s="62" t="str">
        <x:v>华能服务</x:v>
      </x:c>
      <x:c r="Z50" s="62" t="str">
        <x:v>17</x:v>
      </x:c>
      <x:c r="AA50" s="62" t="str">
        <x:v>经验反馈改进</x:v>
      </x:c>
      <x:c r="AB50" s="62" t="str">
        <x:v>PRJ-JS-经验-2024-001</x:v>
      </x:c>
      <x:c r="AC50" s="74" t="n">
        <x:v>45657</x:v>
      </x:c>
      <x:c r="AD50" s="71" t="str">
        <x:v>源记录保留</x:v>
      </x:c>
      <x:c r="AE50" s="71" t="str">
        <x:v>2024年实际执行.xlsx</x:v>
      </x:c>
      <x:c r="AF50" s="71" t="str">
        <x:v>Sheet</x:v>
      </x:c>
      <x:c r="AG50" s="71" t="n">
        <x:v>50</x:v>
      </x:c>
      <x:c r="AH50" s="71" t="str">
        <x:v>2024年实际执行.xlsx/Sheet!50:50</x:v>
      </x:c>
      <x:c r="AI50" s="62" t="str">
        <x:f>IF(F50=MONTH(L50),"OK","FAIL")</x:f>
        <x:v>OK</x:v>
      </x:c>
      <x:c r="AJ50" s="62" t="str">
        <x:f>IF(J50&lt;=L50,"OK","FAIL")</x:f>
        <x:v>OK</x:v>
      </x:c>
      <x:c r="AK50" s="62" t="str">
        <x:f>IF(D50&lt;&gt;"营业收入","OK",IF(AND(P50&lt;0,Q50&gt;0),"OK","FAIL"))</x:f>
        <x:v>OK</x:v>
      </x:c>
      <x:c r="AL50" s="62" t="str">
        <x:f>IF(COUNTIF($A$2:$A$204,A50)=1,"OK","FAIL")</x:f>
        <x:v>OK</x:v>
      </x:c>
    </x:row>
    <x:row r="51">
      <x:c r="A51" s="62" t="str">
        <x:v>DEMO01|2024|DOC1049|10</x:v>
      </x:c>
      <x:c r="B51" s="62" t="str">
        <x:v>SOURCE</x:v>
      </x:c>
      <x:c r="C51" s="62" t="str">
        <x:v>生产物料费</x:v>
      </x:c>
      <x:c r="D51" s="62" t="str">
        <x:v>生产物料费</x:v>
      </x:c>
      <x:c r="E51" s="62" t="n">
        <x:v>10</x:v>
      </x:c>
      <x:c r="F51" s="62" t="n">
        <x:v>10</x:v>
      </x:c>
      <x:c r="G51" s="62" t="str">
        <x:v>DOC1049</x:v>
      </x:c>
      <x:c r="H51" s="62" t="n">
        <x:v>10</x:v>
      </x:c>
      <x:c r="I51" s="74" t="n">
        <x:v>45580</x:v>
      </x:c>
      <x:c r="J51" s="74" t="n">
        <x:v>45580</x:v>
      </x:c>
      <x:c r="K51" s="74" t="n">
        <x:v>45580</x:v>
      </x:c>
      <x:c r="L51" s="74" t="n">
        <x:v>45580</x:v>
      </x:c>
      <x:c r="M51" s="77" t="n">
        <x:v>5.866</x:v>
      </x:c>
      <x:c r="N51" s="77"/>
      <x:c r="O51" s="78"/>
      <x:c r="P51" s="79" t="n">
        <x:f>M51</x:f>
        <x:v>5.866</x:v>
      </x:c>
      <x:c r="Q51" s="79" t="n">
        <x:f>IF(D51="营业收入",-P51,P51)</x:f>
        <x:v>5.866</x:v>
      </x:c>
      <x:c r="R51" s="62" t="str">
        <x:v>CNY</x:v>
      </x:c>
      <x:c r="S51" s="62" t="str">
        <x:v>万元</x:v>
      </x:c>
      <x:c r="T51" s="62" t="str">
        <x:v>费用不含税</x:v>
      </x:c>
      <x:c r="U51" s="62" t="str">
        <x:v>技术部</x:v>
      </x:c>
      <x:c r="V51" s="62" t="str">
        <x:v>经验反馈改进现场物料采购</x:v>
      </x:c>
      <x:c r="W51" s="62" t="str">
        <x:v>经验反馈改进现场物料采购</x:v>
      </x:c>
      <x:c r="X51" s="62" t="str">
        <x:v>华能服务</x:v>
      </x:c>
      <x:c r="Y51" s="62" t="str">
        <x:v>华能服务</x:v>
      </x:c>
      <x:c r="Z51" s="62" t="str">
        <x:v>17</x:v>
      </x:c>
      <x:c r="AA51" s="62" t="str">
        <x:v>经验反馈改进</x:v>
      </x:c>
      <x:c r="AB51" s="62" t="str">
        <x:v>PRJ-JS-经验-2024-001</x:v>
      </x:c>
      <x:c r="AC51" s="74" t="n">
        <x:v>45657</x:v>
      </x:c>
      <x:c r="AD51" s="71" t="str">
        <x:v>源记录保留</x:v>
      </x:c>
      <x:c r="AE51" s="71" t="str">
        <x:v>2024年实际执行.xlsx</x:v>
      </x:c>
      <x:c r="AF51" s="71" t="str">
        <x:v>Sheet</x:v>
      </x:c>
      <x:c r="AG51" s="71" t="n">
        <x:v>51</x:v>
      </x:c>
      <x:c r="AH51" s="71" t="str">
        <x:v>2024年实际执行.xlsx/Sheet!51:51</x:v>
      </x:c>
      <x:c r="AI51" s="62" t="str">
        <x:f>IF(F51=MONTH(L51),"OK","FAIL")</x:f>
        <x:v>OK</x:v>
      </x:c>
      <x:c r="AJ51" s="62" t="str">
        <x:f>IF(J51&lt;=L51,"OK","FAIL")</x:f>
        <x:v>OK</x:v>
      </x:c>
      <x:c r="AK51" s="62" t="str">
        <x:f>IF(D51&lt;&gt;"营业收入","OK",IF(AND(P51&lt;0,Q51&gt;0),"OK","FAIL"))</x:f>
        <x:v>OK</x:v>
      </x:c>
      <x:c r="AL51" s="62" t="str">
        <x:f>IF(COUNTIF($A$2:$A$204,A51)=1,"OK","FAIL")</x:f>
        <x:v>OK</x:v>
      </x:c>
    </x:row>
    <x:row r="52">
      <x:c r="A52" s="62" t="str">
        <x:v>DEMO01|2024|DOC1050|10</x:v>
      </x:c>
      <x:c r="B52" s="62" t="str">
        <x:v>SOURCE</x:v>
      </x:c>
      <x:c r="C52" s="62" t="str">
        <x:v>办公费</x:v>
      </x:c>
      <x:c r="D52" s="62" t="str">
        <x:v>办公费</x:v>
      </x:c>
      <x:c r="E52" s="62" t="n">
        <x:v>5</x:v>
      </x:c>
      <x:c r="F52" s="62" t="n">
        <x:v>5</x:v>
      </x:c>
      <x:c r="G52" s="62" t="str">
        <x:v>DOC1050</x:v>
      </x:c>
      <x:c r="H52" s="62" t="n">
        <x:v>10</x:v>
      </x:c>
      <x:c r="I52" s="74" t="n">
        <x:v>45427</x:v>
      </x:c>
      <x:c r="J52" s="74" t="n">
        <x:v>45427</x:v>
      </x:c>
      <x:c r="K52" s="74" t="n">
        <x:v>45427</x:v>
      </x:c>
      <x:c r="L52" s="74" t="n">
        <x:v>45427</x:v>
      </x:c>
      <x:c r="M52" s="77" t="n">
        <x:v>1.1732</x:v>
      </x:c>
      <x:c r="N52" s="77"/>
      <x:c r="O52" s="78"/>
      <x:c r="P52" s="79" t="n">
        <x:f>M52</x:f>
        <x:v>1.1732</x:v>
      </x:c>
      <x:c r="Q52" s="79" t="n">
        <x:f>IF(D52="营业收入",-P52,P52)</x:f>
        <x:v>1.1732</x:v>
      </x:c>
      <x:c r="R52" s="62" t="str">
        <x:v>CNY</x:v>
      </x:c>
      <x:c r="S52" s="62" t="str">
        <x:v>万元</x:v>
      </x:c>
      <x:c r="T52" s="62" t="str">
        <x:v>费用不含税</x:v>
      </x:c>
      <x:c r="U52" s="62" t="str">
        <x:v>技术部</x:v>
      </x:c>
      <x:c r="V52" s="62" t="str">
        <x:v>经验反馈改进日常办公</x:v>
      </x:c>
      <x:c r="W52" s="62" t="str">
        <x:v>经验反馈改进日常办公</x:v>
      </x:c>
      <x:c r="X52" s="62" t="str">
        <x:v>华能服务</x:v>
      </x:c>
      <x:c r="Y52" s="62" t="str">
        <x:v>华能服务</x:v>
      </x:c>
      <x:c r="Z52" s="62" t="str">
        <x:v>17</x:v>
      </x:c>
      <x:c r="AA52" s="62" t="str">
        <x:v>经验反馈改进</x:v>
      </x:c>
      <x:c r="AB52" s="62" t="str">
        <x:v>PRJ-JS-经验-2024-001</x:v>
      </x:c>
      <x:c r="AC52" s="74" t="n">
        <x:v>45657</x:v>
      </x:c>
      <x:c r="AD52" s="71" t="str">
        <x:v>源记录保留</x:v>
      </x:c>
      <x:c r="AE52" s="71" t="str">
        <x:v>2024年实际执行.xlsx</x:v>
      </x:c>
      <x:c r="AF52" s="71" t="str">
        <x:v>Sheet</x:v>
      </x:c>
      <x:c r="AG52" s="71" t="n">
        <x:v>52</x:v>
      </x:c>
      <x:c r="AH52" s="71" t="str">
        <x:v>2024年实际执行.xlsx/Sheet!52:52</x:v>
      </x:c>
      <x:c r="AI52" s="62" t="str">
        <x:f>IF(F52=MONTH(L52),"OK","FAIL")</x:f>
        <x:v>OK</x:v>
      </x:c>
      <x:c r="AJ52" s="62" t="str">
        <x:f>IF(J52&lt;=L52,"OK","FAIL")</x:f>
        <x:v>OK</x:v>
      </x:c>
      <x:c r="AK52" s="62" t="str">
        <x:f>IF(D52&lt;&gt;"营业收入","OK",IF(AND(P52&lt;0,Q52&gt;0),"OK","FAIL"))</x:f>
        <x:v>OK</x:v>
      </x:c>
      <x:c r="AL52" s="62" t="str">
        <x:f>IF(COUNTIF($A$2:$A$204,A52)=1,"OK","FAIL")</x:f>
        <x:v>OK</x:v>
      </x:c>
    </x:row>
    <x:row r="53">
      <x:c r="A53" s="62" t="str">
        <x:v>DEMO01|2024|DOC1051|10</x:v>
      </x:c>
      <x:c r="B53" s="62" t="str">
        <x:v>SOURCE</x:v>
      </x:c>
      <x:c r="C53" s="62" t="str">
        <x:v>人工成本</x:v>
      </x:c>
      <x:c r="D53" s="62" t="str">
        <x:v>人工成本</x:v>
      </x:c>
      <x:c r="E53" s="62" t="n">
        <x:v>6</x:v>
      </x:c>
      <x:c r="F53" s="62" t="n">
        <x:v>6</x:v>
      </x:c>
      <x:c r="G53" s="62" t="str">
        <x:v>DOC1051</x:v>
      </x:c>
      <x:c r="H53" s="62" t="n">
        <x:v>10</x:v>
      </x:c>
      <x:c r="I53" s="74" t="n">
        <x:v>45473</x:v>
      </x:c>
      <x:c r="J53" s="74" t="n">
        <x:v>45473</x:v>
      </x:c>
      <x:c r="K53" s="74" t="n">
        <x:v>45473</x:v>
      </x:c>
      <x:c r="L53" s="74" t="n">
        <x:v>45473</x:v>
      </x:c>
      <x:c r="M53" s="77" t="n">
        <x:v>9</x:v>
      </x:c>
      <x:c r="N53" s="77"/>
      <x:c r="O53" s="78"/>
      <x:c r="P53" s="79" t="n">
        <x:f>M53</x:f>
        <x:v>9</x:v>
      </x:c>
      <x:c r="Q53" s="79" t="n">
        <x:f>IF(D53="营业收入",-P53,P53)</x:f>
        <x:v>9</x:v>
      </x:c>
      <x:c r="R53" s="62" t="str">
        <x:v>CNY</x:v>
      </x:c>
      <x:c r="S53" s="62" t="str">
        <x:v>万元</x:v>
      </x:c>
      <x:c r="T53" s="62" t="str">
        <x:v>费用不含税</x:v>
      </x:c>
      <x:c r="U53" s="62" t="str">
        <x:v>技术部</x:v>
      </x:c>
      <x:c r="V53" s="62" t="str">
        <x:v>经验反馈改进人工成本分摊</x:v>
      </x:c>
      <x:c r="W53" s="62" t="str">
        <x:v>经验反馈改进人工成本分摊</x:v>
      </x:c>
      <x:c r="X53" s="62" t="str">
        <x:v>17</x:v>
      </x:c>
      <x:c r="Y53" s="62" t="str">
        <x:v>17</x:v>
      </x:c>
      <x:c r="Z53" s="62" t="str">
        <x:v>17</x:v>
      </x:c>
      <x:c r="AA53" s="62" t="str">
        <x:v>经验反馈改进</x:v>
      </x:c>
      <x:c r="AB53" s="62" t="str">
        <x:v>PRJ-JS-经验-2024-001</x:v>
      </x:c>
      <x:c r="AC53" s="74" t="n">
        <x:v>45657</x:v>
      </x:c>
      <x:c r="AD53" s="71" t="str">
        <x:v>源记录保留</x:v>
      </x:c>
      <x:c r="AE53" s="71" t="str">
        <x:v>2024年实际执行.xlsx</x:v>
      </x:c>
      <x:c r="AF53" s="71" t="str">
        <x:v>Sheet</x:v>
      </x:c>
      <x:c r="AG53" s="71" t="n">
        <x:v>53</x:v>
      </x:c>
      <x:c r="AH53" s="71" t="str">
        <x:v>2024年实际执行.xlsx/Sheet!53:53</x:v>
      </x:c>
      <x:c r="AI53" s="62" t="str">
        <x:f>IF(F53=MONTH(L53),"OK","FAIL")</x:f>
        <x:v>OK</x:v>
      </x:c>
      <x:c r="AJ53" s="62" t="str">
        <x:f>IF(J53&lt;=L53,"OK","FAIL")</x:f>
        <x:v>OK</x:v>
      </x:c>
      <x:c r="AK53" s="62" t="str">
        <x:f>IF(D53&lt;&gt;"营业收入","OK",IF(AND(P53&lt;0,Q53&gt;0),"OK","FAIL"))</x:f>
        <x:v>OK</x:v>
      </x:c>
      <x:c r="AL53" s="62" t="str">
        <x:f>IF(COUNTIF($A$2:$A$204,A53)=1,"OK","FAIL")</x:f>
        <x:v>OK</x:v>
      </x:c>
    </x:row>
    <x:row r="54">
      <x:c r="A54" s="62" t="str">
        <x:v>DEMO01|2024|DOC1052|10</x:v>
      </x:c>
      <x:c r="B54" s="62" t="str">
        <x:v>SOURCE</x:v>
      </x:c>
      <x:c r="C54" s="62" t="str">
        <x:v>折旧摊销</x:v>
      </x:c>
      <x:c r="D54" s="62" t="str">
        <x:v>折旧摊销</x:v>
      </x:c>
      <x:c r="E54" s="62" t="n">
        <x:v>12</x:v>
      </x:c>
      <x:c r="F54" s="62" t="n">
        <x:v>12</x:v>
      </x:c>
      <x:c r="G54" s="62" t="str">
        <x:v>DOC1052</x:v>
      </x:c>
      <x:c r="H54" s="62" t="n">
        <x:v>10</x:v>
      </x:c>
      <x:c r="I54" s="74" t="n">
        <x:v>45657</x:v>
      </x:c>
      <x:c r="J54" s="74" t="n">
        <x:v>45657</x:v>
      </x:c>
      <x:c r="K54" s="74" t="n">
        <x:v>45657</x:v>
      </x:c>
      <x:c r="L54" s="74" t="n">
        <x:v>45657</x:v>
      </x:c>
      <x:c r="M54" s="77" t="n">
        <x:v>2</x:v>
      </x:c>
      <x:c r="N54" s="77"/>
      <x:c r="O54" s="78"/>
      <x:c r="P54" s="79" t="n">
        <x:f>M54</x:f>
        <x:v>2</x:v>
      </x:c>
      <x:c r="Q54" s="79" t="n">
        <x:f>IF(D54="营业收入",-P54,P54)</x:f>
        <x:v>2</x:v>
      </x:c>
      <x:c r="R54" s="62" t="str">
        <x:v>CNY</x:v>
      </x:c>
      <x:c r="S54" s="62" t="str">
        <x:v>万元</x:v>
      </x:c>
      <x:c r="T54" s="62" t="str">
        <x:v>费用不含税</x:v>
      </x:c>
      <x:c r="U54" s="62" t="str">
        <x:v>技术部</x:v>
      </x:c>
      <x:c r="V54" s="62" t="str">
        <x:v>经验反馈改进折旧摊销分摊</x:v>
      </x:c>
      <x:c r="W54" s="62" t="str">
        <x:v>经验反馈改进折旧摊销分摊</x:v>
      </x:c>
      <x:c r="X54" s="62" t="str">
        <x:v>17</x:v>
      </x:c>
      <x:c r="Y54" s="62" t="str">
        <x:v>17</x:v>
      </x:c>
      <x:c r="Z54" s="62" t="str">
        <x:v>17</x:v>
      </x:c>
      <x:c r="AA54" s="62" t="str">
        <x:v>经验反馈改进</x:v>
      </x:c>
      <x:c r="AB54" s="62" t="str">
        <x:v>PRJ-JS-经验-2024-001</x:v>
      </x:c>
      <x:c r="AC54" s="74" t="n">
        <x:v>45657</x:v>
      </x:c>
      <x:c r="AD54" s="71" t="str">
        <x:v>源记录保留</x:v>
      </x:c>
      <x:c r="AE54" s="71" t="str">
        <x:v>2024年实际执行.xlsx</x:v>
      </x:c>
      <x:c r="AF54" s="71" t="str">
        <x:v>Sheet</x:v>
      </x:c>
      <x:c r="AG54" s="71" t="n">
        <x:v>54</x:v>
      </x:c>
      <x:c r="AH54" s="71" t="str">
        <x:v>2024年实际执行.xlsx/Sheet!54:54</x:v>
      </x:c>
      <x:c r="AI54" s="62" t="str">
        <x:f>IF(F54=MONTH(L54),"OK","FAIL")</x:f>
        <x:v>OK</x:v>
      </x:c>
      <x:c r="AJ54" s="62" t="str">
        <x:f>IF(J54&lt;=L54,"OK","FAIL")</x:f>
        <x:v>OK</x:v>
      </x:c>
      <x:c r="AK54" s="62" t="str">
        <x:f>IF(D54&lt;&gt;"营业收入","OK",IF(AND(P54&lt;0,Q54&gt;0),"OK","FAIL"))</x:f>
        <x:v>OK</x:v>
      </x:c>
      <x:c r="AL54" s="62" t="str">
        <x:f>IF(COUNTIF($A$2:$A$204,A54)=1,"OK","FAIL")</x:f>
        <x:v>OK</x:v>
      </x:c>
    </x:row>
    <x:row r="55">
      <x:c r="A55" s="62" t="str">
        <x:v>DEMO01|2024|DOC1053|10</x:v>
      </x:c>
      <x:c r="B55" s="62" t="str">
        <x:v>SOURCE</x:v>
      </x:c>
      <x:c r="C55" s="62" t="str">
        <x:v>业务支持费</x:v>
      </x:c>
      <x:c r="D55" s="62" t="str">
        <x:v>业务支持费-其他</x:v>
      </x:c>
      <x:c r="E55" s="62" t="n">
        <x:v>12</x:v>
      </x:c>
      <x:c r="F55" s="62" t="n">
        <x:v>12</x:v>
      </x:c>
      <x:c r="G55" s="62" t="str">
        <x:v>DOC1053</x:v>
      </x:c>
      <x:c r="H55" s="62" t="n">
        <x:v>10</x:v>
      </x:c>
      <x:c r="I55" s="74" t="n">
        <x:v>45657</x:v>
      </x:c>
      <x:c r="J55" s="74" t="n">
        <x:v>45657</x:v>
      </x:c>
      <x:c r="K55" s="74" t="n">
        <x:v>45657</x:v>
      </x:c>
      <x:c r="L55" s="74" t="n">
        <x:v>45657</x:v>
      </x:c>
      <x:c r="M55" s="77" t="n">
        <x:v>5.866</x:v>
      </x:c>
      <x:c r="N55" s="77"/>
      <x:c r="O55" s="78"/>
      <x:c r="P55" s="79" t="n">
        <x:f>M55</x:f>
        <x:v>5.866</x:v>
      </x:c>
      <x:c r="Q55" s="79" t="n">
        <x:f>IF(D55="营业收入",-P55,P55)</x:f>
        <x:v>5.866</x:v>
      </x:c>
      <x:c r="R55" s="62" t="str">
        <x:v>CNY</x:v>
      </x:c>
      <x:c r="S55" s="62" t="str">
        <x:v>万元</x:v>
      </x:c>
      <x:c r="T55" s="62" t="str">
        <x:v>费用不含税</x:v>
      </x:c>
      <x:c r="U55" s="62" t="str">
        <x:v>技术部</x:v>
      </x:c>
      <x:c r="V55" s="62" t="str">
        <x:v>计提经验反馈改进_2024年末预提</x:v>
      </x:c>
      <x:c r="W55" s="62" t="str">
        <x:v>计提经验反馈改进_2024年末预提</x:v>
      </x:c>
      <x:c r="X55" s="62" t="str">
        <x:v>华能服务</x:v>
      </x:c>
      <x:c r="Y55" s="62" t="str">
        <x:v>华能服务</x:v>
      </x:c>
      <x:c r="Z55" s="62" t="str">
        <x:v>17</x:v>
      </x:c>
      <x:c r="AA55" s="62" t="str">
        <x:v>经验反馈改进</x:v>
      </x:c>
      <x:c r="AB55" s="62" t="str">
        <x:v>PRJ-JS-经验-2024-001</x:v>
      </x:c>
      <x:c r="AC55" s="74" t="n">
        <x:v>45657</x:v>
      </x:c>
      <x:c r="AD55" s="71" t="str">
        <x:v>源记录保留</x:v>
      </x:c>
      <x:c r="AE55" s="71" t="str">
        <x:v>2024年实际执行.xlsx</x:v>
      </x:c>
      <x:c r="AF55" s="71" t="str">
        <x:v>Sheet</x:v>
      </x:c>
      <x:c r="AG55" s="71" t="n">
        <x:v>55</x:v>
      </x:c>
      <x:c r="AH55" s="71" t="str">
        <x:v>2024年实际执行.xlsx/Sheet!55:55</x:v>
      </x:c>
      <x:c r="AI55" s="62" t="str">
        <x:f>IF(F55=MONTH(L55),"OK","FAIL")</x:f>
        <x:v>OK</x:v>
      </x:c>
      <x:c r="AJ55" s="62" t="str">
        <x:f>IF(J55&lt;=L55,"OK","FAIL")</x:f>
        <x:v>OK</x:v>
      </x:c>
      <x:c r="AK55" s="62" t="str">
        <x:f>IF(D55&lt;&gt;"营业收入","OK",IF(AND(P55&lt;0,Q55&gt;0),"OK","FAIL"))</x:f>
        <x:v>OK</x:v>
      </x:c>
      <x:c r="AL55" s="62" t="str">
        <x:f>IF(COUNTIF($A$2:$A$204,A55)=1,"OK","FAIL")</x:f>
        <x:v>OK</x:v>
      </x:c>
    </x:row>
    <x:row r="56">
      <x:c r="A56" s="62" t="str">
        <x:v>DEMO01|2024|DOC1054|10</x:v>
      </x:c>
      <x:c r="B56" s="62" t="str">
        <x:v>SOURCE</x:v>
      </x:c>
      <x:c r="C56" s="62" t="str">
        <x:v>营业收入</x:v>
      </x:c>
      <x:c r="D56" s="62" t="str">
        <x:v>营业收入</x:v>
      </x:c>
      <x:c r="E56" s="62" t="n">
        <x:v>6</x:v>
      </x:c>
      <x:c r="F56" s="62" t="n">
        <x:v>6</x:v>
      </x:c>
      <x:c r="G56" s="62" t="str">
        <x:v>DOC1054</x:v>
      </x:c>
      <x:c r="H56" s="62" t="n">
        <x:v>10</x:v>
      </x:c>
      <x:c r="I56" s="74" t="n">
        <x:v>45458</x:v>
      </x:c>
      <x:c r="J56" s="74" t="n">
        <x:v>45458</x:v>
      </x:c>
      <x:c r="K56" s="74" t="n">
        <x:v>45458</x:v>
      </x:c>
      <x:c r="L56" s="74" t="n">
        <x:v>45458</x:v>
      </x:c>
      <x:c r="M56" s="77" t="n">
        <x:v>-28</x:v>
      </x:c>
      <x:c r="N56" s="77"/>
      <x:c r="O56" s="78"/>
      <x:c r="P56" s="79" t="n">
        <x:f>M56</x:f>
        <x:v>-28</x:v>
      </x:c>
      <x:c r="Q56" s="79" t="n">
        <x:f>IF(D56="营业收入",-P56,P56)</x:f>
        <x:v>28</x:v>
      </x:c>
      <x:c r="R56" s="62" t="str">
        <x:v>CNY</x:v>
      </x:c>
      <x:c r="S56" s="62" t="str">
        <x:v>万元</x:v>
      </x:c>
      <x:c r="T56" s="62" t="str">
        <x:v>收益；源负号</x:v>
      </x:c>
      <x:c r="U56" s="62" t="str">
        <x:v>技术部</x:v>
      </x:c>
      <x:c r="V56" s="62" t="str">
        <x:v>经验反馈改进收入确认</x:v>
      </x:c>
      <x:c r="W56" s="62" t="str">
        <x:v>经验反馈改进收入确认</x:v>
      </x:c>
      <x:c r="X56" s="62" t="str">
        <x:v>17</x:v>
      </x:c>
      <x:c r="Y56" s="62" t="str">
        <x:v>17</x:v>
      </x:c>
      <x:c r="Z56" s="62" t="str">
        <x:v>17</x:v>
      </x:c>
      <x:c r="AA56" s="62" t="str">
        <x:v>经验反馈改进</x:v>
      </x:c>
      <x:c r="AB56" s="62" t="str">
        <x:v>PRJ-JS-经验-2025-002</x:v>
      </x:c>
      <x:c r="AC56" s="74" t="n">
        <x:v>45657</x:v>
      </x:c>
      <x:c r="AD56" s="71" t="str">
        <x:v>源记录保留</x:v>
      </x:c>
      <x:c r="AE56" s="71" t="str">
        <x:v>2024年实际执行.xlsx</x:v>
      </x:c>
      <x:c r="AF56" s="71" t="str">
        <x:v>Sheet</x:v>
      </x:c>
      <x:c r="AG56" s="71" t="n">
        <x:v>56</x:v>
      </x:c>
      <x:c r="AH56" s="71" t="str">
        <x:v>2024年实际执行.xlsx/Sheet!56:56</x:v>
      </x:c>
      <x:c r="AI56" s="62" t="str">
        <x:f>IF(F56=MONTH(L56),"OK","FAIL")</x:f>
        <x:v>OK</x:v>
      </x:c>
      <x:c r="AJ56" s="62" t="str">
        <x:f>IF(J56&lt;=L56,"OK","FAIL")</x:f>
        <x:v>OK</x:v>
      </x:c>
      <x:c r="AK56" s="62" t="str">
        <x:f>IF(D56&lt;&gt;"营业收入","OK",IF(AND(P56&lt;0,Q56&gt;0),"OK","FAIL"))</x:f>
        <x:v>OK</x:v>
      </x:c>
      <x:c r="AL56" s="62" t="str">
        <x:f>IF(COUNTIF($A$2:$A$204,A56)=1,"OK","FAIL")</x:f>
        <x:v>OK</x:v>
      </x:c>
    </x:row>
    <x:row r="57">
      <x:c r="A57" s="62" t="str">
        <x:v>DEMO01|2024|DOC1055|10</x:v>
      </x:c>
      <x:c r="B57" s="62" t="str">
        <x:v>SOURCE</x:v>
      </x:c>
      <x:c r="C57" s="62" t="str">
        <x:v>会议费</x:v>
      </x:c>
      <x:c r="D57" s="62" t="str">
        <x:v>会议费</x:v>
      </x:c>
      <x:c r="E57" s="62" t="n">
        <x:v>3</x:v>
      </x:c>
      <x:c r="F57" s="62" t="n">
        <x:v>3</x:v>
      </x:c>
      <x:c r="G57" s="62" t="str">
        <x:v>DOC1055</x:v>
      </x:c>
      <x:c r="H57" s="62" t="n">
        <x:v>10</x:v>
      </x:c>
      <x:c r="I57" s="74" t="n">
        <x:v>45366</x:v>
      </x:c>
      <x:c r="J57" s="74" t="n">
        <x:v>45366</x:v>
      </x:c>
      <x:c r="K57" s="74" t="n">
        <x:v>45366</x:v>
      </x:c>
      <x:c r="L57" s="74" t="n">
        <x:v>45366</x:v>
      </x:c>
      <x:c r="M57" s="77" t="n">
        <x:v>0.3787</x:v>
      </x:c>
      <x:c r="N57" s="77"/>
      <x:c r="O57" s="78"/>
      <x:c r="P57" s="79" t="n">
        <x:f>M57</x:f>
        <x:v>0.3787</x:v>
      </x:c>
      <x:c r="Q57" s="79" t="n">
        <x:f>IF(D57="营业收入",-P57,P57)</x:f>
        <x:v>0.3787</x:v>
      </x:c>
      <x:c r="R57" s="62" t="str">
        <x:v>CNY</x:v>
      </x:c>
      <x:c r="S57" s="62" t="str">
        <x:v>万元</x:v>
      </x:c>
      <x:c r="T57" s="62" t="str">
        <x:v>费用不含税</x:v>
      </x:c>
      <x:c r="U57" s="62" t="str">
        <x:v>技术部</x:v>
      </x:c>
      <x:c r="V57" s="62" t="str">
        <x:v>经验反馈改进项目阶段评审会</x:v>
      </x:c>
      <x:c r="W57" s="62" t="str">
        <x:v>经验反馈改进项目阶段评审会</x:v>
      </x:c>
      <x:c r="X57" s="62" t="str">
        <x:v>华能服务</x:v>
      </x:c>
      <x:c r="Y57" s="62" t="str">
        <x:v>华能服务</x:v>
      </x:c>
      <x:c r="Z57" s="62" t="str">
        <x:v>17</x:v>
      </x:c>
      <x:c r="AA57" s="62" t="str">
        <x:v>经验反馈改进</x:v>
      </x:c>
      <x:c r="AB57" s="62" t="str">
        <x:v>PRJ-JS-经验-2025-002</x:v>
      </x:c>
      <x:c r="AC57" s="74" t="n">
        <x:v>45657</x:v>
      </x:c>
      <x:c r="AD57" s="71" t="str">
        <x:v>源记录保留</x:v>
      </x:c>
      <x:c r="AE57" s="71" t="str">
        <x:v>2024年实际执行.xlsx</x:v>
      </x:c>
      <x:c r="AF57" s="71" t="str">
        <x:v>Sheet</x:v>
      </x:c>
      <x:c r="AG57" s="71" t="n">
        <x:v>57</x:v>
      </x:c>
      <x:c r="AH57" s="71" t="str">
        <x:v>2024年实际执行.xlsx/Sheet!57:57</x:v>
      </x:c>
      <x:c r="AI57" s="62" t="str">
        <x:f>IF(F57=MONTH(L57),"OK","FAIL")</x:f>
        <x:v>OK</x:v>
      </x:c>
      <x:c r="AJ57" s="62" t="str">
        <x:f>IF(J57&lt;=L57,"OK","FAIL")</x:f>
        <x:v>OK</x:v>
      </x:c>
      <x:c r="AK57" s="62" t="str">
        <x:f>IF(D57&lt;&gt;"营业收入","OK",IF(AND(P57&lt;0,Q57&gt;0),"OK","FAIL"))</x:f>
        <x:v>OK</x:v>
      </x:c>
      <x:c r="AL57" s="62" t="str">
        <x:f>IF(COUNTIF($A$2:$A$204,A57)=1,"OK","FAIL")</x:f>
        <x:v>OK</x:v>
      </x:c>
    </x:row>
    <x:row r="58">
      <x:c r="A58" s="62" t="str">
        <x:v>DEMO01|2024|DOC1056|10</x:v>
      </x:c>
      <x:c r="B58" s="62" t="str">
        <x:v>SOURCE</x:v>
      </x:c>
      <x:c r="C58" s="62" t="str">
        <x:v>业务支持费</x:v>
      </x:c>
      <x:c r="D58" s="62" t="str">
        <x:v>业务支持费-技术配置</x:v>
      </x:c>
      <x:c r="E58" s="62" t="n">
        <x:v>12</x:v>
      </x:c>
      <x:c r="F58" s="62" t="n">
        <x:v>12</x:v>
      </x:c>
      <x:c r="G58" s="62" t="str">
        <x:v>DOC1056</x:v>
      </x:c>
      <x:c r="H58" s="62" t="n">
        <x:v>10</x:v>
      </x:c>
      <x:c r="I58" s="74" t="n">
        <x:v>45641</x:v>
      </x:c>
      <x:c r="J58" s="74" t="n">
        <x:v>45641</x:v>
      </x:c>
      <x:c r="K58" s="74" t="n">
        <x:v>45641</x:v>
      </x:c>
      <x:c r="L58" s="74" t="n">
        <x:v>45641</x:v>
      </x:c>
      <x:c r="M58" s="77" t="n">
        <x:v>15.148</x:v>
      </x:c>
      <x:c r="N58" s="77"/>
      <x:c r="O58" s="78"/>
      <x:c r="P58" s="79" t="n">
        <x:f>M58</x:f>
        <x:v>15.148</x:v>
      </x:c>
      <x:c r="Q58" s="79" t="n">
        <x:f>IF(D58="营业收入",-P58,P58)</x:f>
        <x:v>15.148</x:v>
      </x:c>
      <x:c r="R58" s="62" t="str">
        <x:v>CNY</x:v>
      </x:c>
      <x:c r="S58" s="62" t="str">
        <x:v>万元</x:v>
      </x:c>
      <x:c r="T58" s="62" t="str">
        <x:v>费用不含税</x:v>
      </x:c>
      <x:c r="U58" s="62" t="str">
        <x:v>技术部</x:v>
      </x:c>
      <x:c r="V58" s="62" t="str">
        <x:v>经验反馈改进技术配置_前期阶段</x:v>
      </x:c>
      <x:c r="W58" s="62" t="str">
        <x:v>经验反馈改进技术配置_前期阶段</x:v>
      </x:c>
      <x:c r="X58" s="62" t="str">
        <x:v>华能服务</x:v>
      </x:c>
      <x:c r="Y58" s="62" t="str">
        <x:v>华能服务</x:v>
      </x:c>
      <x:c r="Z58" s="62" t="str">
        <x:v>17</x:v>
      </x:c>
      <x:c r="AA58" s="62" t="str">
        <x:v>经验反馈改进</x:v>
      </x:c>
      <x:c r="AB58" s="62" t="str">
        <x:v>PRJ-JS-经验-2025-002</x:v>
      </x:c>
      <x:c r="AC58" s="74" t="n">
        <x:v>45657</x:v>
      </x:c>
      <x:c r="AD58" s="71" t="str">
        <x:v>源记录保留</x:v>
      </x:c>
      <x:c r="AE58" s="71" t="str">
        <x:v>2024年实际执行.xlsx</x:v>
      </x:c>
      <x:c r="AF58" s="71" t="str">
        <x:v>Sheet</x:v>
      </x:c>
      <x:c r="AG58" s="71" t="n">
        <x:v>58</x:v>
      </x:c>
      <x:c r="AH58" s="71" t="str">
        <x:v>2024年实际执行.xlsx/Sheet!58:58</x:v>
      </x:c>
      <x:c r="AI58" s="62" t="str">
        <x:f>IF(F58=MONTH(L58),"OK","FAIL")</x:f>
        <x:v>OK</x:v>
      </x:c>
      <x:c r="AJ58" s="62" t="str">
        <x:f>IF(J58&lt;=L58,"OK","FAIL")</x:f>
        <x:v>OK</x:v>
      </x:c>
      <x:c r="AK58" s="62" t="str">
        <x:f>IF(D58&lt;&gt;"营业收入","OK",IF(AND(P58&lt;0,Q58&gt;0),"OK","FAIL"))</x:f>
        <x:v>OK</x:v>
      </x:c>
      <x:c r="AL58" s="62" t="str">
        <x:f>IF(COUNTIF($A$2:$A$204,A58)=1,"OK","FAIL")</x:f>
        <x:v>OK</x:v>
      </x:c>
    </x:row>
    <x:row r="59">
      <x:c r="A59" s="62" t="str">
        <x:v>DEMO01|2024|DOC1057|10</x:v>
      </x:c>
      <x:c r="B59" s="62" t="str">
        <x:v>SOURCE</x:v>
      </x:c>
      <x:c r="C59" s="62" t="str">
        <x:v>生产物料费</x:v>
      </x:c>
      <x:c r="D59" s="62" t="str">
        <x:v>生产物料费</x:v>
      </x:c>
      <x:c r="E59" s="62" t="n">
        <x:v>7</x:v>
      </x:c>
      <x:c r="F59" s="62" t="n">
        <x:v>7</x:v>
      </x:c>
      <x:c r="G59" s="62" t="str">
        <x:v>DOC1057</x:v>
      </x:c>
      <x:c r="H59" s="62" t="n">
        <x:v>10</x:v>
      </x:c>
      <x:c r="I59" s="74" t="n">
        <x:v>45488</x:v>
      </x:c>
      <x:c r="J59" s="74" t="n">
        <x:v>45488</x:v>
      </x:c>
      <x:c r="K59" s="74" t="n">
        <x:v>45488</x:v>
      </x:c>
      <x:c r="L59" s="74" t="n">
        <x:v>45488</x:v>
      </x:c>
      <x:c r="M59" s="77" t="n">
        <x:v>5.6805</x:v>
      </x:c>
      <x:c r="N59" s="77"/>
      <x:c r="O59" s="78"/>
      <x:c r="P59" s="79" t="n">
        <x:f>M59</x:f>
        <x:v>5.6805</x:v>
      </x:c>
      <x:c r="Q59" s="79" t="n">
        <x:f>IF(D59="营业收入",-P59,P59)</x:f>
        <x:v>5.6805</x:v>
      </x:c>
      <x:c r="R59" s="62" t="str">
        <x:v>CNY</x:v>
      </x:c>
      <x:c r="S59" s="62" t="str">
        <x:v>万元</x:v>
      </x:c>
      <x:c r="T59" s="62" t="str">
        <x:v>费用不含税</x:v>
      </x:c>
      <x:c r="U59" s="62" t="str">
        <x:v>技术部</x:v>
      </x:c>
      <x:c r="V59" s="62" t="str">
        <x:v>经验反馈改进现场物料采购</x:v>
      </x:c>
      <x:c r="W59" s="62" t="str">
        <x:v>经验反馈改进现场物料采购</x:v>
      </x:c>
      <x:c r="X59" s="62" t="str">
        <x:v>华能服务</x:v>
      </x:c>
      <x:c r="Y59" s="62" t="str">
        <x:v>华能服务</x:v>
      </x:c>
      <x:c r="Z59" s="62" t="str">
        <x:v>17</x:v>
      </x:c>
      <x:c r="AA59" s="62" t="str">
        <x:v>经验反馈改进</x:v>
      </x:c>
      <x:c r="AB59" s="62" t="str">
        <x:v>PRJ-JS-经验-2025-002</x:v>
      </x:c>
      <x:c r="AC59" s="74" t="n">
        <x:v>45657</x:v>
      </x:c>
      <x:c r="AD59" s="71" t="str">
        <x:v>源记录保留</x:v>
      </x:c>
      <x:c r="AE59" s="71" t="str">
        <x:v>2024年实际执行.xlsx</x:v>
      </x:c>
      <x:c r="AF59" s="71" t="str">
        <x:v>Sheet</x:v>
      </x:c>
      <x:c r="AG59" s="71" t="n">
        <x:v>59</x:v>
      </x:c>
      <x:c r="AH59" s="71" t="str">
        <x:v>2024年实际执行.xlsx/Sheet!59:59</x:v>
      </x:c>
      <x:c r="AI59" s="62" t="str">
        <x:f>IF(F59=MONTH(L59),"OK","FAIL")</x:f>
        <x:v>OK</x:v>
      </x:c>
      <x:c r="AJ59" s="62" t="str">
        <x:f>IF(J59&lt;=L59,"OK","FAIL")</x:f>
        <x:v>OK</x:v>
      </x:c>
      <x:c r="AK59" s="62" t="str">
        <x:f>IF(D59&lt;&gt;"营业收入","OK",IF(AND(P59&lt;0,Q59&gt;0),"OK","FAIL"))</x:f>
        <x:v>OK</x:v>
      </x:c>
      <x:c r="AL59" s="62" t="str">
        <x:f>IF(COUNTIF($A$2:$A$204,A59)=1,"OK","FAIL")</x:f>
        <x:v>OK</x:v>
      </x:c>
    </x:row>
    <x:row r="60">
      <x:c r="A60" s="62" t="str">
        <x:v>DEMO01|2024|DOC1058|10</x:v>
      </x:c>
      <x:c r="B60" s="62" t="str">
        <x:v>SOURCE</x:v>
      </x:c>
      <x:c r="C60" s="62" t="str">
        <x:v>办公费</x:v>
      </x:c>
      <x:c r="D60" s="62" t="str">
        <x:v>办公费</x:v>
      </x:c>
      <x:c r="E60" s="62" t="n">
        <x:v>6</x:v>
      </x:c>
      <x:c r="F60" s="62" t="n">
        <x:v>6</x:v>
      </x:c>
      <x:c r="G60" s="62" t="str">
        <x:v>DOC1058</x:v>
      </x:c>
      <x:c r="H60" s="62" t="n">
        <x:v>10</x:v>
      </x:c>
      <x:c r="I60" s="74" t="n">
        <x:v>45458</x:v>
      </x:c>
      <x:c r="J60" s="74" t="n">
        <x:v>45458</x:v>
      </x:c>
      <x:c r="K60" s="74" t="n">
        <x:v>45458</x:v>
      </x:c>
      <x:c r="L60" s="74" t="n">
        <x:v>45458</x:v>
      </x:c>
      <x:c r="M60" s="77" t="n">
        <x:v>1.1361</x:v>
      </x:c>
      <x:c r="N60" s="77"/>
      <x:c r="O60" s="78"/>
      <x:c r="P60" s="79" t="n">
        <x:f>M60</x:f>
        <x:v>1.1361</x:v>
      </x:c>
      <x:c r="Q60" s="79" t="n">
        <x:f>IF(D60="营业收入",-P60,P60)</x:f>
        <x:v>1.1361</x:v>
      </x:c>
      <x:c r="R60" s="62" t="str">
        <x:v>CNY</x:v>
      </x:c>
      <x:c r="S60" s="62" t="str">
        <x:v>万元</x:v>
      </x:c>
      <x:c r="T60" s="62" t="str">
        <x:v>费用不含税</x:v>
      </x:c>
      <x:c r="U60" s="62" t="str">
        <x:v>技术部</x:v>
      </x:c>
      <x:c r="V60" s="62" t="str">
        <x:v>经验反馈改进日常办公</x:v>
      </x:c>
      <x:c r="W60" s="62" t="str">
        <x:v>经验反馈改进日常办公</x:v>
      </x:c>
      <x:c r="X60" s="62" t="str">
        <x:v>华能服务</x:v>
      </x:c>
      <x:c r="Y60" s="62" t="str">
        <x:v>华能服务</x:v>
      </x:c>
      <x:c r="Z60" s="62" t="str">
        <x:v>17</x:v>
      </x:c>
      <x:c r="AA60" s="62" t="str">
        <x:v>经验反馈改进</x:v>
      </x:c>
      <x:c r="AB60" s="62" t="str">
        <x:v>PRJ-JS-经验-2025-002</x:v>
      </x:c>
      <x:c r="AC60" s="74" t="n">
        <x:v>45657</x:v>
      </x:c>
      <x:c r="AD60" s="71" t="str">
        <x:v>源记录保留</x:v>
      </x:c>
      <x:c r="AE60" s="71" t="str">
        <x:v>2024年实际执行.xlsx</x:v>
      </x:c>
      <x:c r="AF60" s="71" t="str">
        <x:v>Sheet</x:v>
      </x:c>
      <x:c r="AG60" s="71" t="n">
        <x:v>60</x:v>
      </x:c>
      <x:c r="AH60" s="71" t="str">
        <x:v>2024年实际执行.xlsx/Sheet!60:60</x:v>
      </x:c>
      <x:c r="AI60" s="62" t="str">
        <x:f>IF(F60=MONTH(L60),"OK","FAIL")</x:f>
        <x:v>OK</x:v>
      </x:c>
      <x:c r="AJ60" s="62" t="str">
        <x:f>IF(J60&lt;=L60,"OK","FAIL")</x:f>
        <x:v>OK</x:v>
      </x:c>
      <x:c r="AK60" s="62" t="str">
        <x:f>IF(D60&lt;&gt;"营业收入","OK",IF(AND(P60&lt;0,Q60&gt;0),"OK","FAIL"))</x:f>
        <x:v>OK</x:v>
      </x:c>
      <x:c r="AL60" s="62" t="str">
        <x:f>IF(COUNTIF($A$2:$A$204,A60)=1,"OK","FAIL")</x:f>
        <x:v>OK</x:v>
      </x:c>
    </x:row>
    <x:row r="61">
      <x:c r="A61" s="62" t="str">
        <x:v>DEMO01|2024|DOC1059|10</x:v>
      </x:c>
      <x:c r="B61" s="62" t="str">
        <x:v>SOURCE</x:v>
      </x:c>
      <x:c r="C61" s="62" t="str">
        <x:v>人工成本</x:v>
      </x:c>
      <x:c r="D61" s="62" t="str">
        <x:v>人工成本</x:v>
      </x:c>
      <x:c r="E61" s="62" t="n">
        <x:v>6</x:v>
      </x:c>
      <x:c r="F61" s="62" t="n">
        <x:v>6</x:v>
      </x:c>
      <x:c r="G61" s="62" t="str">
        <x:v>DOC1059</x:v>
      </x:c>
      <x:c r="H61" s="62" t="n">
        <x:v>10</x:v>
      </x:c>
      <x:c r="I61" s="74" t="n">
        <x:v>45473</x:v>
      </x:c>
      <x:c r="J61" s="74" t="n">
        <x:v>45473</x:v>
      </x:c>
      <x:c r="K61" s="74" t="n">
        <x:v>45473</x:v>
      </x:c>
      <x:c r="L61" s="74" t="n">
        <x:v>45473</x:v>
      </x:c>
      <x:c r="M61" s="77" t="n">
        <x:v>9</x:v>
      </x:c>
      <x:c r="N61" s="77"/>
      <x:c r="O61" s="78"/>
      <x:c r="P61" s="79" t="n">
        <x:f>M61</x:f>
        <x:v>9</x:v>
      </x:c>
      <x:c r="Q61" s="79" t="n">
        <x:f>IF(D61="营业收入",-P61,P61)</x:f>
        <x:v>9</x:v>
      </x:c>
      <x:c r="R61" s="62" t="str">
        <x:v>CNY</x:v>
      </x:c>
      <x:c r="S61" s="62" t="str">
        <x:v>万元</x:v>
      </x:c>
      <x:c r="T61" s="62" t="str">
        <x:v>费用不含税</x:v>
      </x:c>
      <x:c r="U61" s="62" t="str">
        <x:v>技术部</x:v>
      </x:c>
      <x:c r="V61" s="62" t="str">
        <x:v>经验反馈改进人工成本分摊</x:v>
      </x:c>
      <x:c r="W61" s="62" t="str">
        <x:v>经验反馈改进人工成本分摊</x:v>
      </x:c>
      <x:c r="X61" s="62" t="str">
        <x:v>17</x:v>
      </x:c>
      <x:c r="Y61" s="62" t="str">
        <x:v>17</x:v>
      </x:c>
      <x:c r="Z61" s="62" t="str">
        <x:v>17</x:v>
      </x:c>
      <x:c r="AA61" s="62" t="str">
        <x:v>经验反馈改进</x:v>
      </x:c>
      <x:c r="AB61" s="62" t="str">
        <x:v>PRJ-JS-经验-2025-002</x:v>
      </x:c>
      <x:c r="AC61" s="74" t="n">
        <x:v>45657</x:v>
      </x:c>
      <x:c r="AD61" s="71" t="str">
        <x:v>源记录保留</x:v>
      </x:c>
      <x:c r="AE61" s="71" t="str">
        <x:v>2024年实际执行.xlsx</x:v>
      </x:c>
      <x:c r="AF61" s="71" t="str">
        <x:v>Sheet</x:v>
      </x:c>
      <x:c r="AG61" s="71" t="n">
        <x:v>61</x:v>
      </x:c>
      <x:c r="AH61" s="71" t="str">
        <x:v>2024年实际执行.xlsx/Sheet!61:61</x:v>
      </x:c>
      <x:c r="AI61" s="62" t="str">
        <x:f>IF(F61=MONTH(L61),"OK","FAIL")</x:f>
        <x:v>OK</x:v>
      </x:c>
      <x:c r="AJ61" s="62" t="str">
        <x:f>IF(J61&lt;=L61,"OK","FAIL")</x:f>
        <x:v>OK</x:v>
      </x:c>
      <x:c r="AK61" s="62" t="str">
        <x:f>IF(D61&lt;&gt;"营业收入","OK",IF(AND(P61&lt;0,Q61&gt;0),"OK","FAIL"))</x:f>
        <x:v>OK</x:v>
      </x:c>
      <x:c r="AL61" s="62" t="str">
        <x:f>IF(COUNTIF($A$2:$A$204,A61)=1,"OK","FAIL")</x:f>
        <x:v>OK</x:v>
      </x:c>
    </x:row>
    <x:row r="62">
      <x:c r="A62" s="62" t="str">
        <x:v>DEMO01|2024|DOC1060|10</x:v>
      </x:c>
      <x:c r="B62" s="62" t="str">
        <x:v>SOURCE</x:v>
      </x:c>
      <x:c r="C62" s="62" t="str">
        <x:v>折旧摊销</x:v>
      </x:c>
      <x:c r="D62" s="62" t="str">
        <x:v>折旧摊销</x:v>
      </x:c>
      <x:c r="E62" s="62" t="n">
        <x:v>12</x:v>
      </x:c>
      <x:c r="F62" s="62" t="n">
        <x:v>12</x:v>
      </x:c>
      <x:c r="G62" s="62" t="str">
        <x:v>DOC1060</x:v>
      </x:c>
      <x:c r="H62" s="62" t="n">
        <x:v>10</x:v>
      </x:c>
      <x:c r="I62" s="74" t="n">
        <x:v>45657</x:v>
      </x:c>
      <x:c r="J62" s="74" t="n">
        <x:v>45657</x:v>
      </x:c>
      <x:c r="K62" s="74" t="n">
        <x:v>45657</x:v>
      </x:c>
      <x:c r="L62" s="74" t="n">
        <x:v>45657</x:v>
      </x:c>
      <x:c r="M62" s="77" t="n">
        <x:v>2</x:v>
      </x:c>
      <x:c r="N62" s="77"/>
      <x:c r="O62" s="78"/>
      <x:c r="P62" s="79" t="n">
        <x:f>M62</x:f>
        <x:v>2</x:v>
      </x:c>
      <x:c r="Q62" s="79" t="n">
        <x:f>IF(D62="营业收入",-P62,P62)</x:f>
        <x:v>2</x:v>
      </x:c>
      <x:c r="R62" s="62" t="str">
        <x:v>CNY</x:v>
      </x:c>
      <x:c r="S62" s="62" t="str">
        <x:v>万元</x:v>
      </x:c>
      <x:c r="T62" s="62" t="str">
        <x:v>费用不含税</x:v>
      </x:c>
      <x:c r="U62" s="62" t="str">
        <x:v>技术部</x:v>
      </x:c>
      <x:c r="V62" s="62" t="str">
        <x:v>经验反馈改进折旧摊销分摊</x:v>
      </x:c>
      <x:c r="W62" s="62" t="str">
        <x:v>经验反馈改进折旧摊销分摊</x:v>
      </x:c>
      <x:c r="X62" s="62" t="str">
        <x:v>17</x:v>
      </x:c>
      <x:c r="Y62" s="62" t="str">
        <x:v>17</x:v>
      </x:c>
      <x:c r="Z62" s="62" t="str">
        <x:v>17</x:v>
      </x:c>
      <x:c r="AA62" s="62" t="str">
        <x:v>经验反馈改进</x:v>
      </x:c>
      <x:c r="AB62" s="62" t="str">
        <x:v>PRJ-JS-经验-2025-002</x:v>
      </x:c>
      <x:c r="AC62" s="74" t="n">
        <x:v>45657</x:v>
      </x:c>
      <x:c r="AD62" s="71" t="str">
        <x:v>源记录保留</x:v>
      </x:c>
      <x:c r="AE62" s="71" t="str">
        <x:v>2024年实际执行.xlsx</x:v>
      </x:c>
      <x:c r="AF62" s="71" t="str">
        <x:v>Sheet</x:v>
      </x:c>
      <x:c r="AG62" s="71" t="n">
        <x:v>62</x:v>
      </x:c>
      <x:c r="AH62" s="71" t="str">
        <x:v>2024年实际执行.xlsx/Sheet!62:62</x:v>
      </x:c>
      <x:c r="AI62" s="62" t="str">
        <x:f>IF(F62=MONTH(L62),"OK","FAIL")</x:f>
        <x:v>OK</x:v>
      </x:c>
      <x:c r="AJ62" s="62" t="str">
        <x:f>IF(J62&lt;=L62,"OK","FAIL")</x:f>
        <x:v>OK</x:v>
      </x:c>
      <x:c r="AK62" s="62" t="str">
        <x:f>IF(D62&lt;&gt;"营业收入","OK",IF(AND(P62&lt;0,Q62&gt;0),"OK","FAIL"))</x:f>
        <x:v>OK</x:v>
      </x:c>
      <x:c r="AL62" s="62" t="str">
        <x:f>IF(COUNTIF($A$2:$A$204,A62)=1,"OK","FAIL")</x:f>
        <x:v>OK</x:v>
      </x:c>
    </x:row>
    <x:row r="63">
      <x:c r="A63" s="62" t="str">
        <x:v>DEMO01|2024|DOC1061|10</x:v>
      </x:c>
      <x:c r="B63" s="62" t="str">
        <x:v>SOURCE</x:v>
      </x:c>
      <x:c r="C63" s="62" t="str">
        <x:v>业务支持费</x:v>
      </x:c>
      <x:c r="D63" s="62" t="str">
        <x:v>业务支持费-其他</x:v>
      </x:c>
      <x:c r="E63" s="62" t="n">
        <x:v>12</x:v>
      </x:c>
      <x:c r="F63" s="62" t="n">
        <x:v>12</x:v>
      </x:c>
      <x:c r="G63" s="62" t="str">
        <x:v>DOC1061</x:v>
      </x:c>
      <x:c r="H63" s="62" t="n">
        <x:v>10</x:v>
      </x:c>
      <x:c r="I63" s="74" t="n">
        <x:v>45657</x:v>
      </x:c>
      <x:c r="J63" s="74" t="n">
        <x:v>45657</x:v>
      </x:c>
      <x:c r="K63" s="74" t="n">
        <x:v>45657</x:v>
      </x:c>
      <x:c r="L63" s="74" t="n">
        <x:v>45657</x:v>
      </x:c>
      <x:c r="M63" s="77" t="n">
        <x:v>5.6805</x:v>
      </x:c>
      <x:c r="N63" s="77"/>
      <x:c r="O63" s="78"/>
      <x:c r="P63" s="79" t="n">
        <x:f>M63</x:f>
        <x:v>5.6805</x:v>
      </x:c>
      <x:c r="Q63" s="79" t="n">
        <x:f>IF(D63="营业收入",-P63,P63)</x:f>
        <x:v>5.6805</x:v>
      </x:c>
      <x:c r="R63" s="62" t="str">
        <x:v>CNY</x:v>
      </x:c>
      <x:c r="S63" s="62" t="str">
        <x:v>万元</x:v>
      </x:c>
      <x:c r="T63" s="62" t="str">
        <x:v>费用不含税</x:v>
      </x:c>
      <x:c r="U63" s="62" t="str">
        <x:v>技术部</x:v>
      </x:c>
      <x:c r="V63" s="62" t="str">
        <x:v>计提经验反馈改进_2024年末预提</x:v>
      </x:c>
      <x:c r="W63" s="62" t="str">
        <x:v>计提经验反馈改进_2024年末预提</x:v>
      </x:c>
      <x:c r="X63" s="62" t="str">
        <x:v>华能服务</x:v>
      </x:c>
      <x:c r="Y63" s="62" t="str">
        <x:v>华能服务</x:v>
      </x:c>
      <x:c r="Z63" s="62" t="str">
        <x:v>17</x:v>
      </x:c>
      <x:c r="AA63" s="62" t="str">
        <x:v>经验反馈改进</x:v>
      </x:c>
      <x:c r="AB63" s="62" t="str">
        <x:v>PRJ-JS-经验-2025-002</x:v>
      </x:c>
      <x:c r="AC63" s="74" t="n">
        <x:v>45657</x:v>
      </x:c>
      <x:c r="AD63" s="71" t="str">
        <x:v>源记录保留</x:v>
      </x:c>
      <x:c r="AE63" s="71" t="str">
        <x:v>2024年实际执行.xlsx</x:v>
      </x:c>
      <x:c r="AF63" s="71" t="str">
        <x:v>Sheet</x:v>
      </x:c>
      <x:c r="AG63" s="71" t="n">
        <x:v>63</x:v>
      </x:c>
      <x:c r="AH63" s="71" t="str">
        <x:v>2024年实际执行.xlsx/Sheet!63:63</x:v>
      </x:c>
      <x:c r="AI63" s="62" t="str">
        <x:f>IF(F63=MONTH(L63),"OK","FAIL")</x:f>
        <x:v>OK</x:v>
      </x:c>
      <x:c r="AJ63" s="62" t="str">
        <x:f>IF(J63&lt;=L63,"OK","FAIL")</x:f>
        <x:v>OK</x:v>
      </x:c>
      <x:c r="AK63" s="62" t="str">
        <x:f>IF(D63&lt;&gt;"营业收入","OK",IF(AND(P63&lt;0,Q63&gt;0),"OK","FAIL"))</x:f>
        <x:v>OK</x:v>
      </x:c>
      <x:c r="AL63" s="62" t="str">
        <x:f>IF(COUNTIF($A$2:$A$204,A63)=1,"OK","FAIL")</x:f>
        <x:v>OK</x:v>
      </x:c>
    </x:row>
    <x:row r="64">
      <x:c r="A64" s="62" t="str">
        <x:v>DEMO01|2024|DOC1062|10</x:v>
      </x:c>
      <x:c r="B64" s="62" t="str">
        <x:v>SOURCE</x:v>
      </x:c>
      <x:c r="C64" s="62" t="str">
        <x:v>营业收入</x:v>
      </x:c>
      <x:c r="D64" s="62" t="str">
        <x:v>营业收入</x:v>
      </x:c>
      <x:c r="E64" s="62" t="n">
        <x:v>6</x:v>
      </x:c>
      <x:c r="F64" s="62" t="n">
        <x:v>6</x:v>
      </x:c>
      <x:c r="G64" s="62" t="str">
        <x:v>DOC1062</x:v>
      </x:c>
      <x:c r="H64" s="62" t="n">
        <x:v>10</x:v>
      </x:c>
      <x:c r="I64" s="74" t="n">
        <x:v>45458</x:v>
      </x:c>
      <x:c r="J64" s="74" t="n">
        <x:v>45458</x:v>
      </x:c>
      <x:c r="K64" s="74" t="n">
        <x:v>45458</x:v>
      </x:c>
      <x:c r="L64" s="74" t="n">
        <x:v>45458</x:v>
      </x:c>
      <x:c r="M64" s="77" t="n">
        <x:v>-26</x:v>
      </x:c>
      <x:c r="N64" s="77"/>
      <x:c r="O64" s="78"/>
      <x:c r="P64" s="79" t="n">
        <x:f>M64</x:f>
        <x:v>-26</x:v>
      </x:c>
      <x:c r="Q64" s="79" t="n">
        <x:f>IF(D64="营业收入",-P64,P64)</x:f>
        <x:v>26</x:v>
      </x:c>
      <x:c r="R64" s="62" t="str">
        <x:v>CNY</x:v>
      </x:c>
      <x:c r="S64" s="62" t="str">
        <x:v>万元</x:v>
      </x:c>
      <x:c r="T64" s="62" t="str">
        <x:v>收益；源负号</x:v>
      </x:c>
      <x:c r="U64" s="62" t="str">
        <x:v>技术部</x:v>
      </x:c>
      <x:c r="V64" s="62" t="str">
        <x:v>经验反馈改进收入确认</x:v>
      </x:c>
      <x:c r="W64" s="62" t="str">
        <x:v>经验反馈改进收入确认</x:v>
      </x:c>
      <x:c r="X64" s="62" t="str">
        <x:v>17</x:v>
      </x:c>
      <x:c r="Y64" s="62" t="str">
        <x:v>17</x:v>
      </x:c>
      <x:c r="Z64" s="62" t="str">
        <x:v>17</x:v>
      </x:c>
      <x:c r="AA64" s="62" t="str">
        <x:v>经验反馈改进</x:v>
      </x:c>
      <x:c r="AB64" s="62" t="str">
        <x:v>PRJ-JS-经验-2025-003</x:v>
      </x:c>
      <x:c r="AC64" s="74" t="n">
        <x:v>45657</x:v>
      </x:c>
      <x:c r="AD64" s="71" t="str">
        <x:v>源记录保留</x:v>
      </x:c>
      <x:c r="AE64" s="71" t="str">
        <x:v>2024年实际执行.xlsx</x:v>
      </x:c>
      <x:c r="AF64" s="71" t="str">
        <x:v>Sheet</x:v>
      </x:c>
      <x:c r="AG64" s="71" t="n">
        <x:v>64</x:v>
      </x:c>
      <x:c r="AH64" s="71" t="str">
        <x:v>2024年实际执行.xlsx/Sheet!64:64</x:v>
      </x:c>
      <x:c r="AI64" s="62" t="str">
        <x:f>IF(F64=MONTH(L64),"OK","FAIL")</x:f>
        <x:v>OK</x:v>
      </x:c>
      <x:c r="AJ64" s="62" t="str">
        <x:f>IF(J64&lt;=L64,"OK","FAIL")</x:f>
        <x:v>OK</x:v>
      </x:c>
      <x:c r="AK64" s="62" t="str">
        <x:f>IF(D64&lt;&gt;"营业收入","OK",IF(AND(P64&lt;0,Q64&gt;0),"OK","FAIL"))</x:f>
        <x:v>OK</x:v>
      </x:c>
      <x:c r="AL64" s="62" t="str">
        <x:f>IF(COUNTIF($A$2:$A$204,A64)=1,"OK","FAIL")</x:f>
        <x:v>OK</x:v>
      </x:c>
    </x:row>
    <x:row r="65">
      <x:c r="A65" s="62" t="str">
        <x:v>DEMO01|2024|DOC1063|10</x:v>
      </x:c>
      <x:c r="B65" s="62" t="str">
        <x:v>SOURCE</x:v>
      </x:c>
      <x:c r="C65" s="62" t="str">
        <x:v>会议费</x:v>
      </x:c>
      <x:c r="D65" s="62" t="str">
        <x:v>会议费</x:v>
      </x:c>
      <x:c r="E65" s="62" t="n">
        <x:v>3</x:v>
      </x:c>
      <x:c r="F65" s="62" t="n">
        <x:v>3</x:v>
      </x:c>
      <x:c r="G65" s="62" t="str">
        <x:v>DOC1063</x:v>
      </x:c>
      <x:c r="H65" s="62" t="n">
        <x:v>10</x:v>
      </x:c>
      <x:c r="I65" s="74" t="n">
        <x:v>45366</x:v>
      </x:c>
      <x:c r="J65" s="74" t="n">
        <x:v>45366</x:v>
      </x:c>
      <x:c r="K65" s="74" t="n">
        <x:v>45366</x:v>
      </x:c>
      <x:c r="L65" s="74" t="n">
        <x:v>45366</x:v>
      </x:c>
      <x:c r="M65" s="77" t="n">
        <x:v>0.354666666666667</x:v>
      </x:c>
      <x:c r="N65" s="77"/>
      <x:c r="O65" s="78"/>
      <x:c r="P65" s="79" t="n">
        <x:f>M65</x:f>
        <x:v>0.354666666666667</x:v>
      </x:c>
      <x:c r="Q65" s="79" t="n">
        <x:f>IF(D65="营业收入",-P65,P65)</x:f>
        <x:v>0.354666666666667</x:v>
      </x:c>
      <x:c r="R65" s="62" t="str">
        <x:v>CNY</x:v>
      </x:c>
      <x:c r="S65" s="62" t="str">
        <x:v>万元</x:v>
      </x:c>
      <x:c r="T65" s="62" t="str">
        <x:v>费用不含税</x:v>
      </x:c>
      <x:c r="U65" s="62" t="str">
        <x:v>技术部</x:v>
      </x:c>
      <x:c r="V65" s="62" t="str">
        <x:v>经验反馈改进项目阶段评审会</x:v>
      </x:c>
      <x:c r="W65" s="62" t="str">
        <x:v>经验反馈改进项目阶段评审会</x:v>
      </x:c>
      <x:c r="X65" s="62" t="str">
        <x:v>国电智深</x:v>
      </x:c>
      <x:c r="Y65" s="62" t="str">
        <x:v>国电智深</x:v>
      </x:c>
      <x:c r="Z65" s="62" t="str">
        <x:v>17</x:v>
      </x:c>
      <x:c r="AA65" s="62" t="str">
        <x:v>经验反馈改进</x:v>
      </x:c>
      <x:c r="AB65" s="62" t="str">
        <x:v>PRJ-JS-经验-2025-003</x:v>
      </x:c>
      <x:c r="AC65" s="74" t="n">
        <x:v>45657</x:v>
      </x:c>
      <x:c r="AD65" s="71" t="str">
        <x:v>源记录保留</x:v>
      </x:c>
      <x:c r="AE65" s="71" t="str">
        <x:v>2024年实际执行.xlsx</x:v>
      </x:c>
      <x:c r="AF65" s="71" t="str">
        <x:v>Sheet</x:v>
      </x:c>
      <x:c r="AG65" s="71" t="n">
        <x:v>65</x:v>
      </x:c>
      <x:c r="AH65" s="71" t="str">
        <x:v>2024年实际执行.xlsx/Sheet!65:65</x:v>
      </x:c>
      <x:c r="AI65" s="62" t="str">
        <x:f>IF(F65=MONTH(L65),"OK","FAIL")</x:f>
        <x:v>OK</x:v>
      </x:c>
      <x:c r="AJ65" s="62" t="str">
        <x:f>IF(J65&lt;=L65,"OK","FAIL")</x:f>
        <x:v>OK</x:v>
      </x:c>
      <x:c r="AK65" s="62" t="str">
        <x:f>IF(D65&lt;&gt;"营业收入","OK",IF(AND(P65&lt;0,Q65&gt;0),"OK","FAIL"))</x:f>
        <x:v>OK</x:v>
      </x:c>
      <x:c r="AL65" s="62" t="str">
        <x:f>IF(COUNTIF($A$2:$A$204,A65)=1,"OK","FAIL")</x:f>
        <x:v>OK</x:v>
      </x:c>
    </x:row>
    <x:row r="66">
      <x:c r="A66" s="62" t="str">
        <x:v>DEMO01|2024|DOC1064|10</x:v>
      </x:c>
      <x:c r="B66" s="62" t="str">
        <x:v>SOURCE</x:v>
      </x:c>
      <x:c r="C66" s="62" t="str">
        <x:v>业务支持费</x:v>
      </x:c>
      <x:c r="D66" s="62" t="str">
        <x:v>业务支持费-技术配置</x:v>
      </x:c>
      <x:c r="E66" s="62" t="n">
        <x:v>4</x:v>
      </x:c>
      <x:c r="F66" s="62" t="n">
        <x:v>4</x:v>
      </x:c>
      <x:c r="G66" s="62" t="str">
        <x:v>DOC1064</x:v>
      </x:c>
      <x:c r="H66" s="62" t="n">
        <x:v>10</x:v>
      </x:c>
      <x:c r="I66" s="74" t="n">
        <x:v>45397</x:v>
      </x:c>
      <x:c r="J66" s="74" t="n">
        <x:v>45397</x:v>
      </x:c>
      <x:c r="K66" s="74" t="n">
        <x:v>45397</x:v>
      </x:c>
      <x:c r="L66" s="74" t="n">
        <x:v>45397</x:v>
      </x:c>
      <x:c r="M66" s="77" t="n">
        <x:v>14.1866666666667</x:v>
      </x:c>
      <x:c r="N66" s="77"/>
      <x:c r="O66" s="78"/>
      <x:c r="P66" s="79" t="n">
        <x:f>M66</x:f>
        <x:v>14.1866666666667</x:v>
      </x:c>
      <x:c r="Q66" s="79" t="n">
        <x:f>IF(D66="营业收入",-P66,P66)</x:f>
        <x:v>14.1866666666667</x:v>
      </x:c>
      <x:c r="R66" s="62" t="str">
        <x:v>CNY</x:v>
      </x:c>
      <x:c r="S66" s="62" t="str">
        <x:v>万元</x:v>
      </x:c>
      <x:c r="T66" s="62" t="str">
        <x:v>费用不含税</x:v>
      </x:c>
      <x:c r="U66" s="62" t="str">
        <x:v>技术部</x:v>
      </x:c>
      <x:c r="V66" s="62" t="str">
        <x:v>经验反馈改进技术配置_前期阶段</x:v>
      </x:c>
      <x:c r="W66" s="62" t="str">
        <x:v>经验反馈改进技术配置_前期阶段</x:v>
      </x:c>
      <x:c r="X66" s="62" t="str">
        <x:v>国电智深</x:v>
      </x:c>
      <x:c r="Y66" s="62" t="str">
        <x:v>国电智深</x:v>
      </x:c>
      <x:c r="Z66" s="62" t="str">
        <x:v>17</x:v>
      </x:c>
      <x:c r="AA66" s="62" t="str">
        <x:v>经验反馈改进</x:v>
      </x:c>
      <x:c r="AB66" s="62" t="str">
        <x:v>PRJ-JS-经验-2025-003</x:v>
      </x:c>
      <x:c r="AC66" s="74" t="n">
        <x:v>45657</x:v>
      </x:c>
      <x:c r="AD66" s="71" t="str">
        <x:v>源记录保留</x:v>
      </x:c>
      <x:c r="AE66" s="71" t="str">
        <x:v>2024年实际执行.xlsx</x:v>
      </x:c>
      <x:c r="AF66" s="71" t="str">
        <x:v>Sheet</x:v>
      </x:c>
      <x:c r="AG66" s="71" t="n">
        <x:v>66</x:v>
      </x:c>
      <x:c r="AH66" s="71" t="str">
        <x:v>2024年实际执行.xlsx/Sheet!66:66</x:v>
      </x:c>
      <x:c r="AI66" s="62" t="str">
        <x:f>IF(F66=MONTH(L66),"OK","FAIL")</x:f>
        <x:v>OK</x:v>
      </x:c>
      <x:c r="AJ66" s="62" t="str">
        <x:f>IF(J66&lt;=L66,"OK","FAIL")</x:f>
        <x:v>OK</x:v>
      </x:c>
      <x:c r="AK66" s="62" t="str">
        <x:f>IF(D66&lt;&gt;"营业收入","OK",IF(AND(P66&lt;0,Q66&gt;0),"OK","FAIL"))</x:f>
        <x:v>OK</x:v>
      </x:c>
      <x:c r="AL66" s="62" t="str">
        <x:f>IF(COUNTIF($A$2:$A$204,A66)=1,"OK","FAIL")</x:f>
        <x:v>OK</x:v>
      </x:c>
    </x:row>
    <x:row r="67">
      <x:c r="A67" s="62" t="str">
        <x:v>DEMO01|2024|DOC1065|10</x:v>
      </x:c>
      <x:c r="B67" s="62" t="str">
        <x:v>SOURCE</x:v>
      </x:c>
      <x:c r="C67" s="62" t="str">
        <x:v>生产物料费</x:v>
      </x:c>
      <x:c r="D67" s="62" t="str">
        <x:v>生产物料费</x:v>
      </x:c>
      <x:c r="E67" s="62" t="n">
        <x:v>6</x:v>
      </x:c>
      <x:c r="F67" s="62" t="n">
        <x:v>6</x:v>
      </x:c>
      <x:c r="G67" s="62" t="str">
        <x:v>DOC1065</x:v>
      </x:c>
      <x:c r="H67" s="62" t="n">
        <x:v>10</x:v>
      </x:c>
      <x:c r="I67" s="74" t="n">
        <x:v>45458</x:v>
      </x:c>
      <x:c r="J67" s="74" t="n">
        <x:v>45458</x:v>
      </x:c>
      <x:c r="K67" s="74" t="n">
        <x:v>45458</x:v>
      </x:c>
      <x:c r="L67" s="74" t="n">
        <x:v>45458</x:v>
      </x:c>
      <x:c r="M67" s="77" t="n">
        <x:v>5.32</x:v>
      </x:c>
      <x:c r="N67" s="77"/>
      <x:c r="O67" s="78"/>
      <x:c r="P67" s="79" t="n">
        <x:f>M67</x:f>
        <x:v>5.32</x:v>
      </x:c>
      <x:c r="Q67" s="79" t="n">
        <x:f>IF(D67="营业收入",-P67,P67)</x:f>
        <x:v>5.32</x:v>
      </x:c>
      <x:c r="R67" s="62" t="str">
        <x:v>CNY</x:v>
      </x:c>
      <x:c r="S67" s="62" t="str">
        <x:v>万元</x:v>
      </x:c>
      <x:c r="T67" s="62" t="str">
        <x:v>费用不含税</x:v>
      </x:c>
      <x:c r="U67" s="62" t="str">
        <x:v>技术部</x:v>
      </x:c>
      <x:c r="V67" s="62" t="str">
        <x:v>经验反馈改进现场物料采购</x:v>
      </x:c>
      <x:c r="W67" s="62" t="str">
        <x:v>经验反馈改进现场物料采购</x:v>
      </x:c>
      <x:c r="X67" s="62" t="str">
        <x:v>国电智深</x:v>
      </x:c>
      <x:c r="Y67" s="62" t="str">
        <x:v>国电智深</x:v>
      </x:c>
      <x:c r="Z67" s="62" t="str">
        <x:v>17</x:v>
      </x:c>
      <x:c r="AA67" s="62" t="str">
        <x:v>经验反馈改进</x:v>
      </x:c>
      <x:c r="AB67" s="62" t="str">
        <x:v>PRJ-JS-经验-2025-003</x:v>
      </x:c>
      <x:c r="AC67" s="74" t="n">
        <x:v>45657</x:v>
      </x:c>
      <x:c r="AD67" s="71" t="str">
        <x:v>源记录保留</x:v>
      </x:c>
      <x:c r="AE67" s="71" t="str">
        <x:v>2024年实际执行.xlsx</x:v>
      </x:c>
      <x:c r="AF67" s="71" t="str">
        <x:v>Sheet</x:v>
      </x:c>
      <x:c r="AG67" s="71" t="n">
        <x:v>67</x:v>
      </x:c>
      <x:c r="AH67" s="71" t="str">
        <x:v>2024年实际执行.xlsx/Sheet!67:67</x:v>
      </x:c>
      <x:c r="AI67" s="62" t="str">
        <x:f>IF(F67=MONTH(L67),"OK","FAIL")</x:f>
        <x:v>OK</x:v>
      </x:c>
      <x:c r="AJ67" s="62" t="str">
        <x:f>IF(J67&lt;=L67,"OK","FAIL")</x:f>
        <x:v>OK</x:v>
      </x:c>
      <x:c r="AK67" s="62" t="str">
        <x:f>IF(D67&lt;&gt;"营业收入","OK",IF(AND(P67&lt;0,Q67&gt;0),"OK","FAIL"))</x:f>
        <x:v>OK</x:v>
      </x:c>
      <x:c r="AL67" s="62" t="str">
        <x:f>IF(COUNTIF($A$2:$A$204,A67)=1,"OK","FAIL")</x:f>
        <x:v>OK</x:v>
      </x:c>
    </x:row>
    <x:row r="68">
      <x:c r="A68" s="62" t="str">
        <x:v>DEMO01|2024|DOC1066|10</x:v>
      </x:c>
      <x:c r="B68" s="62" t="str">
        <x:v>SOURCE</x:v>
      </x:c>
      <x:c r="C68" s="62" t="str">
        <x:v>办公费</x:v>
      </x:c>
      <x:c r="D68" s="62" t="str">
        <x:v>办公费</x:v>
      </x:c>
      <x:c r="E68" s="62" t="n">
        <x:v>2</x:v>
      </x:c>
      <x:c r="F68" s="62" t="n">
        <x:v>2</x:v>
      </x:c>
      <x:c r="G68" s="62" t="str">
        <x:v>DOC1066</x:v>
      </x:c>
      <x:c r="H68" s="62" t="n">
        <x:v>10</x:v>
      </x:c>
      <x:c r="I68" s="74" t="n">
        <x:v>45337</x:v>
      </x:c>
      <x:c r="J68" s="74" t="n">
        <x:v>45337</x:v>
      </x:c>
      <x:c r="K68" s="74" t="n">
        <x:v>45337</x:v>
      </x:c>
      <x:c r="L68" s="74" t="n">
        <x:v>45337</x:v>
      </x:c>
      <x:c r="M68" s="77" t="n">
        <x:v>1.064</x:v>
      </x:c>
      <x:c r="N68" s="77"/>
      <x:c r="O68" s="78"/>
      <x:c r="P68" s="79" t="n">
        <x:f>M68</x:f>
        <x:v>1.064</x:v>
      </x:c>
      <x:c r="Q68" s="79" t="n">
        <x:f>IF(D68="营业收入",-P68,P68)</x:f>
        <x:v>1.064</x:v>
      </x:c>
      <x:c r="R68" s="62" t="str">
        <x:v>CNY</x:v>
      </x:c>
      <x:c r="S68" s="62" t="str">
        <x:v>万元</x:v>
      </x:c>
      <x:c r="T68" s="62" t="str">
        <x:v>费用不含税</x:v>
      </x:c>
      <x:c r="U68" s="62" t="str">
        <x:v>技术部</x:v>
      </x:c>
      <x:c r="V68" s="62" t="str">
        <x:v>经验反馈改进日常办公</x:v>
      </x:c>
      <x:c r="W68" s="62" t="str">
        <x:v>经验反馈改进日常办公</x:v>
      </x:c>
      <x:c r="X68" s="62" t="str">
        <x:v>国电智深</x:v>
      </x:c>
      <x:c r="Y68" s="62" t="str">
        <x:v>国电智深</x:v>
      </x:c>
      <x:c r="Z68" s="62" t="str">
        <x:v>17</x:v>
      </x:c>
      <x:c r="AA68" s="62" t="str">
        <x:v>经验反馈改进</x:v>
      </x:c>
      <x:c r="AB68" s="62" t="str">
        <x:v>PRJ-JS-经验-2025-003</x:v>
      </x:c>
      <x:c r="AC68" s="74" t="n">
        <x:v>45657</x:v>
      </x:c>
      <x:c r="AD68" s="71" t="str">
        <x:v>源记录保留</x:v>
      </x:c>
      <x:c r="AE68" s="71" t="str">
        <x:v>2024年实际执行.xlsx</x:v>
      </x:c>
      <x:c r="AF68" s="71" t="str">
        <x:v>Sheet</x:v>
      </x:c>
      <x:c r="AG68" s="71" t="n">
        <x:v>68</x:v>
      </x:c>
      <x:c r="AH68" s="71" t="str">
        <x:v>2024年实际执行.xlsx/Sheet!68:68</x:v>
      </x:c>
      <x:c r="AI68" s="62" t="str">
        <x:f>IF(F68=MONTH(L68),"OK","FAIL")</x:f>
        <x:v>OK</x:v>
      </x:c>
      <x:c r="AJ68" s="62" t="str">
        <x:f>IF(J68&lt;=L68,"OK","FAIL")</x:f>
        <x:v>OK</x:v>
      </x:c>
      <x:c r="AK68" s="62" t="str">
        <x:f>IF(D68&lt;&gt;"营业收入","OK",IF(AND(P68&lt;0,Q68&gt;0),"OK","FAIL"))</x:f>
        <x:v>OK</x:v>
      </x:c>
      <x:c r="AL68" s="62" t="str">
        <x:f>IF(COUNTIF($A$2:$A$204,A68)=1,"OK","FAIL")</x:f>
        <x:v>OK</x:v>
      </x:c>
    </x:row>
    <x:row r="69">
      <x:c r="A69" s="62" t="str">
        <x:v>DEMO01|2024|DOC1067|10</x:v>
      </x:c>
      <x:c r="B69" s="62" t="str">
        <x:v>SOURCE</x:v>
      </x:c>
      <x:c r="C69" s="62" t="str">
        <x:v>人工成本</x:v>
      </x:c>
      <x:c r="D69" s="62" t="str">
        <x:v>人工成本</x:v>
      </x:c>
      <x:c r="E69" s="62" t="n">
        <x:v>6</x:v>
      </x:c>
      <x:c r="F69" s="62" t="n">
        <x:v>6</x:v>
      </x:c>
      <x:c r="G69" s="62" t="str">
        <x:v>DOC1067</x:v>
      </x:c>
      <x:c r="H69" s="62" t="n">
        <x:v>10</x:v>
      </x:c>
      <x:c r="I69" s="74" t="n">
        <x:v>45473</x:v>
      </x:c>
      <x:c r="J69" s="74" t="n">
        <x:v>45473</x:v>
      </x:c>
      <x:c r="K69" s="74" t="n">
        <x:v>45473</x:v>
      </x:c>
      <x:c r="L69" s="74" t="n">
        <x:v>45473</x:v>
      </x:c>
      <x:c r="M69" s="77" t="n">
        <x:v>9</x:v>
      </x:c>
      <x:c r="N69" s="77"/>
      <x:c r="O69" s="78"/>
      <x:c r="P69" s="79" t="n">
        <x:f>M69</x:f>
        <x:v>9</x:v>
      </x:c>
      <x:c r="Q69" s="79" t="n">
        <x:f>IF(D69="营业收入",-P69,P69)</x:f>
        <x:v>9</x:v>
      </x:c>
      <x:c r="R69" s="62" t="str">
        <x:v>CNY</x:v>
      </x:c>
      <x:c r="S69" s="62" t="str">
        <x:v>万元</x:v>
      </x:c>
      <x:c r="T69" s="62" t="str">
        <x:v>费用不含税</x:v>
      </x:c>
      <x:c r="U69" s="62" t="str">
        <x:v>技术部</x:v>
      </x:c>
      <x:c r="V69" s="62" t="str">
        <x:v>经验反馈改进人工成本分摊</x:v>
      </x:c>
      <x:c r="W69" s="62" t="str">
        <x:v>经验反馈改进人工成本分摊</x:v>
      </x:c>
      <x:c r="X69" s="62" t="str">
        <x:v>17</x:v>
      </x:c>
      <x:c r="Y69" s="62" t="str">
        <x:v>17</x:v>
      </x:c>
      <x:c r="Z69" s="62" t="str">
        <x:v>17</x:v>
      </x:c>
      <x:c r="AA69" s="62" t="str">
        <x:v>经验反馈改进</x:v>
      </x:c>
      <x:c r="AB69" s="62" t="str">
        <x:v>PRJ-JS-经验-2025-003</x:v>
      </x:c>
      <x:c r="AC69" s="74" t="n">
        <x:v>45657</x:v>
      </x:c>
      <x:c r="AD69" s="71" t="str">
        <x:v>源记录保留</x:v>
      </x:c>
      <x:c r="AE69" s="71" t="str">
        <x:v>2024年实际执行.xlsx</x:v>
      </x:c>
      <x:c r="AF69" s="71" t="str">
        <x:v>Sheet</x:v>
      </x:c>
      <x:c r="AG69" s="71" t="n">
        <x:v>69</x:v>
      </x:c>
      <x:c r="AH69" s="71" t="str">
        <x:v>2024年实际执行.xlsx/Sheet!69:69</x:v>
      </x:c>
      <x:c r="AI69" s="62" t="str">
        <x:f>IF(F69=MONTH(L69),"OK","FAIL")</x:f>
        <x:v>OK</x:v>
      </x:c>
      <x:c r="AJ69" s="62" t="str">
        <x:f>IF(J69&lt;=L69,"OK","FAIL")</x:f>
        <x:v>OK</x:v>
      </x:c>
      <x:c r="AK69" s="62" t="str">
        <x:f>IF(D69&lt;&gt;"营业收入","OK",IF(AND(P69&lt;0,Q69&gt;0),"OK","FAIL"))</x:f>
        <x:v>OK</x:v>
      </x:c>
      <x:c r="AL69" s="62" t="str">
        <x:f>IF(COUNTIF($A$2:$A$204,A69)=1,"OK","FAIL")</x:f>
        <x:v>OK</x:v>
      </x:c>
    </x:row>
    <x:row r="70">
      <x:c r="A70" s="62" t="str">
        <x:v>DEMO01|2024|DOC1068|10</x:v>
      </x:c>
      <x:c r="B70" s="62" t="str">
        <x:v>SOURCE</x:v>
      </x:c>
      <x:c r="C70" s="62" t="str">
        <x:v>折旧摊销</x:v>
      </x:c>
      <x:c r="D70" s="62" t="str">
        <x:v>折旧摊销</x:v>
      </x:c>
      <x:c r="E70" s="62" t="n">
        <x:v>12</x:v>
      </x:c>
      <x:c r="F70" s="62" t="n">
        <x:v>12</x:v>
      </x:c>
      <x:c r="G70" s="62" t="str">
        <x:v>DOC1068</x:v>
      </x:c>
      <x:c r="H70" s="62" t="n">
        <x:v>10</x:v>
      </x:c>
      <x:c r="I70" s="74" t="n">
        <x:v>45657</x:v>
      </x:c>
      <x:c r="J70" s="74" t="n">
        <x:v>45657</x:v>
      </x:c>
      <x:c r="K70" s="74" t="n">
        <x:v>45657</x:v>
      </x:c>
      <x:c r="L70" s="74" t="n">
        <x:v>45657</x:v>
      </x:c>
      <x:c r="M70" s="77" t="n">
        <x:v>2</x:v>
      </x:c>
      <x:c r="N70" s="77"/>
      <x:c r="O70" s="78"/>
      <x:c r="P70" s="79" t="n">
        <x:f>M70</x:f>
        <x:v>2</x:v>
      </x:c>
      <x:c r="Q70" s="79" t="n">
        <x:f>IF(D70="营业收入",-P70,P70)</x:f>
        <x:v>2</x:v>
      </x:c>
      <x:c r="R70" s="62" t="str">
        <x:v>CNY</x:v>
      </x:c>
      <x:c r="S70" s="62" t="str">
        <x:v>万元</x:v>
      </x:c>
      <x:c r="T70" s="62" t="str">
        <x:v>费用不含税</x:v>
      </x:c>
      <x:c r="U70" s="62" t="str">
        <x:v>技术部</x:v>
      </x:c>
      <x:c r="V70" s="62" t="str">
        <x:v>经验反馈改进折旧摊销分摊</x:v>
      </x:c>
      <x:c r="W70" s="62" t="str">
        <x:v>经验反馈改进折旧摊销分摊</x:v>
      </x:c>
      <x:c r="X70" s="62" t="str">
        <x:v>17</x:v>
      </x:c>
      <x:c r="Y70" s="62" t="str">
        <x:v>17</x:v>
      </x:c>
      <x:c r="Z70" s="62" t="str">
        <x:v>17</x:v>
      </x:c>
      <x:c r="AA70" s="62" t="str">
        <x:v>经验反馈改进</x:v>
      </x:c>
      <x:c r="AB70" s="62" t="str">
        <x:v>PRJ-JS-经验-2025-003</x:v>
      </x:c>
      <x:c r="AC70" s="74" t="n">
        <x:v>45657</x:v>
      </x:c>
      <x:c r="AD70" s="71" t="str">
        <x:v>源记录保留</x:v>
      </x:c>
      <x:c r="AE70" s="71" t="str">
        <x:v>2024年实际执行.xlsx</x:v>
      </x:c>
      <x:c r="AF70" s="71" t="str">
        <x:v>Sheet</x:v>
      </x:c>
      <x:c r="AG70" s="71" t="n">
        <x:v>70</x:v>
      </x:c>
      <x:c r="AH70" s="71" t="str">
        <x:v>2024年实际执行.xlsx/Sheet!70:70</x:v>
      </x:c>
      <x:c r="AI70" s="62" t="str">
        <x:f>IF(F70=MONTH(L70),"OK","FAIL")</x:f>
        <x:v>OK</x:v>
      </x:c>
      <x:c r="AJ70" s="62" t="str">
        <x:f>IF(J70&lt;=L70,"OK","FAIL")</x:f>
        <x:v>OK</x:v>
      </x:c>
      <x:c r="AK70" s="62" t="str">
        <x:f>IF(D70&lt;&gt;"营业收入","OK",IF(AND(P70&lt;0,Q70&gt;0),"OK","FAIL"))</x:f>
        <x:v>OK</x:v>
      </x:c>
      <x:c r="AL70" s="62" t="str">
        <x:f>IF(COUNTIF($A$2:$A$204,A70)=1,"OK","FAIL")</x:f>
        <x:v>OK</x:v>
      </x:c>
    </x:row>
    <x:row r="71">
      <x:c r="A71" s="62" t="str">
        <x:v>DEMO01|2024|DOC1069|10</x:v>
      </x:c>
      <x:c r="B71" s="62" t="str">
        <x:v>SOURCE</x:v>
      </x:c>
      <x:c r="C71" s="62" t="str">
        <x:v>营业收入</x:v>
      </x:c>
      <x:c r="D71" s="62" t="str">
        <x:v>营业收入</x:v>
      </x:c>
      <x:c r="E71" s="62" t="n">
        <x:v>6</x:v>
      </x:c>
      <x:c r="F71" s="62" t="n">
        <x:v>6</x:v>
      </x:c>
      <x:c r="G71" s="62" t="str">
        <x:v>DOC1069</x:v>
      </x:c>
      <x:c r="H71" s="62" t="n">
        <x:v>10</x:v>
      </x:c>
      <x:c r="I71" s="74" t="n">
        <x:v>45458</x:v>
      </x:c>
      <x:c r="J71" s="74" t="n">
        <x:v>45458</x:v>
      </x:c>
      <x:c r="K71" s="74" t="n">
        <x:v>45458</x:v>
      </x:c>
      <x:c r="L71" s="74" t="n">
        <x:v>45458</x:v>
      </x:c>
      <x:c r="M71" s="77" t="n">
        <x:v>-26</x:v>
      </x:c>
      <x:c r="N71" s="77"/>
      <x:c r="O71" s="78"/>
      <x:c r="P71" s="79" t="n">
        <x:f>M71</x:f>
        <x:v>-26</x:v>
      </x:c>
      <x:c r="Q71" s="79" t="n">
        <x:f>IF(D71="营业收入",-P71,P71)</x:f>
        <x:v>26</x:v>
      </x:c>
      <x:c r="R71" s="62" t="str">
        <x:v>CNY</x:v>
      </x:c>
      <x:c r="S71" s="62" t="str">
        <x:v>万元</x:v>
      </x:c>
      <x:c r="T71" s="62" t="str">
        <x:v>收益；源负号</x:v>
      </x:c>
      <x:c r="U71" s="62" t="str">
        <x:v>技术部</x:v>
      </x:c>
      <x:c r="V71" s="62" t="str">
        <x:v>新技术应用收入确认</x:v>
      </x:c>
      <x:c r="W71" s="62" t="str">
        <x:v>新技术应用收入确认</x:v>
      </x:c>
      <x:c r="X71" s="62" t="str">
        <x:v>17</x:v>
      </x:c>
      <x:c r="Y71" s="62" t="str">
        <x:v>17</x:v>
      </x:c>
      <x:c r="Z71" s="62" t="str">
        <x:v>17</x:v>
      </x:c>
      <x:c r="AA71" s="62" t="str">
        <x:v>新技术应用</x:v>
      </x:c>
      <x:c r="AB71" s="62" t="str">
        <x:v>PRJ-JS-新技-2024-001</x:v>
      </x:c>
      <x:c r="AC71" s="74" t="n">
        <x:v>45657</x:v>
      </x:c>
      <x:c r="AD71" s="71" t="str">
        <x:v>源记录保留</x:v>
      </x:c>
      <x:c r="AE71" s="71" t="str">
        <x:v>2024年实际执行.xlsx</x:v>
      </x:c>
      <x:c r="AF71" s="71" t="str">
        <x:v>Sheet</x:v>
      </x:c>
      <x:c r="AG71" s="71" t="n">
        <x:v>71</x:v>
      </x:c>
      <x:c r="AH71" s="71" t="str">
        <x:v>2024年实际执行.xlsx/Sheet!71:71</x:v>
      </x:c>
      <x:c r="AI71" s="62" t="str">
        <x:f>IF(F71=MONTH(L71),"OK","FAIL")</x:f>
        <x:v>OK</x:v>
      </x:c>
      <x:c r="AJ71" s="62" t="str">
        <x:f>IF(J71&lt;=L71,"OK","FAIL")</x:f>
        <x:v>OK</x:v>
      </x:c>
      <x:c r="AK71" s="62" t="str">
        <x:f>IF(D71&lt;&gt;"营业收入","OK",IF(AND(P71&lt;0,Q71&gt;0),"OK","FAIL"))</x:f>
        <x:v>OK</x:v>
      </x:c>
      <x:c r="AL71" s="62" t="str">
        <x:f>IF(COUNTIF($A$2:$A$204,A71)=1,"OK","FAIL")</x:f>
        <x:v>OK</x:v>
      </x:c>
    </x:row>
    <x:row r="72">
      <x:c r="A72" s="62" t="str">
        <x:v>DEMO01|2024|DOC1070|10</x:v>
      </x:c>
      <x:c r="B72" s="62" t="str">
        <x:v>SOURCE</x:v>
      </x:c>
      <x:c r="C72" s="62" t="str">
        <x:v>会议费</x:v>
      </x:c>
      <x:c r="D72" s="62" t="str">
        <x:v>会议费</x:v>
      </x:c>
      <x:c r="E72" s="62" t="n">
        <x:v>7</x:v>
      </x:c>
      <x:c r="F72" s="62" t="n">
        <x:v>7</x:v>
      </x:c>
      <x:c r="G72" s="62" t="str">
        <x:v>DOC1070</x:v>
      </x:c>
      <x:c r="H72" s="62" t="n">
        <x:v>10</x:v>
      </x:c>
      <x:c r="I72" s="74" t="n">
        <x:v>45488</x:v>
      </x:c>
      <x:c r="J72" s="74" t="n">
        <x:v>45488</x:v>
      </x:c>
      <x:c r="K72" s="74" t="n">
        <x:v>45488</x:v>
      </x:c>
      <x:c r="L72" s="74" t="n">
        <x:v>45488</x:v>
      </x:c>
      <x:c r="M72" s="77" t="n">
        <x:v>0.337633333333333</x:v>
      </x:c>
      <x:c r="N72" s="77"/>
      <x:c r="O72" s="78"/>
      <x:c r="P72" s="79" t="n">
        <x:f>M72</x:f>
        <x:v>0.337633333333333</x:v>
      </x:c>
      <x:c r="Q72" s="79" t="n">
        <x:f>IF(D72="营业收入",-P72,P72)</x:f>
        <x:v>0.337633333333333</x:v>
      </x:c>
      <x:c r="R72" s="62" t="str">
        <x:v>CNY</x:v>
      </x:c>
      <x:c r="S72" s="62" t="str">
        <x:v>万元</x:v>
      </x:c>
      <x:c r="T72" s="62" t="str">
        <x:v>费用不含税</x:v>
      </x:c>
      <x:c r="U72" s="62" t="str">
        <x:v>技术部</x:v>
      </x:c>
      <x:c r="V72" s="62" t="str">
        <x:v>新技术应用项目阶段评审会</x:v>
      </x:c>
      <x:c r="W72" s="62" t="str">
        <x:v>新技术应用项目阶段评审会</x:v>
      </x:c>
      <x:c r="X72" s="62" t="str">
        <x:v>苏州热工</x:v>
      </x:c>
      <x:c r="Y72" s="62" t="str">
        <x:v>苏州热工</x:v>
      </x:c>
      <x:c r="Z72" s="62" t="str">
        <x:v>17</x:v>
      </x:c>
      <x:c r="AA72" s="62" t="str">
        <x:v>新技术应用</x:v>
      </x:c>
      <x:c r="AB72" s="62" t="str">
        <x:v>PRJ-JS-新技-2024-001</x:v>
      </x:c>
      <x:c r="AC72" s="74" t="n">
        <x:v>45657</x:v>
      </x:c>
      <x:c r="AD72" s="71" t="str">
        <x:v>源记录保留</x:v>
      </x:c>
      <x:c r="AE72" s="71" t="str">
        <x:v>2024年实际执行.xlsx</x:v>
      </x:c>
      <x:c r="AF72" s="71" t="str">
        <x:v>Sheet</x:v>
      </x:c>
      <x:c r="AG72" s="71" t="n">
        <x:v>72</x:v>
      </x:c>
      <x:c r="AH72" s="71" t="str">
        <x:v>2024年实际执行.xlsx/Sheet!72:72</x:v>
      </x:c>
      <x:c r="AI72" s="62" t="str">
        <x:f>IF(F72=MONTH(L72),"OK","FAIL")</x:f>
        <x:v>OK</x:v>
      </x:c>
      <x:c r="AJ72" s="62" t="str">
        <x:f>IF(J72&lt;=L72,"OK","FAIL")</x:f>
        <x:v>OK</x:v>
      </x:c>
      <x:c r="AK72" s="62" t="str">
        <x:f>IF(D72&lt;&gt;"营业收入","OK",IF(AND(P72&lt;0,Q72&gt;0),"OK","FAIL"))</x:f>
        <x:v>OK</x:v>
      </x:c>
      <x:c r="AL72" s="62" t="str">
        <x:f>IF(COUNTIF($A$2:$A$204,A72)=1,"OK","FAIL")</x:f>
        <x:v>OK</x:v>
      </x:c>
    </x:row>
    <x:row r="73">
      <x:c r="A73" s="62" t="str">
        <x:v>DEMO01|2024|DOC1071|10</x:v>
      </x:c>
      <x:c r="B73" s="62" t="str">
        <x:v>SOURCE</x:v>
      </x:c>
      <x:c r="C73" s="62" t="str">
        <x:v>业务支持费</x:v>
      </x:c>
      <x:c r="D73" s="62" t="str">
        <x:v>业务支持费-技术配置</x:v>
      </x:c>
      <x:c r="E73" s="62" t="n">
        <x:v>2</x:v>
      </x:c>
      <x:c r="F73" s="62" t="n">
        <x:v>2</x:v>
      </x:c>
      <x:c r="G73" s="62" t="str">
        <x:v>DOC1071</x:v>
      </x:c>
      <x:c r="H73" s="62" t="n">
        <x:v>10</x:v>
      </x:c>
      <x:c r="I73" s="74" t="n">
        <x:v>45337</x:v>
      </x:c>
      <x:c r="J73" s="74" t="n">
        <x:v>45337</x:v>
      </x:c>
      <x:c r="K73" s="74" t="n">
        <x:v>45337</x:v>
      </x:c>
      <x:c r="L73" s="74" t="n">
        <x:v>45337</x:v>
      </x:c>
      <x:c r="M73" s="77" t="n">
        <x:v>13.5053333333333</x:v>
      </x:c>
      <x:c r="N73" s="77"/>
      <x:c r="O73" s="78"/>
      <x:c r="P73" s="79" t="n">
        <x:f>M73</x:f>
        <x:v>13.5053333333333</x:v>
      </x:c>
      <x:c r="Q73" s="79" t="n">
        <x:f>IF(D73="营业收入",-P73,P73)</x:f>
        <x:v>13.5053333333333</x:v>
      </x:c>
      <x:c r="R73" s="62" t="str">
        <x:v>CNY</x:v>
      </x:c>
      <x:c r="S73" s="62" t="str">
        <x:v>万元</x:v>
      </x:c>
      <x:c r="T73" s="62" t="str">
        <x:v>费用不含税</x:v>
      </x:c>
      <x:c r="U73" s="62" t="str">
        <x:v>技术部</x:v>
      </x:c>
      <x:c r="V73" s="62" t="str">
        <x:v>新技术应用技术配置_前期阶段</x:v>
      </x:c>
      <x:c r="W73" s="62" t="str">
        <x:v>新技术应用技术配置_前期阶段</x:v>
      </x:c>
      <x:c r="X73" s="62" t="str">
        <x:v>苏州热工</x:v>
      </x:c>
      <x:c r="Y73" s="62" t="str">
        <x:v>苏州热工</x:v>
      </x:c>
      <x:c r="Z73" s="62" t="str">
        <x:v>17</x:v>
      </x:c>
      <x:c r="AA73" s="62" t="str">
        <x:v>新技术应用</x:v>
      </x:c>
      <x:c r="AB73" s="62" t="str">
        <x:v>PRJ-JS-新技-2024-001</x:v>
      </x:c>
      <x:c r="AC73" s="74" t="n">
        <x:v>45657</x:v>
      </x:c>
      <x:c r="AD73" s="71" t="str">
        <x:v>源记录保留</x:v>
      </x:c>
      <x:c r="AE73" s="71" t="str">
        <x:v>2024年实际执行.xlsx</x:v>
      </x:c>
      <x:c r="AF73" s="71" t="str">
        <x:v>Sheet</x:v>
      </x:c>
      <x:c r="AG73" s="71" t="n">
        <x:v>73</x:v>
      </x:c>
      <x:c r="AH73" s="71" t="str">
        <x:v>2024年实际执行.xlsx/Sheet!73:73</x:v>
      </x:c>
      <x:c r="AI73" s="62" t="str">
        <x:f>IF(F73=MONTH(L73),"OK","FAIL")</x:f>
        <x:v>OK</x:v>
      </x:c>
      <x:c r="AJ73" s="62" t="str">
        <x:f>IF(J73&lt;=L73,"OK","FAIL")</x:f>
        <x:v>OK</x:v>
      </x:c>
      <x:c r="AK73" s="62" t="str">
        <x:f>IF(D73&lt;&gt;"营业收入","OK",IF(AND(P73&lt;0,Q73&gt;0),"OK","FAIL"))</x:f>
        <x:v>OK</x:v>
      </x:c>
      <x:c r="AL73" s="62" t="str">
        <x:f>IF(COUNTIF($A$2:$A$204,A73)=1,"OK","FAIL")</x:f>
        <x:v>OK</x:v>
      </x:c>
    </x:row>
    <x:row r="74">
      <x:c r="A74" s="62" t="str">
        <x:v>DEMO01|2024|DOC1072|10</x:v>
      </x:c>
      <x:c r="B74" s="62" t="str">
        <x:v>SOURCE</x:v>
      </x:c>
      <x:c r="C74" s="62" t="str">
        <x:v>生产物料费</x:v>
      </x:c>
      <x:c r="D74" s="62" t="str">
        <x:v>生产物料费</x:v>
      </x:c>
      <x:c r="E74" s="62" t="n">
        <x:v>6</x:v>
      </x:c>
      <x:c r="F74" s="62" t="n">
        <x:v>6</x:v>
      </x:c>
      <x:c r="G74" s="62" t="str">
        <x:v>DOC1072</x:v>
      </x:c>
      <x:c r="H74" s="62" t="n">
        <x:v>10</x:v>
      </x:c>
      <x:c r="I74" s="74" t="n">
        <x:v>45458</x:v>
      </x:c>
      <x:c r="J74" s="74" t="n">
        <x:v>45458</x:v>
      </x:c>
      <x:c r="K74" s="74" t="n">
        <x:v>45458</x:v>
      </x:c>
      <x:c r="L74" s="74" t="n">
        <x:v>45458</x:v>
      </x:c>
      <x:c r="M74" s="77" t="n">
        <x:v>5.0645</x:v>
      </x:c>
      <x:c r="N74" s="77"/>
      <x:c r="O74" s="78"/>
      <x:c r="P74" s="79" t="n">
        <x:f>M74</x:f>
        <x:v>5.0645</x:v>
      </x:c>
      <x:c r="Q74" s="79" t="n">
        <x:f>IF(D74="营业收入",-P74,P74)</x:f>
        <x:v>5.0645</x:v>
      </x:c>
      <x:c r="R74" s="62" t="str">
        <x:v>CNY</x:v>
      </x:c>
      <x:c r="S74" s="62" t="str">
        <x:v>万元</x:v>
      </x:c>
      <x:c r="T74" s="62" t="str">
        <x:v>费用不含税</x:v>
      </x:c>
      <x:c r="U74" s="62" t="str">
        <x:v>技术部</x:v>
      </x:c>
      <x:c r="V74" s="62" t="str">
        <x:v>新技术应用现场物料采购</x:v>
      </x:c>
      <x:c r="W74" s="62" t="str">
        <x:v>新技术应用现场物料采购</x:v>
      </x:c>
      <x:c r="X74" s="62" t="str">
        <x:v>苏州热工</x:v>
      </x:c>
      <x:c r="Y74" s="62" t="str">
        <x:v>苏州热工</x:v>
      </x:c>
      <x:c r="Z74" s="62" t="str">
        <x:v>17</x:v>
      </x:c>
      <x:c r="AA74" s="62" t="str">
        <x:v>新技术应用</x:v>
      </x:c>
      <x:c r="AB74" s="62" t="str">
        <x:v>PRJ-JS-新技-2024-001</x:v>
      </x:c>
      <x:c r="AC74" s="74" t="n">
        <x:v>45657</x:v>
      </x:c>
      <x:c r="AD74" s="71" t="str">
        <x:v>源记录保留</x:v>
      </x:c>
      <x:c r="AE74" s="71" t="str">
        <x:v>2024年实际执行.xlsx</x:v>
      </x:c>
      <x:c r="AF74" s="71" t="str">
        <x:v>Sheet</x:v>
      </x:c>
      <x:c r="AG74" s="71" t="n">
        <x:v>74</x:v>
      </x:c>
      <x:c r="AH74" s="71" t="str">
        <x:v>2024年实际执行.xlsx/Sheet!74:74</x:v>
      </x:c>
      <x:c r="AI74" s="62" t="str">
        <x:f>IF(F74=MONTH(L74),"OK","FAIL")</x:f>
        <x:v>OK</x:v>
      </x:c>
      <x:c r="AJ74" s="62" t="str">
        <x:f>IF(J74&lt;=L74,"OK","FAIL")</x:f>
        <x:v>OK</x:v>
      </x:c>
      <x:c r="AK74" s="62" t="str">
        <x:f>IF(D74&lt;&gt;"营业收入","OK",IF(AND(P74&lt;0,Q74&gt;0),"OK","FAIL"))</x:f>
        <x:v>OK</x:v>
      </x:c>
      <x:c r="AL74" s="62" t="str">
        <x:f>IF(COUNTIF($A$2:$A$204,A74)=1,"OK","FAIL")</x:f>
        <x:v>OK</x:v>
      </x:c>
    </x:row>
    <x:row r="75">
      <x:c r="A75" s="62" t="str">
        <x:v>DEMO01|2024|DOC1073|10</x:v>
      </x:c>
      <x:c r="B75" s="62" t="str">
        <x:v>SOURCE</x:v>
      </x:c>
      <x:c r="C75" s="62" t="str">
        <x:v>办公费</x:v>
      </x:c>
      <x:c r="D75" s="62" t="str">
        <x:v>办公费</x:v>
      </x:c>
      <x:c r="E75" s="62" t="n">
        <x:v>6</x:v>
      </x:c>
      <x:c r="F75" s="62" t="n">
        <x:v>6</x:v>
      </x:c>
      <x:c r="G75" s="62" t="str">
        <x:v>DOC1073</x:v>
      </x:c>
      <x:c r="H75" s="62" t="n">
        <x:v>10</x:v>
      </x:c>
      <x:c r="I75" s="74" t="n">
        <x:v>45458</x:v>
      </x:c>
      <x:c r="J75" s="74" t="n">
        <x:v>45458</x:v>
      </x:c>
      <x:c r="K75" s="74" t="n">
        <x:v>45458</x:v>
      </x:c>
      <x:c r="L75" s="74" t="n">
        <x:v>45458</x:v>
      </x:c>
      <x:c r="M75" s="77" t="n">
        <x:v>1.0129</x:v>
      </x:c>
      <x:c r="N75" s="77"/>
      <x:c r="O75" s="78"/>
      <x:c r="P75" s="79" t="n">
        <x:f>M75</x:f>
        <x:v>1.0129</x:v>
      </x:c>
      <x:c r="Q75" s="79" t="n">
        <x:f>IF(D75="营业收入",-P75,P75)</x:f>
        <x:v>1.0129</x:v>
      </x:c>
      <x:c r="R75" s="62" t="str">
        <x:v>CNY</x:v>
      </x:c>
      <x:c r="S75" s="62" t="str">
        <x:v>万元</x:v>
      </x:c>
      <x:c r="T75" s="62" t="str">
        <x:v>费用不含税</x:v>
      </x:c>
      <x:c r="U75" s="62" t="str">
        <x:v>技术部</x:v>
      </x:c>
      <x:c r="V75" s="62" t="str">
        <x:v>新技术应用日常办公</x:v>
      </x:c>
      <x:c r="W75" s="62" t="str">
        <x:v>新技术应用日常办公</x:v>
      </x:c>
      <x:c r="X75" s="62" t="str">
        <x:v>苏州热工</x:v>
      </x:c>
      <x:c r="Y75" s="62" t="str">
        <x:v>苏州热工</x:v>
      </x:c>
      <x:c r="Z75" s="62" t="str">
        <x:v>17</x:v>
      </x:c>
      <x:c r="AA75" s="62" t="str">
        <x:v>新技术应用</x:v>
      </x:c>
      <x:c r="AB75" s="62" t="str">
        <x:v>PRJ-JS-新技-2024-001</x:v>
      </x:c>
      <x:c r="AC75" s="74" t="n">
        <x:v>45657</x:v>
      </x:c>
      <x:c r="AD75" s="71" t="str">
        <x:v>源记录保留</x:v>
      </x:c>
      <x:c r="AE75" s="71" t="str">
        <x:v>2024年实际执行.xlsx</x:v>
      </x:c>
      <x:c r="AF75" s="71" t="str">
        <x:v>Sheet</x:v>
      </x:c>
      <x:c r="AG75" s="71" t="n">
        <x:v>75</x:v>
      </x:c>
      <x:c r="AH75" s="71" t="str">
        <x:v>2024年实际执行.xlsx/Sheet!75:75</x:v>
      </x:c>
      <x:c r="AI75" s="62" t="str">
        <x:f>IF(F75=MONTH(L75),"OK","FAIL")</x:f>
        <x:v>OK</x:v>
      </x:c>
      <x:c r="AJ75" s="62" t="str">
        <x:f>IF(J75&lt;=L75,"OK","FAIL")</x:f>
        <x:v>OK</x:v>
      </x:c>
      <x:c r="AK75" s="62" t="str">
        <x:f>IF(D75&lt;&gt;"营业收入","OK",IF(AND(P75&lt;0,Q75&gt;0),"OK","FAIL"))</x:f>
        <x:v>OK</x:v>
      </x:c>
      <x:c r="AL75" s="62" t="str">
        <x:f>IF(COUNTIF($A$2:$A$204,A75)=1,"OK","FAIL")</x:f>
        <x:v>OK</x:v>
      </x:c>
    </x:row>
    <x:row r="76">
      <x:c r="A76" s="62" t="str">
        <x:v>DEMO01|2024|DOC1074|10</x:v>
      </x:c>
      <x:c r="B76" s="62" t="str">
        <x:v>SOURCE</x:v>
      </x:c>
      <x:c r="C76" s="62" t="str">
        <x:v>人工成本</x:v>
      </x:c>
      <x:c r="D76" s="62" t="str">
        <x:v>人工成本</x:v>
      </x:c>
      <x:c r="E76" s="62" t="n">
        <x:v>6</x:v>
      </x:c>
      <x:c r="F76" s="62" t="n">
        <x:v>6</x:v>
      </x:c>
      <x:c r="G76" s="62" t="str">
        <x:v>DOC1074</x:v>
      </x:c>
      <x:c r="H76" s="62" t="n">
        <x:v>10</x:v>
      </x:c>
      <x:c r="I76" s="74" t="n">
        <x:v>45473</x:v>
      </x:c>
      <x:c r="J76" s="74" t="n">
        <x:v>45473</x:v>
      </x:c>
      <x:c r="K76" s="74" t="n">
        <x:v>45473</x:v>
      </x:c>
      <x:c r="L76" s="74" t="n">
        <x:v>45473</x:v>
      </x:c>
      <x:c r="M76" s="77" t="n">
        <x:v>9</x:v>
      </x:c>
      <x:c r="N76" s="77"/>
      <x:c r="O76" s="78"/>
      <x:c r="P76" s="79" t="n">
        <x:f>M76</x:f>
        <x:v>9</x:v>
      </x:c>
      <x:c r="Q76" s="79" t="n">
        <x:f>IF(D76="营业收入",-P76,P76)</x:f>
        <x:v>9</x:v>
      </x:c>
      <x:c r="R76" s="62" t="str">
        <x:v>CNY</x:v>
      </x:c>
      <x:c r="S76" s="62" t="str">
        <x:v>万元</x:v>
      </x:c>
      <x:c r="T76" s="62" t="str">
        <x:v>费用不含税</x:v>
      </x:c>
      <x:c r="U76" s="62" t="str">
        <x:v>技术部</x:v>
      </x:c>
      <x:c r="V76" s="62" t="str">
        <x:v>新技术应用人工成本分摊</x:v>
      </x:c>
      <x:c r="W76" s="62" t="str">
        <x:v>新技术应用人工成本分摊</x:v>
      </x:c>
      <x:c r="X76" s="62" t="str">
        <x:v>17</x:v>
      </x:c>
      <x:c r="Y76" s="62" t="str">
        <x:v>17</x:v>
      </x:c>
      <x:c r="Z76" s="62" t="str">
        <x:v>17</x:v>
      </x:c>
      <x:c r="AA76" s="62" t="str">
        <x:v>新技术应用</x:v>
      </x:c>
      <x:c r="AB76" s="62" t="str">
        <x:v>PRJ-JS-新技-2024-001</x:v>
      </x:c>
      <x:c r="AC76" s="74" t="n">
        <x:v>45657</x:v>
      </x:c>
      <x:c r="AD76" s="71" t="str">
        <x:v>源记录保留</x:v>
      </x:c>
      <x:c r="AE76" s="71" t="str">
        <x:v>2024年实际执行.xlsx</x:v>
      </x:c>
      <x:c r="AF76" s="71" t="str">
        <x:v>Sheet</x:v>
      </x:c>
      <x:c r="AG76" s="71" t="n">
        <x:v>76</x:v>
      </x:c>
      <x:c r="AH76" s="71" t="str">
        <x:v>2024年实际执行.xlsx/Sheet!76:76</x:v>
      </x:c>
      <x:c r="AI76" s="62" t="str">
        <x:f>IF(F76=MONTH(L76),"OK","FAIL")</x:f>
        <x:v>OK</x:v>
      </x:c>
      <x:c r="AJ76" s="62" t="str">
        <x:f>IF(J76&lt;=L76,"OK","FAIL")</x:f>
        <x:v>OK</x:v>
      </x:c>
      <x:c r="AK76" s="62" t="str">
        <x:f>IF(D76&lt;&gt;"营业收入","OK",IF(AND(P76&lt;0,Q76&gt;0),"OK","FAIL"))</x:f>
        <x:v>OK</x:v>
      </x:c>
      <x:c r="AL76" s="62" t="str">
        <x:f>IF(COUNTIF($A$2:$A$204,A76)=1,"OK","FAIL")</x:f>
        <x:v>OK</x:v>
      </x:c>
    </x:row>
    <x:row r="77">
      <x:c r="A77" s="62" t="str">
        <x:v>DEMO01|2024|DOC1075|10</x:v>
      </x:c>
      <x:c r="B77" s="62" t="str">
        <x:v>SOURCE</x:v>
      </x:c>
      <x:c r="C77" s="62" t="str">
        <x:v>折旧摊销</x:v>
      </x:c>
      <x:c r="D77" s="62" t="str">
        <x:v>折旧摊销</x:v>
      </x:c>
      <x:c r="E77" s="62" t="n">
        <x:v>12</x:v>
      </x:c>
      <x:c r="F77" s="62" t="n">
        <x:v>12</x:v>
      </x:c>
      <x:c r="G77" s="62" t="str">
        <x:v>DOC1075</x:v>
      </x:c>
      <x:c r="H77" s="62" t="n">
        <x:v>10</x:v>
      </x:c>
      <x:c r="I77" s="74" t="n">
        <x:v>45657</x:v>
      </x:c>
      <x:c r="J77" s="74" t="n">
        <x:v>45657</x:v>
      </x:c>
      <x:c r="K77" s="74" t="n">
        <x:v>45657</x:v>
      </x:c>
      <x:c r="L77" s="74" t="n">
        <x:v>45657</x:v>
      </x:c>
      <x:c r="M77" s="77" t="n">
        <x:v>2</x:v>
      </x:c>
      <x:c r="N77" s="77"/>
      <x:c r="O77" s="78"/>
      <x:c r="P77" s="79" t="n">
        <x:f>M77</x:f>
        <x:v>2</x:v>
      </x:c>
      <x:c r="Q77" s="79" t="n">
        <x:f>IF(D77="营业收入",-P77,P77)</x:f>
        <x:v>2</x:v>
      </x:c>
      <x:c r="R77" s="62" t="str">
        <x:v>CNY</x:v>
      </x:c>
      <x:c r="S77" s="62" t="str">
        <x:v>万元</x:v>
      </x:c>
      <x:c r="T77" s="62" t="str">
        <x:v>费用不含税</x:v>
      </x:c>
      <x:c r="U77" s="62" t="str">
        <x:v>技术部</x:v>
      </x:c>
      <x:c r="V77" s="62" t="str">
        <x:v>新技术应用折旧摊销分摊</x:v>
      </x:c>
      <x:c r="W77" s="62" t="str">
        <x:v>新技术应用折旧摊销分摊</x:v>
      </x:c>
      <x:c r="X77" s="62" t="str">
        <x:v>17</x:v>
      </x:c>
      <x:c r="Y77" s="62" t="str">
        <x:v>17</x:v>
      </x:c>
      <x:c r="Z77" s="62" t="str">
        <x:v>17</x:v>
      </x:c>
      <x:c r="AA77" s="62" t="str">
        <x:v>新技术应用</x:v>
      </x:c>
      <x:c r="AB77" s="62" t="str">
        <x:v>PRJ-JS-新技-2024-001</x:v>
      </x:c>
      <x:c r="AC77" s="74" t="n">
        <x:v>45657</x:v>
      </x:c>
      <x:c r="AD77" s="71" t="str">
        <x:v>源记录保留</x:v>
      </x:c>
      <x:c r="AE77" s="71" t="str">
        <x:v>2024年实际执行.xlsx</x:v>
      </x:c>
      <x:c r="AF77" s="71" t="str">
        <x:v>Sheet</x:v>
      </x:c>
      <x:c r="AG77" s="71" t="n">
        <x:v>77</x:v>
      </x:c>
      <x:c r="AH77" s="71" t="str">
        <x:v>2024年实际执行.xlsx/Sheet!77:77</x:v>
      </x:c>
      <x:c r="AI77" s="62" t="str">
        <x:f>IF(F77=MONTH(L77),"OK","FAIL")</x:f>
        <x:v>OK</x:v>
      </x:c>
      <x:c r="AJ77" s="62" t="str">
        <x:f>IF(J77&lt;=L77,"OK","FAIL")</x:f>
        <x:v>OK</x:v>
      </x:c>
      <x:c r="AK77" s="62" t="str">
        <x:f>IF(D77&lt;&gt;"营业收入","OK",IF(AND(P77&lt;0,Q77&gt;0),"OK","FAIL"))</x:f>
        <x:v>OK</x:v>
      </x:c>
      <x:c r="AL77" s="62" t="str">
        <x:f>IF(COUNTIF($A$2:$A$204,A77)=1,"OK","FAIL")</x:f>
        <x:v>OK</x:v>
      </x:c>
    </x:row>
    <x:row r="78">
      <x:c r="A78" s="62" t="str">
        <x:v>DEMO01|2024|DOC1076|10</x:v>
      </x:c>
      <x:c r="B78" s="62" t="str">
        <x:v>SOURCE</x:v>
      </x:c>
      <x:c r="C78" s="62" t="str">
        <x:v>业务支持费</x:v>
      </x:c>
      <x:c r="D78" s="62" t="str">
        <x:v>业务支持费-其他</x:v>
      </x:c>
      <x:c r="E78" s="62" t="n">
        <x:v>12</x:v>
      </x:c>
      <x:c r="F78" s="62" t="n">
        <x:v>12</x:v>
      </x:c>
      <x:c r="G78" s="62" t="str">
        <x:v>DOC1076</x:v>
      </x:c>
      <x:c r="H78" s="62" t="n">
        <x:v>10</x:v>
      </x:c>
      <x:c r="I78" s="74" t="n">
        <x:v>45657</x:v>
      </x:c>
      <x:c r="J78" s="74" t="n">
        <x:v>45657</x:v>
      </x:c>
      <x:c r="K78" s="74" t="n">
        <x:v>45657</x:v>
      </x:c>
      <x:c r="L78" s="74" t="n">
        <x:v>45657</x:v>
      </x:c>
      <x:c r="M78" s="77" t="n">
        <x:v>5.0645</x:v>
      </x:c>
      <x:c r="N78" s="77"/>
      <x:c r="O78" s="78"/>
      <x:c r="P78" s="79" t="n">
        <x:f>M78</x:f>
        <x:v>5.0645</x:v>
      </x:c>
      <x:c r="Q78" s="79" t="n">
        <x:f>IF(D78="营业收入",-P78,P78)</x:f>
        <x:v>5.0645</x:v>
      </x:c>
      <x:c r="R78" s="62" t="str">
        <x:v>CNY</x:v>
      </x:c>
      <x:c r="S78" s="62" t="str">
        <x:v>万元</x:v>
      </x:c>
      <x:c r="T78" s="62" t="str">
        <x:v>费用不含税</x:v>
      </x:c>
      <x:c r="U78" s="62" t="str">
        <x:v>技术部</x:v>
      </x:c>
      <x:c r="V78" s="62" t="str">
        <x:v>计提新技术应用_2024年末预提</x:v>
      </x:c>
      <x:c r="W78" s="62" t="str">
        <x:v>计提新技术应用_2024年末预提</x:v>
      </x:c>
      <x:c r="X78" s="62" t="str">
        <x:v>苏州热工</x:v>
      </x:c>
      <x:c r="Y78" s="62" t="str">
        <x:v>苏州热工</x:v>
      </x:c>
      <x:c r="Z78" s="62" t="str">
        <x:v>17</x:v>
      </x:c>
      <x:c r="AA78" s="62" t="str">
        <x:v>新技术应用</x:v>
      </x:c>
      <x:c r="AB78" s="62" t="str">
        <x:v>PRJ-JS-新技-2024-001</x:v>
      </x:c>
      <x:c r="AC78" s="74" t="n">
        <x:v>45657</x:v>
      </x:c>
      <x:c r="AD78" s="71" t="str">
        <x:v>源记录保留</x:v>
      </x:c>
      <x:c r="AE78" s="71" t="str">
        <x:v>2024年实际执行.xlsx</x:v>
      </x:c>
      <x:c r="AF78" s="71" t="str">
        <x:v>Sheet</x:v>
      </x:c>
      <x:c r="AG78" s="71" t="n">
        <x:v>78</x:v>
      </x:c>
      <x:c r="AH78" s="71" t="str">
        <x:v>2024年实际执行.xlsx/Sheet!78:78</x:v>
      </x:c>
      <x:c r="AI78" s="62" t="str">
        <x:f>IF(F78=MONTH(L78),"OK","FAIL")</x:f>
        <x:v>OK</x:v>
      </x:c>
      <x:c r="AJ78" s="62" t="str">
        <x:f>IF(J78&lt;=L78,"OK","FAIL")</x:f>
        <x:v>OK</x:v>
      </x:c>
      <x:c r="AK78" s="62" t="str">
        <x:f>IF(D78&lt;&gt;"营业收入","OK",IF(AND(P78&lt;0,Q78&gt;0),"OK","FAIL"))</x:f>
        <x:v>OK</x:v>
      </x:c>
      <x:c r="AL78" s="62" t="str">
        <x:f>IF(COUNTIF($A$2:$A$204,A78)=1,"OK","FAIL")</x:f>
        <x:v>OK</x:v>
      </x:c>
    </x:row>
    <x:row r="79">
      <x:c r="A79" s="62" t="str">
        <x:v>DEMO01|2024|DOC1077|10</x:v>
      </x:c>
      <x:c r="B79" s="62" t="str">
        <x:v>SOURCE</x:v>
      </x:c>
      <x:c r="C79" s="62" t="str">
        <x:v>营业收入</x:v>
      </x:c>
      <x:c r="D79" s="62" t="str">
        <x:v>营业收入</x:v>
      </x:c>
      <x:c r="E79" s="62" t="n">
        <x:v>6</x:v>
      </x:c>
      <x:c r="F79" s="62" t="n">
        <x:v>6</x:v>
      </x:c>
      <x:c r="G79" s="62" t="str">
        <x:v>DOC1077</x:v>
      </x:c>
      <x:c r="H79" s="62" t="n">
        <x:v>10</x:v>
      </x:c>
      <x:c r="I79" s="74" t="n">
        <x:v>45458</x:v>
      </x:c>
      <x:c r="J79" s="74" t="n">
        <x:v>45458</x:v>
      </x:c>
      <x:c r="K79" s="74" t="n">
        <x:v>45458</x:v>
      </x:c>
      <x:c r="L79" s="74" t="n">
        <x:v>45458</x:v>
      </x:c>
      <x:c r="M79" s="77" t="n">
        <x:v>-30</x:v>
      </x:c>
      <x:c r="N79" s="77"/>
      <x:c r="O79" s="78"/>
      <x:c r="P79" s="79" t="n">
        <x:f>M79</x:f>
        <x:v>-30</x:v>
      </x:c>
      <x:c r="Q79" s="79" t="n">
        <x:f>IF(D79="营业收入",-P79,P79)</x:f>
        <x:v>30</x:v>
      </x:c>
      <x:c r="R79" s="62" t="str">
        <x:v>CNY</x:v>
      </x:c>
      <x:c r="S79" s="62" t="str">
        <x:v>万元</x:v>
      </x:c>
      <x:c r="T79" s="62" t="str">
        <x:v>收益；源负号</x:v>
      </x:c>
      <x:c r="U79" s="62" t="str">
        <x:v>技术部</x:v>
      </x:c>
      <x:c r="V79" s="62" t="str">
        <x:v>新技术应用收入确认</x:v>
      </x:c>
      <x:c r="W79" s="62" t="str">
        <x:v>新技术应用收入确认</x:v>
      </x:c>
      <x:c r="X79" s="62" t="str">
        <x:v>17</x:v>
      </x:c>
      <x:c r="Y79" s="62" t="str">
        <x:v>17</x:v>
      </x:c>
      <x:c r="Z79" s="62" t="str">
        <x:v>17</x:v>
      </x:c>
      <x:c r="AA79" s="62" t="str">
        <x:v>新技术应用</x:v>
      </x:c>
      <x:c r="AB79" s="62" t="str">
        <x:v>PRJ-JS-新技-2025-002</x:v>
      </x:c>
      <x:c r="AC79" s="74" t="n">
        <x:v>45657</x:v>
      </x:c>
      <x:c r="AD79" s="71" t="str">
        <x:v>源记录保留</x:v>
      </x:c>
      <x:c r="AE79" s="71" t="str">
        <x:v>2024年实际执行.xlsx</x:v>
      </x:c>
      <x:c r="AF79" s="71" t="str">
        <x:v>Sheet</x:v>
      </x:c>
      <x:c r="AG79" s="71" t="n">
        <x:v>79</x:v>
      </x:c>
      <x:c r="AH79" s="71" t="str">
        <x:v>2024年实际执行.xlsx/Sheet!79:79</x:v>
      </x:c>
      <x:c r="AI79" s="62" t="str">
        <x:f>IF(F79=MONTH(L79),"OK","FAIL")</x:f>
        <x:v>OK</x:v>
      </x:c>
      <x:c r="AJ79" s="62" t="str">
        <x:f>IF(J79&lt;=L79,"OK","FAIL")</x:f>
        <x:v>OK</x:v>
      </x:c>
      <x:c r="AK79" s="62" t="str">
        <x:f>IF(D79&lt;&gt;"营业收入","OK",IF(AND(P79&lt;0,Q79&gt;0),"OK","FAIL"))</x:f>
        <x:v>OK</x:v>
      </x:c>
      <x:c r="AL79" s="62" t="str">
        <x:f>IF(COUNTIF($A$2:$A$204,A79)=1,"OK","FAIL")</x:f>
        <x:v>OK</x:v>
      </x:c>
    </x:row>
    <x:row r="80">
      <x:c r="A80" s="62" t="str">
        <x:v>DEMO01|2024|DOC1078|10</x:v>
      </x:c>
      <x:c r="B80" s="62" t="str">
        <x:v>SOURCE</x:v>
      </x:c>
      <x:c r="C80" s="62" t="str">
        <x:v>会议费</x:v>
      </x:c>
      <x:c r="D80" s="62" t="str">
        <x:v>会议费</x:v>
      </x:c>
      <x:c r="E80" s="62" t="n">
        <x:v>5</x:v>
      </x:c>
      <x:c r="F80" s="62" t="n">
        <x:v>5</x:v>
      </x:c>
      <x:c r="G80" s="62" t="str">
        <x:v>DOC1078</x:v>
      </x:c>
      <x:c r="H80" s="62" t="n">
        <x:v>10</x:v>
      </x:c>
      <x:c r="I80" s="74" t="n">
        <x:v>45427</x:v>
      </x:c>
      <x:c r="J80" s="74" t="n">
        <x:v>45427</x:v>
      </x:c>
      <x:c r="K80" s="74" t="n">
        <x:v>45427</x:v>
      </x:c>
      <x:c r="L80" s="74" t="n">
        <x:v>45427</x:v>
      </x:c>
      <x:c r="M80" s="77" t="n">
        <x:v>0.4046</x:v>
      </x:c>
      <x:c r="N80" s="77"/>
      <x:c r="O80" s="78"/>
      <x:c r="P80" s="79" t="n">
        <x:f>M80</x:f>
        <x:v>0.4046</x:v>
      </x:c>
      <x:c r="Q80" s="79" t="n">
        <x:f>IF(D80="营业收入",-P80,P80)</x:f>
        <x:v>0.4046</x:v>
      </x:c>
      <x:c r="R80" s="62" t="str">
        <x:v>CNY</x:v>
      </x:c>
      <x:c r="S80" s="62" t="str">
        <x:v>万元</x:v>
      </x:c>
      <x:c r="T80" s="62" t="str">
        <x:v>费用不含税</x:v>
      </x:c>
      <x:c r="U80" s="62" t="str">
        <x:v>技术部</x:v>
      </x:c>
      <x:c r="V80" s="62" t="str">
        <x:v>新技术应用项目阶段评审会</x:v>
      </x:c>
      <x:c r="W80" s="62" t="str">
        <x:v>新技术应用项目阶段评审会</x:v>
      </x:c>
      <x:c r="X80" s="62" t="str">
        <x:v>北京核工院</x:v>
      </x:c>
      <x:c r="Y80" s="62" t="str">
        <x:v>北京核工院</x:v>
      </x:c>
      <x:c r="Z80" s="62" t="str">
        <x:v>17</x:v>
      </x:c>
      <x:c r="AA80" s="62" t="str">
        <x:v>新技术应用</x:v>
      </x:c>
      <x:c r="AB80" s="62" t="str">
        <x:v>PRJ-JS-新技-2025-002</x:v>
      </x:c>
      <x:c r="AC80" s="74" t="n">
        <x:v>45657</x:v>
      </x:c>
      <x:c r="AD80" s="71" t="str">
        <x:v>源记录保留</x:v>
      </x:c>
      <x:c r="AE80" s="71" t="str">
        <x:v>2024年实际执行.xlsx</x:v>
      </x:c>
      <x:c r="AF80" s="71" t="str">
        <x:v>Sheet</x:v>
      </x:c>
      <x:c r="AG80" s="71" t="n">
        <x:v>80</x:v>
      </x:c>
      <x:c r="AH80" s="71" t="str">
        <x:v>2024年实际执行.xlsx/Sheet!80:80</x:v>
      </x:c>
      <x:c r="AI80" s="62" t="str">
        <x:f>IF(F80=MONTH(L80),"OK","FAIL")</x:f>
        <x:v>OK</x:v>
      </x:c>
      <x:c r="AJ80" s="62" t="str">
        <x:f>IF(J80&lt;=L80,"OK","FAIL")</x:f>
        <x:v>OK</x:v>
      </x:c>
      <x:c r="AK80" s="62" t="str">
        <x:f>IF(D80&lt;&gt;"营业收入","OK",IF(AND(P80&lt;0,Q80&gt;0),"OK","FAIL"))</x:f>
        <x:v>OK</x:v>
      </x:c>
      <x:c r="AL80" s="62" t="str">
        <x:f>IF(COUNTIF($A$2:$A$204,A80)=1,"OK","FAIL")</x:f>
        <x:v>OK</x:v>
      </x:c>
    </x:row>
    <x:row r="81">
      <x:c r="A81" s="62" t="str">
        <x:v>DEMO01|2024|DOC1079|10</x:v>
      </x:c>
      <x:c r="B81" s="62" t="str">
        <x:v>SOURCE</x:v>
      </x:c>
      <x:c r="C81" s="62" t="str">
        <x:v>业务支持费</x:v>
      </x:c>
      <x:c r="D81" s="62" t="str">
        <x:v>业务支持费-技术配置</x:v>
      </x:c>
      <x:c r="E81" s="62" t="n">
        <x:v>1</x:v>
      </x:c>
      <x:c r="F81" s="62" t="n">
        <x:v>1</x:v>
      </x:c>
      <x:c r="G81" s="62" t="str">
        <x:v>DOC1079</x:v>
      </x:c>
      <x:c r="H81" s="62" t="n">
        <x:v>10</x:v>
      </x:c>
      <x:c r="I81" s="74" t="n">
        <x:v>45306</x:v>
      </x:c>
      <x:c r="J81" s="74" t="n">
        <x:v>45306</x:v>
      </x:c>
      <x:c r="K81" s="74" t="n">
        <x:v>45306</x:v>
      </x:c>
      <x:c r="L81" s="74" t="n">
        <x:v>45306</x:v>
      </x:c>
      <x:c r="M81" s="77" t="n">
        <x:v>16.184</x:v>
      </x:c>
      <x:c r="N81" s="77"/>
      <x:c r="O81" s="78"/>
      <x:c r="P81" s="79" t="n">
        <x:f>M81</x:f>
        <x:v>16.184</x:v>
      </x:c>
      <x:c r="Q81" s="79" t="n">
        <x:f>IF(D81="营业收入",-P81,P81)</x:f>
        <x:v>16.184</x:v>
      </x:c>
      <x:c r="R81" s="62" t="str">
        <x:v>CNY</x:v>
      </x:c>
      <x:c r="S81" s="62" t="str">
        <x:v>万元</x:v>
      </x:c>
      <x:c r="T81" s="62" t="str">
        <x:v>费用不含税</x:v>
      </x:c>
      <x:c r="U81" s="62" t="str">
        <x:v>技术部</x:v>
      </x:c>
      <x:c r="V81" s="62" t="str">
        <x:v>新技术应用技术配置_前期阶段</x:v>
      </x:c>
      <x:c r="W81" s="62" t="str">
        <x:v>新技术应用技术配置_前期阶段</x:v>
      </x:c>
      <x:c r="X81" s="62" t="str">
        <x:v>北京核工院</x:v>
      </x:c>
      <x:c r="Y81" s="62" t="str">
        <x:v>北京核工院</x:v>
      </x:c>
      <x:c r="Z81" s="62" t="str">
        <x:v>17</x:v>
      </x:c>
      <x:c r="AA81" s="62" t="str">
        <x:v>新技术应用</x:v>
      </x:c>
      <x:c r="AB81" s="62" t="str">
        <x:v>PRJ-JS-新技-2025-002</x:v>
      </x:c>
      <x:c r="AC81" s="74" t="n">
        <x:v>45657</x:v>
      </x:c>
      <x:c r="AD81" s="71" t="str">
        <x:v>源记录保留</x:v>
      </x:c>
      <x:c r="AE81" s="71" t="str">
        <x:v>2024年实际执行.xlsx</x:v>
      </x:c>
      <x:c r="AF81" s="71" t="str">
        <x:v>Sheet</x:v>
      </x:c>
      <x:c r="AG81" s="71" t="n">
        <x:v>81</x:v>
      </x:c>
      <x:c r="AH81" s="71" t="str">
        <x:v>2024年实际执行.xlsx/Sheet!81:81</x:v>
      </x:c>
      <x:c r="AI81" s="62" t="str">
        <x:f>IF(F81=MONTH(L81),"OK","FAIL")</x:f>
        <x:v>OK</x:v>
      </x:c>
      <x:c r="AJ81" s="62" t="str">
        <x:f>IF(J81&lt;=L81,"OK","FAIL")</x:f>
        <x:v>OK</x:v>
      </x:c>
      <x:c r="AK81" s="62" t="str">
        <x:f>IF(D81&lt;&gt;"营业收入","OK",IF(AND(P81&lt;0,Q81&gt;0),"OK","FAIL"))</x:f>
        <x:v>OK</x:v>
      </x:c>
      <x:c r="AL81" s="62" t="str">
        <x:f>IF(COUNTIF($A$2:$A$204,A81)=1,"OK","FAIL")</x:f>
        <x:v>OK</x:v>
      </x:c>
    </x:row>
    <x:row r="82">
      <x:c r="A82" s="62" t="str">
        <x:v>DEMO01|2024|DOC1080|10</x:v>
      </x:c>
      <x:c r="B82" s="62" t="str">
        <x:v>SOURCE</x:v>
      </x:c>
      <x:c r="C82" s="62" t="str">
        <x:v>生产物料费</x:v>
      </x:c>
      <x:c r="D82" s="62" t="str">
        <x:v>生产物料费</x:v>
      </x:c>
      <x:c r="E82" s="62" t="n">
        <x:v>12</x:v>
      </x:c>
      <x:c r="F82" s="62" t="n">
        <x:v>12</x:v>
      </x:c>
      <x:c r="G82" s="62" t="str">
        <x:v>DOC1080</x:v>
      </x:c>
      <x:c r="H82" s="62" t="n">
        <x:v>10</x:v>
      </x:c>
      <x:c r="I82" s="74" t="n">
        <x:v>45641</x:v>
      </x:c>
      <x:c r="J82" s="74" t="n">
        <x:v>45641</x:v>
      </x:c>
      <x:c r="K82" s="74" t="n">
        <x:v>45641</x:v>
      </x:c>
      <x:c r="L82" s="74" t="n">
        <x:v>45641</x:v>
      </x:c>
      <x:c r="M82" s="77" t="n">
        <x:v>6.069</x:v>
      </x:c>
      <x:c r="N82" s="77"/>
      <x:c r="O82" s="78"/>
      <x:c r="P82" s="79" t="n">
        <x:f>M82</x:f>
        <x:v>6.069</x:v>
      </x:c>
      <x:c r="Q82" s="79" t="n">
        <x:f>IF(D82="营业收入",-P82,P82)</x:f>
        <x:v>6.069</x:v>
      </x:c>
      <x:c r="R82" s="62" t="str">
        <x:v>CNY</x:v>
      </x:c>
      <x:c r="S82" s="62" t="str">
        <x:v>万元</x:v>
      </x:c>
      <x:c r="T82" s="62" t="str">
        <x:v>费用不含税</x:v>
      </x:c>
      <x:c r="U82" s="62" t="str">
        <x:v>技术部</x:v>
      </x:c>
      <x:c r="V82" s="62" t="str">
        <x:v>新技术应用现场物料采购</x:v>
      </x:c>
      <x:c r="W82" s="62" t="str">
        <x:v>新技术应用现场物料采购</x:v>
      </x:c>
      <x:c r="X82" s="62" t="str">
        <x:v>北京核工院</x:v>
      </x:c>
      <x:c r="Y82" s="62" t="str">
        <x:v>北京核工院</x:v>
      </x:c>
      <x:c r="Z82" s="62" t="str">
        <x:v>17</x:v>
      </x:c>
      <x:c r="AA82" s="62" t="str">
        <x:v>新技术应用</x:v>
      </x:c>
      <x:c r="AB82" s="62" t="str">
        <x:v>PRJ-JS-新技-2025-002</x:v>
      </x:c>
      <x:c r="AC82" s="74" t="n">
        <x:v>45657</x:v>
      </x:c>
      <x:c r="AD82" s="71" t="str">
        <x:v>源记录保留</x:v>
      </x:c>
      <x:c r="AE82" s="71" t="str">
        <x:v>2024年实际执行.xlsx</x:v>
      </x:c>
      <x:c r="AF82" s="71" t="str">
        <x:v>Sheet</x:v>
      </x:c>
      <x:c r="AG82" s="71" t="n">
        <x:v>82</x:v>
      </x:c>
      <x:c r="AH82" s="71" t="str">
        <x:v>2024年实际执行.xlsx/Sheet!82:82</x:v>
      </x:c>
      <x:c r="AI82" s="62" t="str">
        <x:f>IF(F82=MONTH(L82),"OK","FAIL")</x:f>
        <x:v>OK</x:v>
      </x:c>
      <x:c r="AJ82" s="62" t="str">
        <x:f>IF(J82&lt;=L82,"OK","FAIL")</x:f>
        <x:v>OK</x:v>
      </x:c>
      <x:c r="AK82" s="62" t="str">
        <x:f>IF(D82&lt;&gt;"营业收入","OK",IF(AND(P82&lt;0,Q82&gt;0),"OK","FAIL"))</x:f>
        <x:v>OK</x:v>
      </x:c>
      <x:c r="AL82" s="62" t="str">
        <x:f>IF(COUNTIF($A$2:$A$204,A82)=1,"OK","FAIL")</x:f>
        <x:v>OK</x:v>
      </x:c>
    </x:row>
    <x:row r="83">
      <x:c r="A83" s="62" t="str">
        <x:v>DEMO01|2024|DOC1081|10</x:v>
      </x:c>
      <x:c r="B83" s="62" t="str">
        <x:v>SOURCE</x:v>
      </x:c>
      <x:c r="C83" s="62" t="str">
        <x:v>办公费</x:v>
      </x:c>
      <x:c r="D83" s="62" t="str">
        <x:v>办公费</x:v>
      </x:c>
      <x:c r="E83" s="62" t="n">
        <x:v>8</x:v>
      </x:c>
      <x:c r="F83" s="62" t="n">
        <x:v>8</x:v>
      </x:c>
      <x:c r="G83" s="62" t="str">
        <x:v>DOC1081</x:v>
      </x:c>
      <x:c r="H83" s="62" t="n">
        <x:v>10</x:v>
      </x:c>
      <x:c r="I83" s="74" t="n">
        <x:v>45519</x:v>
      </x:c>
      <x:c r="J83" s="74" t="n">
        <x:v>45519</x:v>
      </x:c>
      <x:c r="K83" s="74" t="n">
        <x:v>45519</x:v>
      </x:c>
      <x:c r="L83" s="74" t="n">
        <x:v>45519</x:v>
      </x:c>
      <x:c r="M83" s="77" t="n">
        <x:v>1.2138</x:v>
      </x:c>
      <x:c r="N83" s="77"/>
      <x:c r="O83" s="78"/>
      <x:c r="P83" s="79" t="n">
        <x:f>M83</x:f>
        <x:v>1.2138</x:v>
      </x:c>
      <x:c r="Q83" s="79" t="n">
        <x:f>IF(D83="营业收入",-P83,P83)</x:f>
        <x:v>1.2138</x:v>
      </x:c>
      <x:c r="R83" s="62" t="str">
        <x:v>CNY</x:v>
      </x:c>
      <x:c r="S83" s="62" t="str">
        <x:v>万元</x:v>
      </x:c>
      <x:c r="T83" s="62" t="str">
        <x:v>费用不含税</x:v>
      </x:c>
      <x:c r="U83" s="62" t="str">
        <x:v>技术部</x:v>
      </x:c>
      <x:c r="V83" s="62" t="str">
        <x:v>新技术应用日常办公</x:v>
      </x:c>
      <x:c r="W83" s="62" t="str">
        <x:v>新技术应用日常办公</x:v>
      </x:c>
      <x:c r="X83" s="62" t="str">
        <x:v>北京核工院</x:v>
      </x:c>
      <x:c r="Y83" s="62" t="str">
        <x:v>北京核工院</x:v>
      </x:c>
      <x:c r="Z83" s="62" t="str">
        <x:v>17</x:v>
      </x:c>
      <x:c r="AA83" s="62" t="str">
        <x:v>新技术应用</x:v>
      </x:c>
      <x:c r="AB83" s="62" t="str">
        <x:v>PRJ-JS-新技-2025-002</x:v>
      </x:c>
      <x:c r="AC83" s="74" t="n">
        <x:v>45657</x:v>
      </x:c>
      <x:c r="AD83" s="71" t="str">
        <x:v>源记录保留</x:v>
      </x:c>
      <x:c r="AE83" s="71" t="str">
        <x:v>2024年实际执行.xlsx</x:v>
      </x:c>
      <x:c r="AF83" s="71" t="str">
        <x:v>Sheet</x:v>
      </x:c>
      <x:c r="AG83" s="71" t="n">
        <x:v>83</x:v>
      </x:c>
      <x:c r="AH83" s="71" t="str">
        <x:v>2024年实际执行.xlsx/Sheet!83:83</x:v>
      </x:c>
      <x:c r="AI83" s="62" t="str">
        <x:f>IF(F83=MONTH(L83),"OK","FAIL")</x:f>
        <x:v>OK</x:v>
      </x:c>
      <x:c r="AJ83" s="62" t="str">
        <x:f>IF(J83&lt;=L83,"OK","FAIL")</x:f>
        <x:v>OK</x:v>
      </x:c>
      <x:c r="AK83" s="62" t="str">
        <x:f>IF(D83&lt;&gt;"营业收入","OK",IF(AND(P83&lt;0,Q83&gt;0),"OK","FAIL"))</x:f>
        <x:v>OK</x:v>
      </x:c>
      <x:c r="AL83" s="62" t="str">
        <x:f>IF(COUNTIF($A$2:$A$204,A83)=1,"OK","FAIL")</x:f>
        <x:v>OK</x:v>
      </x:c>
    </x:row>
    <x:row r="84">
      <x:c r="A84" s="62" t="str">
        <x:v>DEMO01|2024|DOC1082|10</x:v>
      </x:c>
      <x:c r="B84" s="62" t="str">
        <x:v>SOURCE</x:v>
      </x:c>
      <x:c r="C84" s="62" t="str">
        <x:v>人工成本</x:v>
      </x:c>
      <x:c r="D84" s="62" t="str">
        <x:v>人工成本</x:v>
      </x:c>
      <x:c r="E84" s="62" t="n">
        <x:v>6</x:v>
      </x:c>
      <x:c r="F84" s="62" t="n">
        <x:v>6</x:v>
      </x:c>
      <x:c r="G84" s="62" t="str">
        <x:v>DOC1082</x:v>
      </x:c>
      <x:c r="H84" s="62" t="n">
        <x:v>10</x:v>
      </x:c>
      <x:c r="I84" s="74" t="n">
        <x:v>45473</x:v>
      </x:c>
      <x:c r="J84" s="74" t="n">
        <x:v>45473</x:v>
      </x:c>
      <x:c r="K84" s="74" t="n">
        <x:v>45473</x:v>
      </x:c>
      <x:c r="L84" s="74" t="n">
        <x:v>45473</x:v>
      </x:c>
      <x:c r="M84" s="77" t="n">
        <x:v>9</x:v>
      </x:c>
      <x:c r="N84" s="77"/>
      <x:c r="O84" s="78"/>
      <x:c r="P84" s="79" t="n">
        <x:f>M84</x:f>
        <x:v>9</x:v>
      </x:c>
      <x:c r="Q84" s="79" t="n">
        <x:f>IF(D84="营业收入",-P84,P84)</x:f>
        <x:v>9</x:v>
      </x:c>
      <x:c r="R84" s="62" t="str">
        <x:v>CNY</x:v>
      </x:c>
      <x:c r="S84" s="62" t="str">
        <x:v>万元</x:v>
      </x:c>
      <x:c r="T84" s="62" t="str">
        <x:v>费用不含税</x:v>
      </x:c>
      <x:c r="U84" s="62" t="str">
        <x:v>技术部</x:v>
      </x:c>
      <x:c r="V84" s="62" t="str">
        <x:v>新技术应用人工成本分摊</x:v>
      </x:c>
      <x:c r="W84" s="62" t="str">
        <x:v>新技术应用人工成本分摊</x:v>
      </x:c>
      <x:c r="X84" s="62" t="str">
        <x:v>17</x:v>
      </x:c>
      <x:c r="Y84" s="62" t="str">
        <x:v>17</x:v>
      </x:c>
      <x:c r="Z84" s="62" t="str">
        <x:v>17</x:v>
      </x:c>
      <x:c r="AA84" s="62" t="str">
        <x:v>新技术应用</x:v>
      </x:c>
      <x:c r="AB84" s="62" t="str">
        <x:v>PRJ-JS-新技-2025-002</x:v>
      </x:c>
      <x:c r="AC84" s="74" t="n">
        <x:v>45657</x:v>
      </x:c>
      <x:c r="AD84" s="71" t="str">
        <x:v>源记录保留</x:v>
      </x:c>
      <x:c r="AE84" s="71" t="str">
        <x:v>2024年实际执行.xlsx</x:v>
      </x:c>
      <x:c r="AF84" s="71" t="str">
        <x:v>Sheet</x:v>
      </x:c>
      <x:c r="AG84" s="71" t="n">
        <x:v>84</x:v>
      </x:c>
      <x:c r="AH84" s="71" t="str">
        <x:v>2024年实际执行.xlsx/Sheet!84:84</x:v>
      </x:c>
      <x:c r="AI84" s="62" t="str">
        <x:f>IF(F84=MONTH(L84),"OK","FAIL")</x:f>
        <x:v>OK</x:v>
      </x:c>
      <x:c r="AJ84" s="62" t="str">
        <x:f>IF(J84&lt;=L84,"OK","FAIL")</x:f>
        <x:v>OK</x:v>
      </x:c>
      <x:c r="AK84" s="62" t="str">
        <x:f>IF(D84&lt;&gt;"营业收入","OK",IF(AND(P84&lt;0,Q84&gt;0),"OK","FAIL"))</x:f>
        <x:v>OK</x:v>
      </x:c>
      <x:c r="AL84" s="62" t="str">
        <x:f>IF(COUNTIF($A$2:$A$204,A84)=1,"OK","FAIL")</x:f>
        <x:v>OK</x:v>
      </x:c>
    </x:row>
    <x:row r="85">
      <x:c r="A85" s="62" t="str">
        <x:v>DEMO01|2024|DOC1083|10</x:v>
      </x:c>
      <x:c r="B85" s="62" t="str">
        <x:v>SOURCE</x:v>
      </x:c>
      <x:c r="C85" s="62" t="str">
        <x:v>折旧摊销</x:v>
      </x:c>
      <x:c r="D85" s="62" t="str">
        <x:v>折旧摊销</x:v>
      </x:c>
      <x:c r="E85" s="62" t="n">
        <x:v>12</x:v>
      </x:c>
      <x:c r="F85" s="62" t="n">
        <x:v>12</x:v>
      </x:c>
      <x:c r="G85" s="62" t="str">
        <x:v>DOC1083</x:v>
      </x:c>
      <x:c r="H85" s="62" t="n">
        <x:v>10</x:v>
      </x:c>
      <x:c r="I85" s="74" t="n">
        <x:v>45657</x:v>
      </x:c>
      <x:c r="J85" s="74" t="n">
        <x:v>45657</x:v>
      </x:c>
      <x:c r="K85" s="74" t="n">
        <x:v>45657</x:v>
      </x:c>
      <x:c r="L85" s="74" t="n">
        <x:v>45657</x:v>
      </x:c>
      <x:c r="M85" s="77" t="n">
        <x:v>2</x:v>
      </x:c>
      <x:c r="N85" s="77"/>
      <x:c r="O85" s="78"/>
      <x:c r="P85" s="79" t="n">
        <x:f>M85</x:f>
        <x:v>2</x:v>
      </x:c>
      <x:c r="Q85" s="79" t="n">
        <x:f>IF(D85="营业收入",-P85,P85)</x:f>
        <x:v>2</x:v>
      </x:c>
      <x:c r="R85" s="62" t="str">
        <x:v>CNY</x:v>
      </x:c>
      <x:c r="S85" s="62" t="str">
        <x:v>万元</x:v>
      </x:c>
      <x:c r="T85" s="62" t="str">
        <x:v>费用不含税</x:v>
      </x:c>
      <x:c r="U85" s="62" t="str">
        <x:v>技术部</x:v>
      </x:c>
      <x:c r="V85" s="62" t="str">
        <x:v>新技术应用折旧摊销分摊</x:v>
      </x:c>
      <x:c r="W85" s="62" t="str">
        <x:v>新技术应用折旧摊销分摊</x:v>
      </x:c>
      <x:c r="X85" s="62" t="str">
        <x:v>17</x:v>
      </x:c>
      <x:c r="Y85" s="62" t="str">
        <x:v>17</x:v>
      </x:c>
      <x:c r="Z85" s="62" t="str">
        <x:v>17</x:v>
      </x:c>
      <x:c r="AA85" s="62" t="str">
        <x:v>新技术应用</x:v>
      </x:c>
      <x:c r="AB85" s="62" t="str">
        <x:v>PRJ-JS-新技-2025-002</x:v>
      </x:c>
      <x:c r="AC85" s="74" t="n">
        <x:v>45657</x:v>
      </x:c>
      <x:c r="AD85" s="71" t="str">
        <x:v>源记录保留</x:v>
      </x:c>
      <x:c r="AE85" s="71" t="str">
        <x:v>2024年实际执行.xlsx</x:v>
      </x:c>
      <x:c r="AF85" s="71" t="str">
        <x:v>Sheet</x:v>
      </x:c>
      <x:c r="AG85" s="71" t="n">
        <x:v>85</x:v>
      </x:c>
      <x:c r="AH85" s="71" t="str">
        <x:v>2024年实际执行.xlsx/Sheet!85:85</x:v>
      </x:c>
      <x:c r="AI85" s="62" t="str">
        <x:f>IF(F85=MONTH(L85),"OK","FAIL")</x:f>
        <x:v>OK</x:v>
      </x:c>
      <x:c r="AJ85" s="62" t="str">
        <x:f>IF(J85&lt;=L85,"OK","FAIL")</x:f>
        <x:v>OK</x:v>
      </x:c>
      <x:c r="AK85" s="62" t="str">
        <x:f>IF(D85&lt;&gt;"营业收入","OK",IF(AND(P85&lt;0,Q85&gt;0),"OK","FAIL"))</x:f>
        <x:v>OK</x:v>
      </x:c>
      <x:c r="AL85" s="62" t="str">
        <x:f>IF(COUNTIF($A$2:$A$204,A85)=1,"OK","FAIL")</x:f>
        <x:v>OK</x:v>
      </x:c>
    </x:row>
    <x:row r="86">
      <x:c r="A86" s="62" t="str">
        <x:v>DEMO01|2024|DOC1084|10</x:v>
      </x:c>
      <x:c r="B86" s="62" t="str">
        <x:v>SOURCE</x:v>
      </x:c>
      <x:c r="C86" s="62" t="str">
        <x:v>业务支持费</x:v>
      </x:c>
      <x:c r="D86" s="62" t="str">
        <x:v>业务支持费-其他</x:v>
      </x:c>
      <x:c r="E86" s="62" t="n">
        <x:v>12</x:v>
      </x:c>
      <x:c r="F86" s="62" t="n">
        <x:v>12</x:v>
      </x:c>
      <x:c r="G86" s="62" t="str">
        <x:v>DOC1084</x:v>
      </x:c>
      <x:c r="H86" s="62" t="n">
        <x:v>10</x:v>
      </x:c>
      <x:c r="I86" s="74" t="n">
        <x:v>45657</x:v>
      </x:c>
      <x:c r="J86" s="74" t="n">
        <x:v>45657</x:v>
      </x:c>
      <x:c r="K86" s="74" t="n">
        <x:v>45657</x:v>
      </x:c>
      <x:c r="L86" s="74" t="n">
        <x:v>45657</x:v>
      </x:c>
      <x:c r="M86" s="77" t="n">
        <x:v>6.069</x:v>
      </x:c>
      <x:c r="N86" s="77"/>
      <x:c r="O86" s="78"/>
      <x:c r="P86" s="79" t="n">
        <x:f>M86</x:f>
        <x:v>6.069</x:v>
      </x:c>
      <x:c r="Q86" s="79" t="n">
        <x:f>IF(D86="营业收入",-P86,P86)</x:f>
        <x:v>6.069</x:v>
      </x:c>
      <x:c r="R86" s="62" t="str">
        <x:v>CNY</x:v>
      </x:c>
      <x:c r="S86" s="62" t="str">
        <x:v>万元</x:v>
      </x:c>
      <x:c r="T86" s="62" t="str">
        <x:v>费用不含税</x:v>
      </x:c>
      <x:c r="U86" s="62" t="str">
        <x:v>技术部</x:v>
      </x:c>
      <x:c r="V86" s="62" t="str">
        <x:v>计提新技术应用_2024年末预提</x:v>
      </x:c>
      <x:c r="W86" s="62" t="str">
        <x:v>计提新技术应用_2024年末预提</x:v>
      </x:c>
      <x:c r="X86" s="62" t="str">
        <x:v>北京核工院</x:v>
      </x:c>
      <x:c r="Y86" s="62" t="str">
        <x:v>北京核工院</x:v>
      </x:c>
      <x:c r="Z86" s="62" t="str">
        <x:v>17</x:v>
      </x:c>
      <x:c r="AA86" s="62" t="str">
        <x:v>新技术应用</x:v>
      </x:c>
      <x:c r="AB86" s="62" t="str">
        <x:v>PRJ-JS-新技-2025-002</x:v>
      </x:c>
      <x:c r="AC86" s="74" t="n">
        <x:v>45657</x:v>
      </x:c>
      <x:c r="AD86" s="71" t="str">
        <x:v>源记录保留</x:v>
      </x:c>
      <x:c r="AE86" s="71" t="str">
        <x:v>2024年实际执行.xlsx</x:v>
      </x:c>
      <x:c r="AF86" s="71" t="str">
        <x:v>Sheet</x:v>
      </x:c>
      <x:c r="AG86" s="71" t="n">
        <x:v>86</x:v>
      </x:c>
      <x:c r="AH86" s="71" t="str">
        <x:v>2024年实际执行.xlsx/Sheet!86:86</x:v>
      </x:c>
      <x:c r="AI86" s="62" t="str">
        <x:f>IF(F86=MONTH(L86),"OK","FAIL")</x:f>
        <x:v>OK</x:v>
      </x:c>
      <x:c r="AJ86" s="62" t="str">
        <x:f>IF(J86&lt;=L86,"OK","FAIL")</x:f>
        <x:v>OK</x:v>
      </x:c>
      <x:c r="AK86" s="62" t="str">
        <x:f>IF(D86&lt;&gt;"营业收入","OK",IF(AND(P86&lt;0,Q86&gt;0),"OK","FAIL"))</x:f>
        <x:v>OK</x:v>
      </x:c>
      <x:c r="AL86" s="62" t="str">
        <x:f>IF(COUNTIF($A$2:$A$204,A86)=1,"OK","FAIL")</x:f>
        <x:v>OK</x:v>
      </x:c>
    </x:row>
    <x:row r="87">
      <x:c r="A87" s="62" t="str">
        <x:v>DEMO01|2024|DOC1085|10</x:v>
      </x:c>
      <x:c r="B87" s="62" t="str">
        <x:v>SOURCE</x:v>
      </x:c>
      <x:c r="C87" s="62" t="str">
        <x:v>营业收入</x:v>
      </x:c>
      <x:c r="D87" s="62" t="str">
        <x:v>营业收入</x:v>
      </x:c>
      <x:c r="E87" s="62" t="n">
        <x:v>6</x:v>
      </x:c>
      <x:c r="F87" s="62" t="n">
        <x:v>6</x:v>
      </x:c>
      <x:c r="G87" s="62" t="str">
        <x:v>DOC1085</x:v>
      </x:c>
      <x:c r="H87" s="62" t="n">
        <x:v>10</x:v>
      </x:c>
      <x:c r="I87" s="74" t="n">
        <x:v>45458</x:v>
      </x:c>
      <x:c r="J87" s="74" t="n">
        <x:v>45458</x:v>
      </x:c>
      <x:c r="K87" s="74" t="n">
        <x:v>45458</x:v>
      </x:c>
      <x:c r="L87" s="74" t="n">
        <x:v>45458</x:v>
      </x:c>
      <x:c r="M87" s="77" t="n">
        <x:v>-24</x:v>
      </x:c>
      <x:c r="N87" s="77"/>
      <x:c r="O87" s="78"/>
      <x:c r="P87" s="79" t="n">
        <x:f>M87</x:f>
        <x:v>-24</x:v>
      </x:c>
      <x:c r="Q87" s="79" t="n">
        <x:f>IF(D87="营业收入",-P87,P87)</x:f>
        <x:v>24</x:v>
      </x:c>
      <x:c r="R87" s="62" t="str">
        <x:v>CNY</x:v>
      </x:c>
      <x:c r="S87" s="62" t="str">
        <x:v>万元</x:v>
      </x:c>
      <x:c r="T87" s="62" t="str">
        <x:v>收益；源负号</x:v>
      </x:c>
      <x:c r="U87" s="62" t="str">
        <x:v>技术部</x:v>
      </x:c>
      <x:c r="V87" s="62" t="str">
        <x:v>新技术应用收入确认</x:v>
      </x:c>
      <x:c r="W87" s="62" t="str">
        <x:v>新技术应用收入确认</x:v>
      </x:c>
      <x:c r="X87" s="62" t="str">
        <x:v>17</x:v>
      </x:c>
      <x:c r="Y87" s="62" t="str">
        <x:v>17</x:v>
      </x:c>
      <x:c r="Z87" s="62" t="str">
        <x:v>17</x:v>
      </x:c>
      <x:c r="AA87" s="62" t="str">
        <x:v>新技术应用</x:v>
      </x:c>
      <x:c r="AB87" s="62" t="str">
        <x:v>PRJ-JS-新技-2025-003</x:v>
      </x:c>
      <x:c r="AC87" s="74" t="n">
        <x:v>45657</x:v>
      </x:c>
      <x:c r="AD87" s="71" t="str">
        <x:v>源记录保留</x:v>
      </x:c>
      <x:c r="AE87" s="71" t="str">
        <x:v>2024年实际执行.xlsx</x:v>
      </x:c>
      <x:c r="AF87" s="71" t="str">
        <x:v>Sheet</x:v>
      </x:c>
      <x:c r="AG87" s="71" t="n">
        <x:v>87</x:v>
      </x:c>
      <x:c r="AH87" s="71" t="str">
        <x:v>2024年实际执行.xlsx/Sheet!87:87</x:v>
      </x:c>
      <x:c r="AI87" s="62" t="str">
        <x:f>IF(F87=MONTH(L87),"OK","FAIL")</x:f>
        <x:v>OK</x:v>
      </x:c>
      <x:c r="AJ87" s="62" t="str">
        <x:f>IF(J87&lt;=L87,"OK","FAIL")</x:f>
        <x:v>OK</x:v>
      </x:c>
      <x:c r="AK87" s="62" t="str">
        <x:f>IF(D87&lt;&gt;"营业收入","OK",IF(AND(P87&lt;0,Q87&gt;0),"OK","FAIL"))</x:f>
        <x:v>OK</x:v>
      </x:c>
      <x:c r="AL87" s="62" t="str">
        <x:f>IF(COUNTIF($A$2:$A$204,A87)=1,"OK","FAIL")</x:f>
        <x:v>OK</x:v>
      </x:c>
    </x:row>
    <x:row r="88">
      <x:c r="A88" s="62" t="str">
        <x:v>DEMO01|2024|DOC1086|10</x:v>
      </x:c>
      <x:c r="B88" s="62" t="str">
        <x:v>SOURCE</x:v>
      </x:c>
      <x:c r="C88" s="62" t="str">
        <x:v>会议费</x:v>
      </x:c>
      <x:c r="D88" s="62" t="str">
        <x:v>会议费</x:v>
      </x:c>
      <x:c r="E88" s="62" t="n">
        <x:v>2</x:v>
      </x:c>
      <x:c r="F88" s="62" t="n">
        <x:v>2</x:v>
      </x:c>
      <x:c r="G88" s="62" t="str">
        <x:v>DOC1086</x:v>
      </x:c>
      <x:c r="H88" s="62" t="n">
        <x:v>10</x:v>
      </x:c>
      <x:c r="I88" s="74" t="n">
        <x:v>45337</x:v>
      </x:c>
      <x:c r="J88" s="74" t="n">
        <x:v>45337</x:v>
      </x:c>
      <x:c r="K88" s="74" t="n">
        <x:v>45337</x:v>
      </x:c>
      <x:c r="L88" s="74" t="n">
        <x:v>45337</x:v>
      </x:c>
      <x:c r="M88" s="77" t="n">
        <x:v>0.311733333333333</x:v>
      </x:c>
      <x:c r="N88" s="77"/>
      <x:c r="O88" s="78"/>
      <x:c r="P88" s="79" t="n">
        <x:f>M88</x:f>
        <x:v>0.311733333333333</x:v>
      </x:c>
      <x:c r="Q88" s="79" t="n">
        <x:f>IF(D88="营业收入",-P88,P88)</x:f>
        <x:v>0.311733333333333</x:v>
      </x:c>
      <x:c r="R88" s="62" t="str">
        <x:v>CNY</x:v>
      </x:c>
      <x:c r="S88" s="62" t="str">
        <x:v>万元</x:v>
      </x:c>
      <x:c r="T88" s="62" t="str">
        <x:v>费用不含税</x:v>
      </x:c>
      <x:c r="U88" s="62" t="str">
        <x:v>技术部</x:v>
      </x:c>
      <x:c r="V88" s="62" t="str">
        <x:v>新技术应用项目阶段评审会</x:v>
      </x:c>
      <x:c r="W88" s="62" t="str">
        <x:v>新技术应用项目阶段评审会</x:v>
      </x:c>
      <x:c r="X88" s="62" t="str">
        <x:v>苏州热工</x:v>
      </x:c>
      <x:c r="Y88" s="62" t="str">
        <x:v>苏州热工</x:v>
      </x:c>
      <x:c r="Z88" s="62" t="str">
        <x:v>17</x:v>
      </x:c>
      <x:c r="AA88" s="62" t="str">
        <x:v>新技术应用</x:v>
      </x:c>
      <x:c r="AB88" s="62" t="str">
        <x:v>PRJ-JS-新技-2025-003</x:v>
      </x:c>
      <x:c r="AC88" s="74" t="n">
        <x:v>45657</x:v>
      </x:c>
      <x:c r="AD88" s="71" t="str">
        <x:v>源记录保留</x:v>
      </x:c>
      <x:c r="AE88" s="71" t="str">
        <x:v>2024年实际执行.xlsx</x:v>
      </x:c>
      <x:c r="AF88" s="71" t="str">
        <x:v>Sheet</x:v>
      </x:c>
      <x:c r="AG88" s="71" t="n">
        <x:v>88</x:v>
      </x:c>
      <x:c r="AH88" s="71" t="str">
        <x:v>2024年实际执行.xlsx/Sheet!88:88</x:v>
      </x:c>
      <x:c r="AI88" s="62" t="str">
        <x:f>IF(F88=MONTH(L88),"OK","FAIL")</x:f>
        <x:v>OK</x:v>
      </x:c>
      <x:c r="AJ88" s="62" t="str">
        <x:f>IF(J88&lt;=L88,"OK","FAIL")</x:f>
        <x:v>OK</x:v>
      </x:c>
      <x:c r="AK88" s="62" t="str">
        <x:f>IF(D88&lt;&gt;"营业收入","OK",IF(AND(P88&lt;0,Q88&gt;0),"OK","FAIL"))</x:f>
        <x:v>OK</x:v>
      </x:c>
      <x:c r="AL88" s="62" t="str">
        <x:f>IF(COUNTIF($A$2:$A$204,A88)=1,"OK","FAIL")</x:f>
        <x:v>OK</x:v>
      </x:c>
    </x:row>
    <x:row r="89">
      <x:c r="A89" s="62" t="str">
        <x:v>DEMO01|2024|DOC1087|10</x:v>
      </x:c>
      <x:c r="B89" s="62" t="str">
        <x:v>SOURCE</x:v>
      </x:c>
      <x:c r="C89" s="62" t="str">
        <x:v>业务支持费</x:v>
      </x:c>
      <x:c r="D89" s="62" t="str">
        <x:v>业务支持费-技术配置</x:v>
      </x:c>
      <x:c r="E89" s="62" t="n">
        <x:v>7</x:v>
      </x:c>
      <x:c r="F89" s="62" t="n">
        <x:v>7</x:v>
      </x:c>
      <x:c r="G89" s="62" t="str">
        <x:v>DOC1087</x:v>
      </x:c>
      <x:c r="H89" s="62" t="n">
        <x:v>10</x:v>
      </x:c>
      <x:c r="I89" s="74" t="n">
        <x:v>45488</x:v>
      </x:c>
      <x:c r="J89" s="74" t="n">
        <x:v>45488</x:v>
      </x:c>
      <x:c r="K89" s="74" t="n">
        <x:v>45488</x:v>
      </x:c>
      <x:c r="L89" s="74" t="n">
        <x:v>45488</x:v>
      </x:c>
      <x:c r="M89" s="77" t="n">
        <x:v>12.4693333333333</x:v>
      </x:c>
      <x:c r="N89" s="77"/>
      <x:c r="O89" s="78"/>
      <x:c r="P89" s="79" t="n">
        <x:f>M89</x:f>
        <x:v>12.4693333333333</x:v>
      </x:c>
      <x:c r="Q89" s="79" t="n">
        <x:f>IF(D89="营业收入",-P89,P89)</x:f>
        <x:v>12.4693333333333</x:v>
      </x:c>
      <x:c r="R89" s="62" t="str">
        <x:v>CNY</x:v>
      </x:c>
      <x:c r="S89" s="62" t="str">
        <x:v>万元</x:v>
      </x:c>
      <x:c r="T89" s="62" t="str">
        <x:v>费用不含税</x:v>
      </x:c>
      <x:c r="U89" s="62" t="str">
        <x:v>技术部</x:v>
      </x:c>
      <x:c r="V89" s="62" t="str">
        <x:v>新技术应用技术配置_前期阶段</x:v>
      </x:c>
      <x:c r="W89" s="62" t="str">
        <x:v>新技术应用技术配置_前期阶段</x:v>
      </x:c>
      <x:c r="X89" s="62" t="str">
        <x:v>苏州热工</x:v>
      </x:c>
      <x:c r="Y89" s="62" t="str">
        <x:v>苏州热工</x:v>
      </x:c>
      <x:c r="Z89" s="62" t="str">
        <x:v>17</x:v>
      </x:c>
      <x:c r="AA89" s="62" t="str">
        <x:v>新技术应用</x:v>
      </x:c>
      <x:c r="AB89" s="62" t="str">
        <x:v>PRJ-JS-新技-2025-003</x:v>
      </x:c>
      <x:c r="AC89" s="74" t="n">
        <x:v>45657</x:v>
      </x:c>
      <x:c r="AD89" s="71" t="str">
        <x:v>源记录保留</x:v>
      </x:c>
      <x:c r="AE89" s="71" t="str">
        <x:v>2024年实际执行.xlsx</x:v>
      </x:c>
      <x:c r="AF89" s="71" t="str">
        <x:v>Sheet</x:v>
      </x:c>
      <x:c r="AG89" s="71" t="n">
        <x:v>89</x:v>
      </x:c>
      <x:c r="AH89" s="71" t="str">
        <x:v>2024年实际执行.xlsx/Sheet!89:89</x:v>
      </x:c>
      <x:c r="AI89" s="62" t="str">
        <x:f>IF(F89=MONTH(L89),"OK","FAIL")</x:f>
        <x:v>OK</x:v>
      </x:c>
      <x:c r="AJ89" s="62" t="str">
        <x:f>IF(J89&lt;=L89,"OK","FAIL")</x:f>
        <x:v>OK</x:v>
      </x:c>
      <x:c r="AK89" s="62" t="str">
        <x:f>IF(D89&lt;&gt;"营业收入","OK",IF(AND(P89&lt;0,Q89&gt;0),"OK","FAIL"))</x:f>
        <x:v>OK</x:v>
      </x:c>
      <x:c r="AL89" s="62" t="str">
        <x:f>IF(COUNTIF($A$2:$A$204,A89)=1,"OK","FAIL")</x:f>
        <x:v>OK</x:v>
      </x:c>
    </x:row>
    <x:row r="90">
      <x:c r="A90" s="62" t="str">
        <x:v>DEMO01|2024|DOC1088|10</x:v>
      </x:c>
      <x:c r="B90" s="62" t="str">
        <x:v>SOURCE</x:v>
      </x:c>
      <x:c r="C90" s="62" t="str">
        <x:v>生产物料费</x:v>
      </x:c>
      <x:c r="D90" s="62" t="str">
        <x:v>生产物料费</x:v>
      </x:c>
      <x:c r="E90" s="62" t="n">
        <x:v>2</x:v>
      </x:c>
      <x:c r="F90" s="62" t="n">
        <x:v>2</x:v>
      </x:c>
      <x:c r="G90" s="62" t="str">
        <x:v>DOC1088</x:v>
      </x:c>
      <x:c r="H90" s="62" t="n">
        <x:v>10</x:v>
      </x:c>
      <x:c r="I90" s="74" t="n">
        <x:v>45337</x:v>
      </x:c>
      <x:c r="J90" s="74" t="n">
        <x:v>45337</x:v>
      </x:c>
      <x:c r="K90" s="74" t="n">
        <x:v>45337</x:v>
      </x:c>
      <x:c r="L90" s="74" t="n">
        <x:v>45337</x:v>
      </x:c>
      <x:c r="M90" s="77" t="n">
        <x:v>4.676</x:v>
      </x:c>
      <x:c r="N90" s="77"/>
      <x:c r="O90" s="78"/>
      <x:c r="P90" s="79" t="n">
        <x:f>M90</x:f>
        <x:v>4.676</x:v>
      </x:c>
      <x:c r="Q90" s="79" t="n">
        <x:f>IF(D90="营业收入",-P90,P90)</x:f>
        <x:v>4.676</x:v>
      </x:c>
      <x:c r="R90" s="62" t="str">
        <x:v>CNY</x:v>
      </x:c>
      <x:c r="S90" s="62" t="str">
        <x:v>万元</x:v>
      </x:c>
      <x:c r="T90" s="62" t="str">
        <x:v>费用不含税</x:v>
      </x:c>
      <x:c r="U90" s="62" t="str">
        <x:v>技术部</x:v>
      </x:c>
      <x:c r="V90" s="62" t="str">
        <x:v>新技术应用现场物料采购</x:v>
      </x:c>
      <x:c r="W90" s="62" t="str">
        <x:v>新技术应用现场物料采购</x:v>
      </x:c>
      <x:c r="X90" s="62" t="str">
        <x:v>苏州热工</x:v>
      </x:c>
      <x:c r="Y90" s="62" t="str">
        <x:v>苏州热工</x:v>
      </x:c>
      <x:c r="Z90" s="62" t="str">
        <x:v>17</x:v>
      </x:c>
      <x:c r="AA90" s="62" t="str">
        <x:v>新技术应用</x:v>
      </x:c>
      <x:c r="AB90" s="62" t="str">
        <x:v>PRJ-JS-新技-2025-003</x:v>
      </x:c>
      <x:c r="AC90" s="74" t="n">
        <x:v>45657</x:v>
      </x:c>
      <x:c r="AD90" s="71" t="str">
        <x:v>源记录保留</x:v>
      </x:c>
      <x:c r="AE90" s="71" t="str">
        <x:v>2024年实际执行.xlsx</x:v>
      </x:c>
      <x:c r="AF90" s="71" t="str">
        <x:v>Sheet</x:v>
      </x:c>
      <x:c r="AG90" s="71" t="n">
        <x:v>90</x:v>
      </x:c>
      <x:c r="AH90" s="71" t="str">
        <x:v>2024年实际执行.xlsx/Sheet!90:90</x:v>
      </x:c>
      <x:c r="AI90" s="62" t="str">
        <x:f>IF(F90=MONTH(L90),"OK","FAIL")</x:f>
        <x:v>OK</x:v>
      </x:c>
      <x:c r="AJ90" s="62" t="str">
        <x:f>IF(J90&lt;=L90,"OK","FAIL")</x:f>
        <x:v>OK</x:v>
      </x:c>
      <x:c r="AK90" s="62" t="str">
        <x:f>IF(D90&lt;&gt;"营业收入","OK",IF(AND(P90&lt;0,Q90&gt;0),"OK","FAIL"))</x:f>
        <x:v>OK</x:v>
      </x:c>
      <x:c r="AL90" s="62" t="str">
        <x:f>IF(COUNTIF($A$2:$A$204,A90)=1,"OK","FAIL")</x:f>
        <x:v>OK</x:v>
      </x:c>
    </x:row>
    <x:row r="91">
      <x:c r="A91" s="62" t="str">
        <x:v>DEMO01|2024|DOC1089|10</x:v>
      </x:c>
      <x:c r="B91" s="62" t="str">
        <x:v>SOURCE</x:v>
      </x:c>
      <x:c r="C91" s="62" t="str">
        <x:v>办公费</x:v>
      </x:c>
      <x:c r="D91" s="62" t="str">
        <x:v>办公费</x:v>
      </x:c>
      <x:c r="E91" s="62" t="n">
        <x:v>9</x:v>
      </x:c>
      <x:c r="F91" s="62" t="n">
        <x:v>9</x:v>
      </x:c>
      <x:c r="G91" s="62" t="str">
        <x:v>DOC1089</x:v>
      </x:c>
      <x:c r="H91" s="62" t="n">
        <x:v>10</x:v>
      </x:c>
      <x:c r="I91" s="74" t="n">
        <x:v>45550</x:v>
      </x:c>
      <x:c r="J91" s="74" t="n">
        <x:v>45550</x:v>
      </x:c>
      <x:c r="K91" s="74" t="n">
        <x:v>45550</x:v>
      </x:c>
      <x:c r="L91" s="74" t="n">
        <x:v>45550</x:v>
      </x:c>
      <x:c r="M91" s="77" t="n">
        <x:v>0.9352</x:v>
      </x:c>
      <x:c r="N91" s="77"/>
      <x:c r="O91" s="78"/>
      <x:c r="P91" s="79" t="n">
        <x:f>M91</x:f>
        <x:v>0.9352</x:v>
      </x:c>
      <x:c r="Q91" s="79" t="n">
        <x:f>IF(D91="营业收入",-P91,P91)</x:f>
        <x:v>0.9352</x:v>
      </x:c>
      <x:c r="R91" s="62" t="str">
        <x:v>CNY</x:v>
      </x:c>
      <x:c r="S91" s="62" t="str">
        <x:v>万元</x:v>
      </x:c>
      <x:c r="T91" s="62" t="str">
        <x:v>费用不含税</x:v>
      </x:c>
      <x:c r="U91" s="62" t="str">
        <x:v>技术部</x:v>
      </x:c>
      <x:c r="V91" s="62" t="str">
        <x:v>新技术应用日常办公</x:v>
      </x:c>
      <x:c r="W91" s="62" t="str">
        <x:v>新技术应用日常办公</x:v>
      </x:c>
      <x:c r="X91" s="62" t="str">
        <x:v>苏州热工</x:v>
      </x:c>
      <x:c r="Y91" s="62" t="str">
        <x:v>苏州热工</x:v>
      </x:c>
      <x:c r="Z91" s="62" t="str">
        <x:v>17</x:v>
      </x:c>
      <x:c r="AA91" s="62" t="str">
        <x:v>新技术应用</x:v>
      </x:c>
      <x:c r="AB91" s="62" t="str">
        <x:v>PRJ-JS-新技-2025-003</x:v>
      </x:c>
      <x:c r="AC91" s="74" t="n">
        <x:v>45657</x:v>
      </x:c>
      <x:c r="AD91" s="71" t="str">
        <x:v>源记录保留</x:v>
      </x:c>
      <x:c r="AE91" s="71" t="str">
        <x:v>2024年实际执行.xlsx</x:v>
      </x:c>
      <x:c r="AF91" s="71" t="str">
        <x:v>Sheet</x:v>
      </x:c>
      <x:c r="AG91" s="71" t="n">
        <x:v>91</x:v>
      </x:c>
      <x:c r="AH91" s="71" t="str">
        <x:v>2024年实际执行.xlsx/Sheet!91:91</x:v>
      </x:c>
      <x:c r="AI91" s="62" t="str">
        <x:f>IF(F91=MONTH(L91),"OK","FAIL")</x:f>
        <x:v>OK</x:v>
      </x:c>
      <x:c r="AJ91" s="62" t="str">
        <x:f>IF(J91&lt;=L91,"OK","FAIL")</x:f>
        <x:v>OK</x:v>
      </x:c>
      <x:c r="AK91" s="62" t="str">
        <x:f>IF(D91&lt;&gt;"营业收入","OK",IF(AND(P91&lt;0,Q91&gt;0),"OK","FAIL"))</x:f>
        <x:v>OK</x:v>
      </x:c>
      <x:c r="AL91" s="62" t="str">
        <x:f>IF(COUNTIF($A$2:$A$204,A91)=1,"OK","FAIL")</x:f>
        <x:v>OK</x:v>
      </x:c>
    </x:row>
    <x:row r="92">
      <x:c r="A92" s="62" t="str">
        <x:v>DEMO01|2024|DOC1090|10</x:v>
      </x:c>
      <x:c r="B92" s="62" t="str">
        <x:v>SOURCE</x:v>
      </x:c>
      <x:c r="C92" s="62" t="str">
        <x:v>人工成本</x:v>
      </x:c>
      <x:c r="D92" s="62" t="str">
        <x:v>人工成本</x:v>
      </x:c>
      <x:c r="E92" s="62" t="n">
        <x:v>6</x:v>
      </x:c>
      <x:c r="F92" s="62" t="n">
        <x:v>6</x:v>
      </x:c>
      <x:c r="G92" s="62" t="str">
        <x:v>DOC1090</x:v>
      </x:c>
      <x:c r="H92" s="62" t="n">
        <x:v>10</x:v>
      </x:c>
      <x:c r="I92" s="74" t="n">
        <x:v>45473</x:v>
      </x:c>
      <x:c r="J92" s="74" t="n">
        <x:v>45473</x:v>
      </x:c>
      <x:c r="K92" s="74" t="n">
        <x:v>45473</x:v>
      </x:c>
      <x:c r="L92" s="74" t="n">
        <x:v>45473</x:v>
      </x:c>
      <x:c r="M92" s="77" t="n">
        <x:v>9</x:v>
      </x:c>
      <x:c r="N92" s="77"/>
      <x:c r="O92" s="78"/>
      <x:c r="P92" s="79" t="n">
        <x:f>M92</x:f>
        <x:v>9</x:v>
      </x:c>
      <x:c r="Q92" s="79" t="n">
        <x:f>IF(D92="营业收入",-P92,P92)</x:f>
        <x:v>9</x:v>
      </x:c>
      <x:c r="R92" s="62" t="str">
        <x:v>CNY</x:v>
      </x:c>
      <x:c r="S92" s="62" t="str">
        <x:v>万元</x:v>
      </x:c>
      <x:c r="T92" s="62" t="str">
        <x:v>费用不含税</x:v>
      </x:c>
      <x:c r="U92" s="62" t="str">
        <x:v>技术部</x:v>
      </x:c>
      <x:c r="V92" s="62" t="str">
        <x:v>新技术应用人工成本分摊</x:v>
      </x:c>
      <x:c r="W92" s="62" t="str">
        <x:v>新技术应用人工成本分摊</x:v>
      </x:c>
      <x:c r="X92" s="62" t="str">
        <x:v>17</x:v>
      </x:c>
      <x:c r="Y92" s="62" t="str">
        <x:v>17</x:v>
      </x:c>
      <x:c r="Z92" s="62" t="str">
        <x:v>17</x:v>
      </x:c>
      <x:c r="AA92" s="62" t="str">
        <x:v>新技术应用</x:v>
      </x:c>
      <x:c r="AB92" s="62" t="str">
        <x:v>PRJ-JS-新技-2025-003</x:v>
      </x:c>
      <x:c r="AC92" s="74" t="n">
        <x:v>45657</x:v>
      </x:c>
      <x:c r="AD92" s="71" t="str">
        <x:v>源记录保留</x:v>
      </x:c>
      <x:c r="AE92" s="71" t="str">
        <x:v>2024年实际执行.xlsx</x:v>
      </x:c>
      <x:c r="AF92" s="71" t="str">
        <x:v>Sheet</x:v>
      </x:c>
      <x:c r="AG92" s="71" t="n">
        <x:v>92</x:v>
      </x:c>
      <x:c r="AH92" s="71" t="str">
        <x:v>2024年实际执行.xlsx/Sheet!92:92</x:v>
      </x:c>
      <x:c r="AI92" s="62" t="str">
        <x:f>IF(F92=MONTH(L92),"OK","FAIL")</x:f>
        <x:v>OK</x:v>
      </x:c>
      <x:c r="AJ92" s="62" t="str">
        <x:f>IF(J92&lt;=L92,"OK","FAIL")</x:f>
        <x:v>OK</x:v>
      </x:c>
      <x:c r="AK92" s="62" t="str">
        <x:f>IF(D92&lt;&gt;"营业收入","OK",IF(AND(P92&lt;0,Q92&gt;0),"OK","FAIL"))</x:f>
        <x:v>OK</x:v>
      </x:c>
      <x:c r="AL92" s="62" t="str">
        <x:f>IF(COUNTIF($A$2:$A$204,A92)=1,"OK","FAIL")</x:f>
        <x:v>OK</x:v>
      </x:c>
    </x:row>
    <x:row r="93">
      <x:c r="A93" s="62" t="str">
        <x:v>DEMO01|2024|DOC1091|10</x:v>
      </x:c>
      <x:c r="B93" s="62" t="str">
        <x:v>SOURCE</x:v>
      </x:c>
      <x:c r="C93" s="62" t="str">
        <x:v>折旧摊销</x:v>
      </x:c>
      <x:c r="D93" s="62" t="str">
        <x:v>折旧摊销</x:v>
      </x:c>
      <x:c r="E93" s="62" t="n">
        <x:v>12</x:v>
      </x:c>
      <x:c r="F93" s="62" t="n">
        <x:v>12</x:v>
      </x:c>
      <x:c r="G93" s="62" t="str">
        <x:v>DOC1091</x:v>
      </x:c>
      <x:c r="H93" s="62" t="n">
        <x:v>10</x:v>
      </x:c>
      <x:c r="I93" s="74" t="n">
        <x:v>45657</x:v>
      </x:c>
      <x:c r="J93" s="74" t="n">
        <x:v>45657</x:v>
      </x:c>
      <x:c r="K93" s="74" t="n">
        <x:v>45657</x:v>
      </x:c>
      <x:c r="L93" s="74" t="n">
        <x:v>45657</x:v>
      </x:c>
      <x:c r="M93" s="77" t="n">
        <x:v>2</x:v>
      </x:c>
      <x:c r="N93" s="77"/>
      <x:c r="O93" s="78"/>
      <x:c r="P93" s="79" t="n">
        <x:f>M93</x:f>
        <x:v>2</x:v>
      </x:c>
      <x:c r="Q93" s="79" t="n">
        <x:f>IF(D93="营业收入",-P93,P93)</x:f>
        <x:v>2</x:v>
      </x:c>
      <x:c r="R93" s="62" t="str">
        <x:v>CNY</x:v>
      </x:c>
      <x:c r="S93" s="62" t="str">
        <x:v>万元</x:v>
      </x:c>
      <x:c r="T93" s="62" t="str">
        <x:v>费用不含税</x:v>
      </x:c>
      <x:c r="U93" s="62" t="str">
        <x:v>技术部</x:v>
      </x:c>
      <x:c r="V93" s="62" t="str">
        <x:v>新技术应用折旧摊销分摊</x:v>
      </x:c>
      <x:c r="W93" s="62" t="str">
        <x:v>新技术应用折旧摊销分摊</x:v>
      </x:c>
      <x:c r="X93" s="62" t="str">
        <x:v>17</x:v>
      </x:c>
      <x:c r="Y93" s="62" t="str">
        <x:v>17</x:v>
      </x:c>
      <x:c r="Z93" s="62" t="str">
        <x:v>17</x:v>
      </x:c>
      <x:c r="AA93" s="62" t="str">
        <x:v>新技术应用</x:v>
      </x:c>
      <x:c r="AB93" s="62" t="str">
        <x:v>PRJ-JS-新技-2025-003</x:v>
      </x:c>
      <x:c r="AC93" s="74" t="n">
        <x:v>45657</x:v>
      </x:c>
      <x:c r="AD93" s="71" t="str">
        <x:v>源记录保留</x:v>
      </x:c>
      <x:c r="AE93" s="71" t="str">
        <x:v>2024年实际执行.xlsx</x:v>
      </x:c>
      <x:c r="AF93" s="71" t="str">
        <x:v>Sheet</x:v>
      </x:c>
      <x:c r="AG93" s="71" t="n">
        <x:v>93</x:v>
      </x:c>
      <x:c r="AH93" s="71" t="str">
        <x:v>2024年实际执行.xlsx/Sheet!93:93</x:v>
      </x:c>
      <x:c r="AI93" s="62" t="str">
        <x:f>IF(F93=MONTH(L93),"OK","FAIL")</x:f>
        <x:v>OK</x:v>
      </x:c>
      <x:c r="AJ93" s="62" t="str">
        <x:f>IF(J93&lt;=L93,"OK","FAIL")</x:f>
        <x:v>OK</x:v>
      </x:c>
      <x:c r="AK93" s="62" t="str">
        <x:f>IF(D93&lt;&gt;"营业收入","OK",IF(AND(P93&lt;0,Q93&gt;0),"OK","FAIL"))</x:f>
        <x:v>OK</x:v>
      </x:c>
      <x:c r="AL93" s="62" t="str">
        <x:f>IF(COUNTIF($A$2:$A$204,A93)=1,"OK","FAIL")</x:f>
        <x:v>OK</x:v>
      </x:c>
    </x:row>
    <x:row r="94">
      <x:c r="A94" s="62" t="str">
        <x:v>DEMO01|2024|DOC1092|10</x:v>
      </x:c>
      <x:c r="B94" s="62" t="str">
        <x:v>SOURCE</x:v>
      </x:c>
      <x:c r="C94" s="62" t="str">
        <x:v>营业收入</x:v>
      </x:c>
      <x:c r="D94" s="62" t="str">
        <x:v>营业收入</x:v>
      </x:c>
      <x:c r="E94" s="62" t="n">
        <x:v>6</x:v>
      </x:c>
      <x:c r="F94" s="62" t="n">
        <x:v>6</x:v>
      </x:c>
      <x:c r="G94" s="62" t="str">
        <x:v>DOC1092</x:v>
      </x:c>
      <x:c r="H94" s="62" t="n">
        <x:v>10</x:v>
      </x:c>
      <x:c r="I94" s="74" t="n">
        <x:v>45458</x:v>
      </x:c>
      <x:c r="J94" s="74" t="n">
        <x:v>45458</x:v>
      </x:c>
      <x:c r="K94" s="74" t="n">
        <x:v>45458</x:v>
      </x:c>
      <x:c r="L94" s="74" t="n">
        <x:v>45458</x:v>
      </x:c>
      <x:c r="M94" s="77" t="n">
        <x:v>-200</x:v>
      </x:c>
      <x:c r="N94" s="77"/>
      <x:c r="O94" s="78"/>
      <x:c r="P94" s="79" t="n">
        <x:f>M94</x:f>
        <x:v>-200</x:v>
      </x:c>
      <x:c r="Q94" s="79" t="n">
        <x:f>IF(D94="营业收入",-P94,P94)</x:f>
        <x:v>200</x:v>
      </x:c>
      <x:c r="R94" s="62" t="str">
        <x:v>CNY</x:v>
      </x:c>
      <x:c r="S94" s="62" t="str">
        <x:v>万元</x:v>
      </x:c>
      <x:c r="T94" s="62" t="str">
        <x:v>收益；源负号</x:v>
      </x:c>
      <x:c r="U94" s="62" t="str">
        <x:v>安全运行部</x:v>
      </x:c>
      <x:c r="V94" s="62" t="str">
        <x:v>概率安全分析收入确认</x:v>
      </x:c>
      <x:c r="W94" s="62" t="str">
        <x:v>概率安全分析收入确认</x:v>
      </x:c>
      <x:c r="X94" s="62" t="str">
        <x:v>17</x:v>
      </x:c>
      <x:c r="Y94" s="62" t="str">
        <x:v>17</x:v>
      </x:c>
      <x:c r="Z94" s="62" t="str">
        <x:v>17</x:v>
      </x:c>
      <x:c r="AA94" s="62" t="str">
        <x:v>概率安全分析</x:v>
      </x:c>
      <x:c r="AB94" s="62" t="str">
        <x:v>PRJ-AQ-概率-2024-001</x:v>
      </x:c>
      <x:c r="AC94" s="74" t="n">
        <x:v>45657</x:v>
      </x:c>
      <x:c r="AD94" s="71" t="str">
        <x:v>源记录保留</x:v>
      </x:c>
      <x:c r="AE94" s="71" t="str">
        <x:v>2024年实际执行.xlsx</x:v>
      </x:c>
      <x:c r="AF94" s="71" t="str">
        <x:v>Sheet</x:v>
      </x:c>
      <x:c r="AG94" s="71" t="n">
        <x:v>94</x:v>
      </x:c>
      <x:c r="AH94" s="71" t="str">
        <x:v>2024年实际执行.xlsx/Sheet!94:94</x:v>
      </x:c>
      <x:c r="AI94" s="62" t="str">
        <x:f>IF(F94=MONTH(L94),"OK","FAIL")</x:f>
        <x:v>OK</x:v>
      </x:c>
      <x:c r="AJ94" s="62" t="str">
        <x:f>IF(J94&lt;=L94,"OK","FAIL")</x:f>
        <x:v>OK</x:v>
      </x:c>
      <x:c r="AK94" s="62" t="str">
        <x:f>IF(D94&lt;&gt;"营业收入","OK",IF(AND(P94&lt;0,Q94&gt;0),"OK","FAIL"))</x:f>
        <x:v>OK</x:v>
      </x:c>
      <x:c r="AL94" s="62" t="str">
        <x:f>IF(COUNTIF($A$2:$A$204,A94)=1,"OK","FAIL")</x:f>
        <x:v>OK</x:v>
      </x:c>
    </x:row>
    <x:row r="95">
      <x:c r="A95" s="62" t="str">
        <x:v>DEMO01|2024|DOC1093|10</x:v>
      </x:c>
      <x:c r="B95" s="62" t="str">
        <x:v>SOURCE</x:v>
      </x:c>
      <x:c r="C95" s="62" t="str">
        <x:v>会议费</x:v>
      </x:c>
      <x:c r="D95" s="62" t="str">
        <x:v>会议费</x:v>
      </x:c>
      <x:c r="E95" s="62" t="n">
        <x:v>11</x:v>
      </x:c>
      <x:c r="F95" s="62" t="n">
        <x:v>11</x:v>
      </x:c>
      <x:c r="G95" s="62" t="str">
        <x:v>DOC1093</x:v>
      </x:c>
      <x:c r="H95" s="62" t="n">
        <x:v>10</x:v>
      </x:c>
      <x:c r="I95" s="74" t="n">
        <x:v>45611</x:v>
      </x:c>
      <x:c r="J95" s="74" t="n">
        <x:v>45611</x:v>
      </x:c>
      <x:c r="K95" s="74" t="n">
        <x:v>45611</x:v>
      </x:c>
      <x:c r="L95" s="74" t="n">
        <x:v>45611</x:v>
      </x:c>
      <x:c r="M95" s="77" t="n">
        <x:v>0.372866666666667</x:v>
      </x:c>
      <x:c r="N95" s="77"/>
      <x:c r="O95" s="78"/>
      <x:c r="P95" s="79" t="n">
        <x:f>M95</x:f>
        <x:v>0.372866666666667</x:v>
      </x:c>
      <x:c r="Q95" s="79" t="n">
        <x:f>IF(D95="营业收入",-P95,P95)</x:f>
        <x:v>0.372866666666667</x:v>
      </x:c>
      <x:c r="R95" s="62" t="str">
        <x:v>CNY</x:v>
      </x:c>
      <x:c r="S95" s="62" t="str">
        <x:v>万元</x:v>
      </x:c>
      <x:c r="T95" s="62" t="str">
        <x:v>费用不含税</x:v>
      </x:c>
      <x:c r="U95" s="62" t="str">
        <x:v>安全运行部</x:v>
      </x:c>
      <x:c r="V95" s="62" t="str">
        <x:v>概率安全分析项目阶段评审会</x:v>
      </x:c>
      <x:c r="W95" s="62" t="str">
        <x:v>概率安全分析项目阶段评审会</x:v>
      </x:c>
      <x:c r="X95" s="62" t="str">
        <x:v>上海电气</x:v>
      </x:c>
      <x:c r="Y95" s="62" t="str">
        <x:v>上海电气</x:v>
      </x:c>
      <x:c r="Z95" s="62" t="str">
        <x:v>17</x:v>
      </x:c>
      <x:c r="AA95" s="62" t="str">
        <x:v>概率安全分析</x:v>
      </x:c>
      <x:c r="AB95" s="62" t="str">
        <x:v>PRJ-AQ-概率-2024-001</x:v>
      </x:c>
      <x:c r="AC95" s="74" t="n">
        <x:v>45657</x:v>
      </x:c>
      <x:c r="AD95" s="71" t="str">
        <x:v>源记录保留</x:v>
      </x:c>
      <x:c r="AE95" s="71" t="str">
        <x:v>2024年实际执行.xlsx</x:v>
      </x:c>
      <x:c r="AF95" s="71" t="str">
        <x:v>Sheet</x:v>
      </x:c>
      <x:c r="AG95" s="71" t="n">
        <x:v>95</x:v>
      </x:c>
      <x:c r="AH95" s="71" t="str">
        <x:v>2024年实际执行.xlsx/Sheet!95:95</x:v>
      </x:c>
      <x:c r="AI95" s="62" t="str">
        <x:f>IF(F95=MONTH(L95),"OK","FAIL")</x:f>
        <x:v>OK</x:v>
      </x:c>
      <x:c r="AJ95" s="62" t="str">
        <x:f>IF(J95&lt;=L95,"OK","FAIL")</x:f>
        <x:v>OK</x:v>
      </x:c>
      <x:c r="AK95" s="62" t="str">
        <x:f>IF(D95&lt;&gt;"营业收入","OK",IF(AND(P95&lt;0,Q95&gt;0),"OK","FAIL"))</x:f>
        <x:v>OK</x:v>
      </x:c>
      <x:c r="AL95" s="62" t="str">
        <x:f>IF(COUNTIF($A$2:$A$204,A95)=1,"OK","FAIL")</x:f>
        <x:v>OK</x:v>
      </x:c>
    </x:row>
    <x:row r="96">
      <x:c r="A96" s="62" t="str">
        <x:v>DEMO01|2024|DOC1094|10</x:v>
      </x:c>
      <x:c r="B96" s="62" t="str">
        <x:v>SOURCE</x:v>
      </x:c>
      <x:c r="C96" s="62" t="str">
        <x:v>业务支持费</x:v>
      </x:c>
      <x:c r="D96" s="62" t="str">
        <x:v>业务支持费-技术配置</x:v>
      </x:c>
      <x:c r="E96" s="62" t="n">
        <x:v>10</x:v>
      </x:c>
      <x:c r="F96" s="62" t="n">
        <x:v>10</x:v>
      </x:c>
      <x:c r="G96" s="62" t="str">
        <x:v>DOC1094</x:v>
      </x:c>
      <x:c r="H96" s="62" t="n">
        <x:v>10</x:v>
      </x:c>
      <x:c r="I96" s="74" t="n">
        <x:v>45580</x:v>
      </x:c>
      <x:c r="J96" s="74" t="n">
        <x:v>45580</x:v>
      </x:c>
      <x:c r="K96" s="74" t="n">
        <x:v>45580</x:v>
      </x:c>
      <x:c r="L96" s="74" t="n">
        <x:v>45580</x:v>
      </x:c>
      <x:c r="M96" s="77" t="n">
        <x:v>14.9146666666667</x:v>
      </x:c>
      <x:c r="N96" s="77"/>
      <x:c r="O96" s="78"/>
      <x:c r="P96" s="79" t="n">
        <x:f>M96</x:f>
        <x:v>14.9146666666667</x:v>
      </x:c>
      <x:c r="Q96" s="79" t="n">
        <x:f>IF(D96="营业收入",-P96,P96)</x:f>
        <x:v>14.9146666666667</x:v>
      </x:c>
      <x:c r="R96" s="62" t="str">
        <x:v>CNY</x:v>
      </x:c>
      <x:c r="S96" s="62" t="str">
        <x:v>万元</x:v>
      </x:c>
      <x:c r="T96" s="62" t="str">
        <x:v>费用不含税</x:v>
      </x:c>
      <x:c r="U96" s="62" t="str">
        <x:v>安全运行部</x:v>
      </x:c>
      <x:c r="V96" s="62" t="str">
        <x:v>概率安全分析技术配置_前期阶段</x:v>
      </x:c>
      <x:c r="W96" s="62" t="str">
        <x:v>概率安全分析技术配置_前期阶段</x:v>
      </x:c>
      <x:c r="X96" s="62" t="str">
        <x:v>上海电气</x:v>
      </x:c>
      <x:c r="Y96" s="62" t="str">
        <x:v>上海电气</x:v>
      </x:c>
      <x:c r="Z96" s="62" t="str">
        <x:v>17</x:v>
      </x:c>
      <x:c r="AA96" s="62" t="str">
        <x:v>概率安全分析</x:v>
      </x:c>
      <x:c r="AB96" s="62" t="str">
        <x:v>PRJ-AQ-概率-2024-001</x:v>
      </x:c>
      <x:c r="AC96" s="74" t="n">
        <x:v>45657</x:v>
      </x:c>
      <x:c r="AD96" s="71" t="str">
        <x:v>源记录保留</x:v>
      </x:c>
      <x:c r="AE96" s="71" t="str">
        <x:v>2024年实际执行.xlsx</x:v>
      </x:c>
      <x:c r="AF96" s="71" t="str">
        <x:v>Sheet</x:v>
      </x:c>
      <x:c r="AG96" s="71" t="n">
        <x:v>96</x:v>
      </x:c>
      <x:c r="AH96" s="71" t="str">
        <x:v>2024年实际执行.xlsx/Sheet!96:96</x:v>
      </x:c>
      <x:c r="AI96" s="62" t="str">
        <x:f>IF(F96=MONTH(L96),"OK","FAIL")</x:f>
        <x:v>OK</x:v>
      </x:c>
      <x:c r="AJ96" s="62" t="str">
        <x:f>IF(J96&lt;=L96,"OK","FAIL")</x:f>
        <x:v>OK</x:v>
      </x:c>
      <x:c r="AK96" s="62" t="str">
        <x:f>IF(D96&lt;&gt;"营业收入","OK",IF(AND(P96&lt;0,Q96&gt;0),"OK","FAIL"))</x:f>
        <x:v>OK</x:v>
      </x:c>
      <x:c r="AL96" s="62" t="str">
        <x:f>IF(COUNTIF($A$2:$A$204,A96)=1,"OK","FAIL")</x:f>
        <x:v>OK</x:v>
      </x:c>
    </x:row>
    <x:row r="97">
      <x:c r="A97" s="62" t="str">
        <x:v>DEMO01|2024|DOC1095|10</x:v>
      </x:c>
      <x:c r="B97" s="62" t="str">
        <x:v>SOURCE</x:v>
      </x:c>
      <x:c r="C97" s="62" t="str">
        <x:v>生产物料费</x:v>
      </x:c>
      <x:c r="D97" s="62" t="str">
        <x:v>生产物料费</x:v>
      </x:c>
      <x:c r="E97" s="62" t="n">
        <x:v>6</x:v>
      </x:c>
      <x:c r="F97" s="62" t="n">
        <x:v>6</x:v>
      </x:c>
      <x:c r="G97" s="62" t="str">
        <x:v>DOC1095</x:v>
      </x:c>
      <x:c r="H97" s="62" t="n">
        <x:v>10</x:v>
      </x:c>
      <x:c r="I97" s="74" t="n">
        <x:v>45458</x:v>
      </x:c>
      <x:c r="J97" s="74" t="n">
        <x:v>45458</x:v>
      </x:c>
      <x:c r="K97" s="74" t="n">
        <x:v>45458</x:v>
      </x:c>
      <x:c r="L97" s="74" t="n">
        <x:v>45458</x:v>
      </x:c>
      <x:c r="M97" s="77" t="n">
        <x:v>5.593</x:v>
      </x:c>
      <x:c r="N97" s="77"/>
      <x:c r="O97" s="78"/>
      <x:c r="P97" s="79" t="n">
        <x:f>M97</x:f>
        <x:v>5.593</x:v>
      </x:c>
      <x:c r="Q97" s="79" t="n">
        <x:f>IF(D97="营业收入",-P97,P97)</x:f>
        <x:v>5.593</x:v>
      </x:c>
      <x:c r="R97" s="62" t="str">
        <x:v>CNY</x:v>
      </x:c>
      <x:c r="S97" s="62" t="str">
        <x:v>万元</x:v>
      </x:c>
      <x:c r="T97" s="62" t="str">
        <x:v>费用不含税</x:v>
      </x:c>
      <x:c r="U97" s="62" t="str">
        <x:v>安全运行部</x:v>
      </x:c>
      <x:c r="V97" s="62" t="str">
        <x:v>概率安全分析现场物料采购</x:v>
      </x:c>
      <x:c r="W97" s="62" t="str">
        <x:v>概率安全分析现场物料采购</x:v>
      </x:c>
      <x:c r="X97" s="62" t="str">
        <x:v>上海电气</x:v>
      </x:c>
      <x:c r="Y97" s="62" t="str">
        <x:v>上海电气</x:v>
      </x:c>
      <x:c r="Z97" s="62" t="str">
        <x:v>17</x:v>
      </x:c>
      <x:c r="AA97" s="62" t="str">
        <x:v>概率安全分析</x:v>
      </x:c>
      <x:c r="AB97" s="62" t="str">
        <x:v>PRJ-AQ-概率-2024-001</x:v>
      </x:c>
      <x:c r="AC97" s="74" t="n">
        <x:v>45657</x:v>
      </x:c>
      <x:c r="AD97" s="71" t="str">
        <x:v>源记录保留</x:v>
      </x:c>
      <x:c r="AE97" s="71" t="str">
        <x:v>2024年实际执行.xlsx</x:v>
      </x:c>
      <x:c r="AF97" s="71" t="str">
        <x:v>Sheet</x:v>
      </x:c>
      <x:c r="AG97" s="71" t="n">
        <x:v>97</x:v>
      </x:c>
      <x:c r="AH97" s="71" t="str">
        <x:v>2024年实际执行.xlsx/Sheet!97:97</x:v>
      </x:c>
      <x:c r="AI97" s="62" t="str">
        <x:f>IF(F97=MONTH(L97),"OK","FAIL")</x:f>
        <x:v>OK</x:v>
      </x:c>
      <x:c r="AJ97" s="62" t="str">
        <x:f>IF(J97&lt;=L97,"OK","FAIL")</x:f>
        <x:v>OK</x:v>
      </x:c>
      <x:c r="AK97" s="62" t="str">
        <x:f>IF(D97&lt;&gt;"营业收入","OK",IF(AND(P97&lt;0,Q97&gt;0),"OK","FAIL"))</x:f>
        <x:v>OK</x:v>
      </x:c>
      <x:c r="AL97" s="62" t="str">
        <x:f>IF(COUNTIF($A$2:$A$204,A97)=1,"OK","FAIL")</x:f>
        <x:v>OK</x:v>
      </x:c>
    </x:row>
    <x:row r="98">
      <x:c r="A98" s="62" t="str">
        <x:v>DEMO01|2024|DOC1096|10</x:v>
      </x:c>
      <x:c r="B98" s="62" t="str">
        <x:v>SOURCE</x:v>
      </x:c>
      <x:c r="C98" s="62" t="str">
        <x:v>办公费</x:v>
      </x:c>
      <x:c r="D98" s="62" t="str">
        <x:v>办公费</x:v>
      </x:c>
      <x:c r="E98" s="62" t="n">
        <x:v>10</x:v>
      </x:c>
      <x:c r="F98" s="62" t="n">
        <x:v>10</x:v>
      </x:c>
      <x:c r="G98" s="62" t="str">
        <x:v>DOC1096</x:v>
      </x:c>
      <x:c r="H98" s="62" t="n">
        <x:v>10</x:v>
      </x:c>
      <x:c r="I98" s="74" t="n">
        <x:v>45580</x:v>
      </x:c>
      <x:c r="J98" s="74" t="n">
        <x:v>45580</x:v>
      </x:c>
      <x:c r="K98" s="74" t="n">
        <x:v>45580</x:v>
      </x:c>
      <x:c r="L98" s="74" t="n">
        <x:v>45580</x:v>
      </x:c>
      <x:c r="M98" s="77" t="n">
        <x:v>1.1186</x:v>
      </x:c>
      <x:c r="N98" s="77"/>
      <x:c r="O98" s="78"/>
      <x:c r="P98" s="79" t="n">
        <x:f>M98</x:f>
        <x:v>1.1186</x:v>
      </x:c>
      <x:c r="Q98" s="79" t="n">
        <x:f>IF(D98="营业收入",-P98,P98)</x:f>
        <x:v>1.1186</x:v>
      </x:c>
      <x:c r="R98" s="62" t="str">
        <x:v>CNY</x:v>
      </x:c>
      <x:c r="S98" s="62" t="str">
        <x:v>万元</x:v>
      </x:c>
      <x:c r="T98" s="62" t="str">
        <x:v>费用不含税</x:v>
      </x:c>
      <x:c r="U98" s="62" t="str">
        <x:v>安全运行部</x:v>
      </x:c>
      <x:c r="V98" s="62" t="str">
        <x:v>概率安全分析日常办公</x:v>
      </x:c>
      <x:c r="W98" s="62" t="str">
        <x:v>概率安全分析日常办公</x:v>
      </x:c>
      <x:c r="X98" s="62" t="str">
        <x:v>上海电气</x:v>
      </x:c>
      <x:c r="Y98" s="62" t="str">
        <x:v>上海电气</x:v>
      </x:c>
      <x:c r="Z98" s="62" t="str">
        <x:v>17</x:v>
      </x:c>
      <x:c r="AA98" s="62" t="str">
        <x:v>概率安全分析</x:v>
      </x:c>
      <x:c r="AB98" s="62" t="str">
        <x:v>PRJ-AQ-概率-2024-001</x:v>
      </x:c>
      <x:c r="AC98" s="74" t="n">
        <x:v>45657</x:v>
      </x:c>
      <x:c r="AD98" s="71" t="str">
        <x:v>源记录保留</x:v>
      </x:c>
      <x:c r="AE98" s="71" t="str">
        <x:v>2024年实际执行.xlsx</x:v>
      </x:c>
      <x:c r="AF98" s="71" t="str">
        <x:v>Sheet</x:v>
      </x:c>
      <x:c r="AG98" s="71" t="n">
        <x:v>98</x:v>
      </x:c>
      <x:c r="AH98" s="71" t="str">
        <x:v>2024年实际执行.xlsx/Sheet!98:98</x:v>
      </x:c>
      <x:c r="AI98" s="62" t="str">
        <x:f>IF(F98=MONTH(L98),"OK","FAIL")</x:f>
        <x:v>OK</x:v>
      </x:c>
      <x:c r="AJ98" s="62" t="str">
        <x:f>IF(J98&lt;=L98,"OK","FAIL")</x:f>
        <x:v>OK</x:v>
      </x:c>
      <x:c r="AK98" s="62" t="str">
        <x:f>IF(D98&lt;&gt;"营业收入","OK",IF(AND(P98&lt;0,Q98&gt;0),"OK","FAIL"))</x:f>
        <x:v>OK</x:v>
      </x:c>
      <x:c r="AL98" s="62" t="str">
        <x:f>IF(COUNTIF($A$2:$A$204,A98)=1,"OK","FAIL")</x:f>
        <x:v>OK</x:v>
      </x:c>
    </x:row>
    <x:row r="99">
      <x:c r="A99" s="62" t="str">
        <x:v>DEMO01|2024|DOC1097|10</x:v>
      </x:c>
      <x:c r="B99" s="62" t="str">
        <x:v>SOURCE</x:v>
      </x:c>
      <x:c r="C99" s="62" t="str">
        <x:v>人工成本</x:v>
      </x:c>
      <x:c r="D99" s="62" t="str">
        <x:v>人工成本</x:v>
      </x:c>
      <x:c r="E99" s="62" t="n">
        <x:v>6</x:v>
      </x:c>
      <x:c r="F99" s="62" t="n">
        <x:v>6</x:v>
      </x:c>
      <x:c r="G99" s="62" t="str">
        <x:v>DOC1097</x:v>
      </x:c>
      <x:c r="H99" s="62" t="n">
        <x:v>10</x:v>
      </x:c>
      <x:c r="I99" s="74" t="n">
        <x:v>45473</x:v>
      </x:c>
      <x:c r="J99" s="74" t="n">
        <x:v>45473</x:v>
      </x:c>
      <x:c r="K99" s="74" t="n">
        <x:v>45473</x:v>
      </x:c>
      <x:c r="L99" s="74" t="n">
        <x:v>45473</x:v>
      </x:c>
      <x:c r="M99" s="77" t="n">
        <x:v>6.8</x:v>
      </x:c>
      <x:c r="N99" s="77"/>
      <x:c r="O99" s="78"/>
      <x:c r="P99" s="79" t="n">
        <x:f>M99</x:f>
        <x:v>6.8</x:v>
      </x:c>
      <x:c r="Q99" s="79" t="n">
        <x:f>IF(D99="营业收入",-P99,P99)</x:f>
        <x:v>6.8</x:v>
      </x:c>
      <x:c r="R99" s="62" t="str">
        <x:v>CNY</x:v>
      </x:c>
      <x:c r="S99" s="62" t="str">
        <x:v>万元</x:v>
      </x:c>
      <x:c r="T99" s="62" t="str">
        <x:v>费用不含税</x:v>
      </x:c>
      <x:c r="U99" s="62" t="str">
        <x:v>安全运行部</x:v>
      </x:c>
      <x:c r="V99" s="62" t="str">
        <x:v>概率安全分析人工成本分摊</x:v>
      </x:c>
      <x:c r="W99" s="62" t="str">
        <x:v>概率安全分析人工成本分摊</x:v>
      </x:c>
      <x:c r="X99" s="62" t="str">
        <x:v>17</x:v>
      </x:c>
      <x:c r="Y99" s="62" t="str">
        <x:v>17</x:v>
      </x:c>
      <x:c r="Z99" s="62" t="str">
        <x:v>17</x:v>
      </x:c>
      <x:c r="AA99" s="62" t="str">
        <x:v>概率安全分析</x:v>
      </x:c>
      <x:c r="AB99" s="62" t="str">
        <x:v>PRJ-AQ-概率-2024-001</x:v>
      </x:c>
      <x:c r="AC99" s="74" t="n">
        <x:v>45657</x:v>
      </x:c>
      <x:c r="AD99" s="71" t="str">
        <x:v>源记录保留</x:v>
      </x:c>
      <x:c r="AE99" s="71" t="str">
        <x:v>2024年实际执行.xlsx</x:v>
      </x:c>
      <x:c r="AF99" s="71" t="str">
        <x:v>Sheet</x:v>
      </x:c>
      <x:c r="AG99" s="71" t="n">
        <x:v>99</x:v>
      </x:c>
      <x:c r="AH99" s="71" t="str">
        <x:v>2024年实际执行.xlsx/Sheet!99:99</x:v>
      </x:c>
      <x:c r="AI99" s="62" t="str">
        <x:f>IF(F99=MONTH(L99),"OK","FAIL")</x:f>
        <x:v>OK</x:v>
      </x:c>
      <x:c r="AJ99" s="62" t="str">
        <x:f>IF(J99&lt;=L99,"OK","FAIL")</x:f>
        <x:v>OK</x:v>
      </x:c>
      <x:c r="AK99" s="62" t="str">
        <x:f>IF(D99&lt;&gt;"营业收入","OK",IF(AND(P99&lt;0,Q99&gt;0),"OK","FAIL"))</x:f>
        <x:v>OK</x:v>
      </x:c>
      <x:c r="AL99" s="62" t="str">
        <x:f>IF(COUNTIF($A$2:$A$204,A99)=1,"OK","FAIL")</x:f>
        <x:v>OK</x:v>
      </x:c>
    </x:row>
    <x:row r="100">
      <x:c r="A100" s="62" t="str">
        <x:v>DEMO01|2024|DOC1098|10</x:v>
      </x:c>
      <x:c r="B100" s="62" t="str">
        <x:v>SOURCE</x:v>
      </x:c>
      <x:c r="C100" s="62" t="str">
        <x:v>折旧摊销</x:v>
      </x:c>
      <x:c r="D100" s="62" t="str">
        <x:v>折旧摊销</x:v>
      </x:c>
      <x:c r="E100" s="62" t="n">
        <x:v>12</x:v>
      </x:c>
      <x:c r="F100" s="62" t="n">
        <x:v>12</x:v>
      </x:c>
      <x:c r="G100" s="62" t="str">
        <x:v>DOC1098</x:v>
      </x:c>
      <x:c r="H100" s="62" t="n">
        <x:v>10</x:v>
      </x:c>
      <x:c r="I100" s="74" t="n">
        <x:v>45657</x:v>
      </x:c>
      <x:c r="J100" s="74" t="n">
        <x:v>45657</x:v>
      </x:c>
      <x:c r="K100" s="74" t="n">
        <x:v>45657</x:v>
      </x:c>
      <x:c r="L100" s="74" t="n">
        <x:v>45657</x:v>
      </x:c>
      <x:c r="M100" s="77" t="n">
        <x:v>2</x:v>
      </x:c>
      <x:c r="N100" s="77"/>
      <x:c r="O100" s="78"/>
      <x:c r="P100" s="79" t="n">
        <x:f>M100</x:f>
        <x:v>2</x:v>
      </x:c>
      <x:c r="Q100" s="79" t="n">
        <x:f>IF(D100="营业收入",-P100,P100)</x:f>
        <x:v>2</x:v>
      </x:c>
      <x:c r="R100" s="62" t="str">
        <x:v>CNY</x:v>
      </x:c>
      <x:c r="S100" s="62" t="str">
        <x:v>万元</x:v>
      </x:c>
      <x:c r="T100" s="62" t="str">
        <x:v>费用不含税</x:v>
      </x:c>
      <x:c r="U100" s="62" t="str">
        <x:v>安全运行部</x:v>
      </x:c>
      <x:c r="V100" s="62" t="str">
        <x:v>概率安全分析折旧摊销分摊</x:v>
      </x:c>
      <x:c r="W100" s="62" t="str">
        <x:v>概率安全分析折旧摊销分摊</x:v>
      </x:c>
      <x:c r="X100" s="62" t="str">
        <x:v>17</x:v>
      </x:c>
      <x:c r="Y100" s="62" t="str">
        <x:v>17</x:v>
      </x:c>
      <x:c r="Z100" s="62" t="str">
        <x:v>17</x:v>
      </x:c>
      <x:c r="AA100" s="62" t="str">
        <x:v>概率安全分析</x:v>
      </x:c>
      <x:c r="AB100" s="62" t="str">
        <x:v>PRJ-AQ-概率-2024-001</x:v>
      </x:c>
      <x:c r="AC100" s="74" t="n">
        <x:v>45657</x:v>
      </x:c>
      <x:c r="AD100" s="71" t="str">
        <x:v>源记录保留</x:v>
      </x:c>
      <x:c r="AE100" s="71" t="str">
        <x:v>2024年实际执行.xlsx</x:v>
      </x:c>
      <x:c r="AF100" s="71" t="str">
        <x:v>Sheet</x:v>
      </x:c>
      <x:c r="AG100" s="71" t="n">
        <x:v>100</x:v>
      </x:c>
      <x:c r="AH100" s="71" t="str">
        <x:v>2024年实际执行.xlsx/Sheet!100:100</x:v>
      </x:c>
      <x:c r="AI100" s="62" t="str">
        <x:f>IF(F100=MONTH(L100),"OK","FAIL")</x:f>
        <x:v>OK</x:v>
      </x:c>
      <x:c r="AJ100" s="62" t="str">
        <x:f>IF(J100&lt;=L100,"OK","FAIL")</x:f>
        <x:v>OK</x:v>
      </x:c>
      <x:c r="AK100" s="62" t="str">
        <x:f>IF(D100&lt;&gt;"营业收入","OK",IF(AND(P100&lt;0,Q100&gt;0),"OK","FAIL"))</x:f>
        <x:v>OK</x:v>
      </x:c>
      <x:c r="AL100" s="62" t="str">
        <x:f>IF(COUNTIF($A$2:$A$204,A100)=1,"OK","FAIL")</x:f>
        <x:v>OK</x:v>
      </x:c>
    </x:row>
    <x:row r="101">
      <x:c r="A101" s="62" t="str">
        <x:v>DEMO01|2024|DOC1099|10</x:v>
      </x:c>
      <x:c r="B101" s="62" t="str">
        <x:v>SOURCE</x:v>
      </x:c>
      <x:c r="C101" s="62" t="str">
        <x:v>业务支持费</x:v>
      </x:c>
      <x:c r="D101" s="62" t="str">
        <x:v>业务支持费-其他</x:v>
      </x:c>
      <x:c r="E101" s="62" t="n">
        <x:v>12</x:v>
      </x:c>
      <x:c r="F101" s="62" t="n">
        <x:v>12</x:v>
      </x:c>
      <x:c r="G101" s="62" t="str">
        <x:v>DOC1099</x:v>
      </x:c>
      <x:c r="H101" s="62" t="n">
        <x:v>10</x:v>
      </x:c>
      <x:c r="I101" s="74" t="n">
        <x:v>45657</x:v>
      </x:c>
      <x:c r="J101" s="74" t="n">
        <x:v>45657</x:v>
      </x:c>
      <x:c r="K101" s="74" t="n">
        <x:v>45657</x:v>
      </x:c>
      <x:c r="L101" s="74" t="n">
        <x:v>45657</x:v>
      </x:c>
      <x:c r="M101" s="77" t="n">
        <x:v>5.593</x:v>
      </x:c>
      <x:c r="N101" s="77"/>
      <x:c r="O101" s="78"/>
      <x:c r="P101" s="79" t="n">
        <x:f>M101</x:f>
        <x:v>5.593</x:v>
      </x:c>
      <x:c r="Q101" s="79" t="n">
        <x:f>IF(D101="营业收入",-P101,P101)</x:f>
        <x:v>5.593</x:v>
      </x:c>
      <x:c r="R101" s="62" t="str">
        <x:v>CNY</x:v>
      </x:c>
      <x:c r="S101" s="62" t="str">
        <x:v>万元</x:v>
      </x:c>
      <x:c r="T101" s="62" t="str">
        <x:v>费用不含税</x:v>
      </x:c>
      <x:c r="U101" s="62" t="str">
        <x:v>安全运行部</x:v>
      </x:c>
      <x:c r="V101" s="62" t="str">
        <x:v>计提概率安全分析_2024年末预提</x:v>
      </x:c>
      <x:c r="W101" s="62" t="str">
        <x:v>计提概率安全分析_2024年末预提</x:v>
      </x:c>
      <x:c r="X101" s="62" t="str">
        <x:v>上海电气</x:v>
      </x:c>
      <x:c r="Y101" s="62" t="str">
        <x:v>上海电气</x:v>
      </x:c>
      <x:c r="Z101" s="62" t="str">
        <x:v>17</x:v>
      </x:c>
      <x:c r="AA101" s="62" t="str">
        <x:v>概率安全分析</x:v>
      </x:c>
      <x:c r="AB101" s="62" t="str">
        <x:v>PRJ-AQ-概率-2024-001</x:v>
      </x:c>
      <x:c r="AC101" s="74" t="n">
        <x:v>45657</x:v>
      </x:c>
      <x:c r="AD101" s="71" t="str">
        <x:v>源记录保留</x:v>
      </x:c>
      <x:c r="AE101" s="71" t="str">
        <x:v>2024年实际执行.xlsx</x:v>
      </x:c>
      <x:c r="AF101" s="71" t="str">
        <x:v>Sheet</x:v>
      </x:c>
      <x:c r="AG101" s="71" t="n">
        <x:v>101</x:v>
      </x:c>
      <x:c r="AH101" s="71" t="str">
        <x:v>2024年实际执行.xlsx/Sheet!101:101</x:v>
      </x:c>
      <x:c r="AI101" s="62" t="str">
        <x:f>IF(F101=MONTH(L101),"OK","FAIL")</x:f>
        <x:v>OK</x:v>
      </x:c>
      <x:c r="AJ101" s="62" t="str">
        <x:f>IF(J101&lt;=L101,"OK","FAIL")</x:f>
        <x:v>OK</x:v>
      </x:c>
      <x:c r="AK101" s="62" t="str">
        <x:f>IF(D101&lt;&gt;"营业收入","OK",IF(AND(P101&lt;0,Q101&gt;0),"OK","FAIL"))</x:f>
        <x:v>OK</x:v>
      </x:c>
      <x:c r="AL101" s="62" t="str">
        <x:f>IF(COUNTIF($A$2:$A$204,A101)=1,"OK","FAIL")</x:f>
        <x:v>OK</x:v>
      </x:c>
    </x:row>
    <x:row r="102">
      <x:c r="A102" s="62" t="str">
        <x:v>DEMO01|2024|DOC1100|10</x:v>
      </x:c>
      <x:c r="B102" s="62" t="str">
        <x:v>SOURCE</x:v>
      </x:c>
      <x:c r="C102" s="62" t="str">
        <x:v>营业收入</x:v>
      </x:c>
      <x:c r="D102" s="62" t="str">
        <x:v>营业收入</x:v>
      </x:c>
      <x:c r="E102" s="62" t="n">
        <x:v>6</x:v>
      </x:c>
      <x:c r="F102" s="62" t="n">
        <x:v>6</x:v>
      </x:c>
      <x:c r="G102" s="62" t="str">
        <x:v>DOC1100</x:v>
      </x:c>
      <x:c r="H102" s="62" t="n">
        <x:v>10</x:v>
      </x:c>
      <x:c r="I102" s="74" t="n">
        <x:v>45458</x:v>
      </x:c>
      <x:c r="J102" s="74" t="n">
        <x:v>45458</x:v>
      </x:c>
      <x:c r="K102" s="74" t="n">
        <x:v>45458</x:v>
      </x:c>
      <x:c r="L102" s="74" t="n">
        <x:v>45458</x:v>
      </x:c>
      <x:c r="M102" s="77" t="n">
        <x:v>-20</x:v>
      </x:c>
      <x:c r="N102" s="77"/>
      <x:c r="O102" s="78"/>
      <x:c r="P102" s="79" t="n">
        <x:f>M102</x:f>
        <x:v>-20</x:v>
      </x:c>
      <x:c r="Q102" s="79" t="n">
        <x:f>IF(D102="营业收入",-P102,P102)</x:f>
        <x:v>20</x:v>
      </x:c>
      <x:c r="R102" s="62" t="str">
        <x:v>CNY</x:v>
      </x:c>
      <x:c r="S102" s="62" t="str">
        <x:v>万元</x:v>
      </x:c>
      <x:c r="T102" s="62" t="str">
        <x:v>收益；源负号</x:v>
      </x:c>
      <x:c r="U102" s="62" t="str">
        <x:v>安全运行部</x:v>
      </x:c>
      <x:c r="V102" s="62" t="str">
        <x:v>概率安全分析收入确认</x:v>
      </x:c>
      <x:c r="W102" s="62" t="str">
        <x:v>概率安全分析收入确认</x:v>
      </x:c>
      <x:c r="X102" s="62" t="str">
        <x:v>17</x:v>
      </x:c>
      <x:c r="Y102" s="62" t="str">
        <x:v>17</x:v>
      </x:c>
      <x:c r="Z102" s="62" t="str">
        <x:v>17</x:v>
      </x:c>
      <x:c r="AA102" s="62" t="str">
        <x:v>概率安全分析</x:v>
      </x:c>
      <x:c r="AB102" s="62" t="str">
        <x:v>PRJ-AQ-概率-2025-002</x:v>
      </x:c>
      <x:c r="AC102" s="74" t="n">
        <x:v>45657</x:v>
      </x:c>
      <x:c r="AD102" s="71" t="str">
        <x:v>源记录保留</x:v>
      </x:c>
      <x:c r="AE102" s="71" t="str">
        <x:v>2024年实际执行.xlsx</x:v>
      </x:c>
      <x:c r="AF102" s="71" t="str">
        <x:v>Sheet</x:v>
      </x:c>
      <x:c r="AG102" s="71" t="n">
        <x:v>102</x:v>
      </x:c>
      <x:c r="AH102" s="71" t="str">
        <x:v>2024年实际执行.xlsx/Sheet!102:102</x:v>
      </x:c>
      <x:c r="AI102" s="62" t="str">
        <x:f>IF(F102=MONTH(L102),"OK","FAIL")</x:f>
        <x:v>OK</x:v>
      </x:c>
      <x:c r="AJ102" s="62" t="str">
        <x:f>IF(J102&lt;=L102,"OK","FAIL")</x:f>
        <x:v>OK</x:v>
      </x:c>
      <x:c r="AK102" s="62" t="str">
        <x:f>IF(D102&lt;&gt;"营业收入","OK",IF(AND(P102&lt;0,Q102&gt;0),"OK","FAIL"))</x:f>
        <x:v>OK</x:v>
      </x:c>
      <x:c r="AL102" s="62" t="str">
        <x:f>IF(COUNTIF($A$2:$A$204,A102)=1,"OK","FAIL")</x:f>
        <x:v>OK</x:v>
      </x:c>
    </x:row>
    <x:row r="103">
      <x:c r="A103" s="62" t="str">
        <x:v>DEMO01|2024|DOC1101|10</x:v>
      </x:c>
      <x:c r="B103" s="62" t="str">
        <x:v>SOURCE</x:v>
      </x:c>
      <x:c r="C103" s="62" t="str">
        <x:v>会议费</x:v>
      </x:c>
      <x:c r="D103" s="62" t="str">
        <x:v>会议费</x:v>
      </x:c>
      <x:c r="E103" s="62" t="n">
        <x:v>12</x:v>
      </x:c>
      <x:c r="F103" s="62" t="n">
        <x:v>12</x:v>
      </x:c>
      <x:c r="G103" s="62" t="str">
        <x:v>DOC1101</x:v>
      </x:c>
      <x:c r="H103" s="62" t="n">
        <x:v>10</x:v>
      </x:c>
      <x:c r="I103" s="74" t="n">
        <x:v>45641</x:v>
      </x:c>
      <x:c r="J103" s="74" t="n">
        <x:v>45641</x:v>
      </x:c>
      <x:c r="K103" s="74" t="n">
        <x:v>45641</x:v>
      </x:c>
      <x:c r="L103" s="74" t="n">
        <x:v>45641</x:v>
      </x:c>
      <x:c r="M103" s="77" t="n">
        <x:v>0.451033333333333</x:v>
      </x:c>
      <x:c r="N103" s="77"/>
      <x:c r="O103" s="78"/>
      <x:c r="P103" s="79" t="n">
        <x:f>M103</x:f>
        <x:v>0.451033333333333</x:v>
      </x:c>
      <x:c r="Q103" s="79" t="n">
        <x:f>IF(D103="营业收入",-P103,P103)</x:f>
        <x:v>0.451033333333333</x:v>
      </x:c>
      <x:c r="R103" s="62" t="str">
        <x:v>CNY</x:v>
      </x:c>
      <x:c r="S103" s="62" t="str">
        <x:v>万元</x:v>
      </x:c>
      <x:c r="T103" s="62" t="str">
        <x:v>费用不含税</x:v>
      </x:c>
      <x:c r="U103" s="62" t="str">
        <x:v>安全运行部</x:v>
      </x:c>
      <x:c r="V103" s="62" t="str">
        <x:v>概率安全分析项目阶段评审会</x:v>
      </x:c>
      <x:c r="W103" s="62" t="str">
        <x:v>概率安全分析项目阶段评审会</x:v>
      </x:c>
      <x:c r="X103" s="62" t="str">
        <x:v>苏州热工</x:v>
      </x:c>
      <x:c r="Y103" s="62" t="str">
        <x:v>苏州热工</x:v>
      </x:c>
      <x:c r="Z103" s="62" t="str">
        <x:v>17</x:v>
      </x:c>
      <x:c r="AA103" s="62" t="str">
        <x:v>概率安全分析</x:v>
      </x:c>
      <x:c r="AB103" s="62" t="str">
        <x:v>PRJ-AQ-概率-2025-002</x:v>
      </x:c>
      <x:c r="AC103" s="74" t="n">
        <x:v>45657</x:v>
      </x:c>
      <x:c r="AD103" s="71" t="str">
        <x:v>源记录保留</x:v>
      </x:c>
      <x:c r="AE103" s="71" t="str">
        <x:v>2024年实际执行.xlsx</x:v>
      </x:c>
      <x:c r="AF103" s="71" t="str">
        <x:v>Sheet</x:v>
      </x:c>
      <x:c r="AG103" s="71" t="n">
        <x:v>103</x:v>
      </x:c>
      <x:c r="AH103" s="71" t="str">
        <x:v>2024年实际执行.xlsx/Sheet!103:103</x:v>
      </x:c>
      <x:c r="AI103" s="62" t="str">
        <x:f>IF(F103=MONTH(L103),"OK","FAIL")</x:f>
        <x:v>OK</x:v>
      </x:c>
      <x:c r="AJ103" s="62" t="str">
        <x:f>IF(J103&lt;=L103,"OK","FAIL")</x:f>
        <x:v>OK</x:v>
      </x:c>
      <x:c r="AK103" s="62" t="str">
        <x:f>IF(D103&lt;&gt;"营业收入","OK",IF(AND(P103&lt;0,Q103&gt;0),"OK","FAIL"))</x:f>
        <x:v>OK</x:v>
      </x:c>
      <x:c r="AL103" s="62" t="str">
        <x:f>IF(COUNTIF($A$2:$A$204,A103)=1,"OK","FAIL")</x:f>
        <x:v>OK</x:v>
      </x:c>
    </x:row>
    <x:row r="104">
      <x:c r="A104" s="62" t="str">
        <x:v>DEMO01|2024|DOC1102|10</x:v>
      </x:c>
      <x:c r="B104" s="62" t="str">
        <x:v>SOURCE</x:v>
      </x:c>
      <x:c r="C104" s="62" t="str">
        <x:v>业务支持费</x:v>
      </x:c>
      <x:c r="D104" s="62" t="str">
        <x:v>业务支持费-技术配置</x:v>
      </x:c>
      <x:c r="E104" s="62" t="n">
        <x:v>2</x:v>
      </x:c>
      <x:c r="F104" s="62" t="n">
        <x:v>2</x:v>
      </x:c>
      <x:c r="G104" s="62" t="str">
        <x:v>DOC1102</x:v>
      </x:c>
      <x:c r="H104" s="62" t="n">
        <x:v>10</x:v>
      </x:c>
      <x:c r="I104" s="74" t="n">
        <x:v>45337</x:v>
      </x:c>
      <x:c r="J104" s="74" t="n">
        <x:v>45337</x:v>
      </x:c>
      <x:c r="K104" s="74" t="n">
        <x:v>45337</x:v>
      </x:c>
      <x:c r="L104" s="74" t="n">
        <x:v>45337</x:v>
      </x:c>
      <x:c r="M104" s="77" t="n">
        <x:v>18.0413333333333</x:v>
      </x:c>
      <x:c r="N104" s="77"/>
      <x:c r="O104" s="78"/>
      <x:c r="P104" s="79" t="n">
        <x:f>M104</x:f>
        <x:v>18.0413333333333</x:v>
      </x:c>
      <x:c r="Q104" s="79" t="n">
        <x:f>IF(D104="营业收入",-P104,P104)</x:f>
        <x:v>18.0413333333333</x:v>
      </x:c>
      <x:c r="R104" s="62" t="str">
        <x:v>CNY</x:v>
      </x:c>
      <x:c r="S104" s="62" t="str">
        <x:v>万元</x:v>
      </x:c>
      <x:c r="T104" s="62" t="str">
        <x:v>费用不含税</x:v>
      </x:c>
      <x:c r="U104" s="62" t="str">
        <x:v>安全运行部</x:v>
      </x:c>
      <x:c r="V104" s="62" t="str">
        <x:v>概率安全分析技术配置_前期阶段</x:v>
      </x:c>
      <x:c r="W104" s="62" t="str">
        <x:v>概率安全分析技术配置_前期阶段</x:v>
      </x:c>
      <x:c r="X104" s="62" t="str">
        <x:v>苏州热工</x:v>
      </x:c>
      <x:c r="Y104" s="62" t="str">
        <x:v>苏州热工</x:v>
      </x:c>
      <x:c r="Z104" s="62" t="str">
        <x:v>17</x:v>
      </x:c>
      <x:c r="AA104" s="62" t="str">
        <x:v>概率安全分析</x:v>
      </x:c>
      <x:c r="AB104" s="62" t="str">
        <x:v>PRJ-AQ-概率-2025-002</x:v>
      </x:c>
      <x:c r="AC104" s="74" t="n">
        <x:v>45657</x:v>
      </x:c>
      <x:c r="AD104" s="71" t="str">
        <x:v>源记录保留</x:v>
      </x:c>
      <x:c r="AE104" s="71" t="str">
        <x:v>2024年实际执行.xlsx</x:v>
      </x:c>
      <x:c r="AF104" s="71" t="str">
        <x:v>Sheet</x:v>
      </x:c>
      <x:c r="AG104" s="71" t="n">
        <x:v>104</x:v>
      </x:c>
      <x:c r="AH104" s="71" t="str">
        <x:v>2024年实际执行.xlsx/Sheet!104:104</x:v>
      </x:c>
      <x:c r="AI104" s="62" t="str">
        <x:f>IF(F104=MONTH(L104),"OK","FAIL")</x:f>
        <x:v>OK</x:v>
      </x:c>
      <x:c r="AJ104" s="62" t="str">
        <x:f>IF(J104&lt;=L104,"OK","FAIL")</x:f>
        <x:v>OK</x:v>
      </x:c>
      <x:c r="AK104" s="62" t="str">
        <x:f>IF(D104&lt;&gt;"营业收入","OK",IF(AND(P104&lt;0,Q104&gt;0),"OK","FAIL"))</x:f>
        <x:v>OK</x:v>
      </x:c>
      <x:c r="AL104" s="62" t="str">
        <x:f>IF(COUNTIF($A$2:$A$204,A104)=1,"OK","FAIL")</x:f>
        <x:v>OK</x:v>
      </x:c>
    </x:row>
    <x:row r="105">
      <x:c r="A105" s="62" t="str">
        <x:v>DEMO01|2024|DOC1103|10</x:v>
      </x:c>
      <x:c r="B105" s="62" t="str">
        <x:v>SOURCE</x:v>
      </x:c>
      <x:c r="C105" s="62" t="str">
        <x:v>生产物料费</x:v>
      </x:c>
      <x:c r="D105" s="62" t="str">
        <x:v>生产物料费</x:v>
      </x:c>
      <x:c r="E105" s="62" t="n">
        <x:v>1</x:v>
      </x:c>
      <x:c r="F105" s="62" t="n">
        <x:v>1</x:v>
      </x:c>
      <x:c r="G105" s="62" t="str">
        <x:v>DOC1103</x:v>
      </x:c>
      <x:c r="H105" s="62" t="n">
        <x:v>10</x:v>
      </x:c>
      <x:c r="I105" s="74" t="n">
        <x:v>45306</x:v>
      </x:c>
      <x:c r="J105" s="74" t="n">
        <x:v>45306</x:v>
      </x:c>
      <x:c r="K105" s="74" t="n">
        <x:v>45306</x:v>
      </x:c>
      <x:c r="L105" s="74" t="n">
        <x:v>45306</x:v>
      </x:c>
      <x:c r="M105" s="77" t="n">
        <x:v>6.7655</x:v>
      </x:c>
      <x:c r="N105" s="77"/>
      <x:c r="O105" s="78"/>
      <x:c r="P105" s="79" t="n">
        <x:f>M105</x:f>
        <x:v>6.7655</x:v>
      </x:c>
      <x:c r="Q105" s="79" t="n">
        <x:f>IF(D105="营业收入",-P105,P105)</x:f>
        <x:v>6.7655</x:v>
      </x:c>
      <x:c r="R105" s="62" t="str">
        <x:v>CNY</x:v>
      </x:c>
      <x:c r="S105" s="62" t="str">
        <x:v>万元</x:v>
      </x:c>
      <x:c r="T105" s="62" t="str">
        <x:v>费用不含税</x:v>
      </x:c>
      <x:c r="U105" s="62" t="str">
        <x:v>安全运行部</x:v>
      </x:c>
      <x:c r="V105" s="62" t="str">
        <x:v>概率安全分析现场物料采购</x:v>
      </x:c>
      <x:c r="W105" s="62" t="str">
        <x:v>概率安全分析现场物料采购</x:v>
      </x:c>
      <x:c r="X105" s="62" t="str">
        <x:v>苏州热工</x:v>
      </x:c>
      <x:c r="Y105" s="62" t="str">
        <x:v>苏州热工</x:v>
      </x:c>
      <x:c r="Z105" s="62" t="str">
        <x:v>17</x:v>
      </x:c>
      <x:c r="AA105" s="62" t="str">
        <x:v>概率安全分析</x:v>
      </x:c>
      <x:c r="AB105" s="62" t="str">
        <x:v>PRJ-AQ-概率-2025-002</x:v>
      </x:c>
      <x:c r="AC105" s="74" t="n">
        <x:v>45657</x:v>
      </x:c>
      <x:c r="AD105" s="71" t="str">
        <x:v>源记录保留</x:v>
      </x:c>
      <x:c r="AE105" s="71" t="str">
        <x:v>2024年实际执行.xlsx</x:v>
      </x:c>
      <x:c r="AF105" s="71" t="str">
        <x:v>Sheet</x:v>
      </x:c>
      <x:c r="AG105" s="71" t="n">
        <x:v>105</x:v>
      </x:c>
      <x:c r="AH105" s="71" t="str">
        <x:v>2024年实际执行.xlsx/Sheet!105:105</x:v>
      </x:c>
      <x:c r="AI105" s="62" t="str">
        <x:f>IF(F105=MONTH(L105),"OK","FAIL")</x:f>
        <x:v>OK</x:v>
      </x:c>
      <x:c r="AJ105" s="62" t="str">
        <x:f>IF(J105&lt;=L105,"OK","FAIL")</x:f>
        <x:v>OK</x:v>
      </x:c>
      <x:c r="AK105" s="62" t="str">
        <x:f>IF(D105&lt;&gt;"营业收入","OK",IF(AND(P105&lt;0,Q105&gt;0),"OK","FAIL"))</x:f>
        <x:v>OK</x:v>
      </x:c>
      <x:c r="AL105" s="62" t="str">
        <x:f>IF(COUNTIF($A$2:$A$204,A105)=1,"OK","FAIL")</x:f>
        <x:v>OK</x:v>
      </x:c>
    </x:row>
    <x:row r="106">
      <x:c r="A106" s="62" t="str">
        <x:v>DEMO01|2024|DOC1104|10</x:v>
      </x:c>
      <x:c r="B106" s="62" t="str">
        <x:v>SOURCE</x:v>
      </x:c>
      <x:c r="C106" s="62" t="str">
        <x:v>办公费</x:v>
      </x:c>
      <x:c r="D106" s="62" t="str">
        <x:v>办公费</x:v>
      </x:c>
      <x:c r="E106" s="62" t="n">
        <x:v>11</x:v>
      </x:c>
      <x:c r="F106" s="62" t="n">
        <x:v>11</x:v>
      </x:c>
      <x:c r="G106" s="62" t="str">
        <x:v>DOC1104</x:v>
      </x:c>
      <x:c r="H106" s="62" t="n">
        <x:v>10</x:v>
      </x:c>
      <x:c r="I106" s="74" t="n">
        <x:v>45611</x:v>
      </x:c>
      <x:c r="J106" s="74" t="n">
        <x:v>45611</x:v>
      </x:c>
      <x:c r="K106" s="74" t="n">
        <x:v>45611</x:v>
      </x:c>
      <x:c r="L106" s="74" t="n">
        <x:v>45611</x:v>
      </x:c>
      <x:c r="M106" s="77" t="n">
        <x:v>1.3531</x:v>
      </x:c>
      <x:c r="N106" s="77"/>
      <x:c r="O106" s="78"/>
      <x:c r="P106" s="79" t="n">
        <x:f>M106</x:f>
        <x:v>1.3531</x:v>
      </x:c>
      <x:c r="Q106" s="79" t="n">
        <x:f>IF(D106="营业收入",-P106,P106)</x:f>
        <x:v>1.3531</x:v>
      </x:c>
      <x:c r="R106" s="62" t="str">
        <x:v>CNY</x:v>
      </x:c>
      <x:c r="S106" s="62" t="str">
        <x:v>万元</x:v>
      </x:c>
      <x:c r="T106" s="62" t="str">
        <x:v>费用不含税</x:v>
      </x:c>
      <x:c r="U106" s="62" t="str">
        <x:v>安全运行部</x:v>
      </x:c>
      <x:c r="V106" s="62" t="str">
        <x:v>概率安全分析日常办公</x:v>
      </x:c>
      <x:c r="W106" s="62" t="str">
        <x:v>概率安全分析日常办公</x:v>
      </x:c>
      <x:c r="X106" s="62" t="str">
        <x:v>苏州热工</x:v>
      </x:c>
      <x:c r="Y106" s="62" t="str">
        <x:v>苏州热工</x:v>
      </x:c>
      <x:c r="Z106" s="62" t="str">
        <x:v>17</x:v>
      </x:c>
      <x:c r="AA106" s="62" t="str">
        <x:v>概率安全分析</x:v>
      </x:c>
      <x:c r="AB106" s="62" t="str">
        <x:v>PRJ-AQ-概率-2025-002</x:v>
      </x:c>
      <x:c r="AC106" s="74" t="n">
        <x:v>45657</x:v>
      </x:c>
      <x:c r="AD106" s="71" t="str">
        <x:v>源记录保留</x:v>
      </x:c>
      <x:c r="AE106" s="71" t="str">
        <x:v>2024年实际执行.xlsx</x:v>
      </x:c>
      <x:c r="AF106" s="71" t="str">
        <x:v>Sheet</x:v>
      </x:c>
      <x:c r="AG106" s="71" t="n">
        <x:v>106</x:v>
      </x:c>
      <x:c r="AH106" s="71" t="str">
        <x:v>2024年实际执行.xlsx/Sheet!106:106</x:v>
      </x:c>
      <x:c r="AI106" s="62" t="str">
        <x:f>IF(F106=MONTH(L106),"OK","FAIL")</x:f>
        <x:v>OK</x:v>
      </x:c>
      <x:c r="AJ106" s="62" t="str">
        <x:f>IF(J106&lt;=L106,"OK","FAIL")</x:f>
        <x:v>OK</x:v>
      </x:c>
      <x:c r="AK106" s="62" t="str">
        <x:f>IF(D106&lt;&gt;"营业收入","OK",IF(AND(P106&lt;0,Q106&gt;0),"OK","FAIL"))</x:f>
        <x:v>OK</x:v>
      </x:c>
      <x:c r="AL106" s="62" t="str">
        <x:f>IF(COUNTIF($A$2:$A$204,A106)=1,"OK","FAIL")</x:f>
        <x:v>OK</x:v>
      </x:c>
    </x:row>
    <x:row r="107">
      <x:c r="A107" s="62" t="str">
        <x:v>DEMO01|2024|DOC1105|10</x:v>
      </x:c>
      <x:c r="B107" s="62" t="str">
        <x:v>SOURCE</x:v>
      </x:c>
      <x:c r="C107" s="62" t="str">
        <x:v>人工成本</x:v>
      </x:c>
      <x:c r="D107" s="62" t="str">
        <x:v>人工成本</x:v>
      </x:c>
      <x:c r="E107" s="62" t="n">
        <x:v>6</x:v>
      </x:c>
      <x:c r="F107" s="62" t="n">
        <x:v>6</x:v>
      </x:c>
      <x:c r="G107" s="62" t="str">
        <x:v>DOC1105</x:v>
      </x:c>
      <x:c r="H107" s="62" t="n">
        <x:v>10</x:v>
      </x:c>
      <x:c r="I107" s="74" t="n">
        <x:v>45473</x:v>
      </x:c>
      <x:c r="J107" s="74" t="n">
        <x:v>45473</x:v>
      </x:c>
      <x:c r="K107" s="74" t="n">
        <x:v>45473</x:v>
      </x:c>
      <x:c r="L107" s="74" t="n">
        <x:v>45473</x:v>
      </x:c>
      <x:c r="M107" s="77" t="n">
        <x:v>6.8</x:v>
      </x:c>
      <x:c r="N107" s="77"/>
      <x:c r="O107" s="78"/>
      <x:c r="P107" s="79" t="n">
        <x:f>M107</x:f>
        <x:v>6.8</x:v>
      </x:c>
      <x:c r="Q107" s="79" t="n">
        <x:f>IF(D107="营业收入",-P107,P107)</x:f>
        <x:v>6.8</x:v>
      </x:c>
      <x:c r="R107" s="62" t="str">
        <x:v>CNY</x:v>
      </x:c>
      <x:c r="S107" s="62" t="str">
        <x:v>万元</x:v>
      </x:c>
      <x:c r="T107" s="62" t="str">
        <x:v>费用不含税</x:v>
      </x:c>
      <x:c r="U107" s="62" t="str">
        <x:v>安全运行部</x:v>
      </x:c>
      <x:c r="V107" s="62" t="str">
        <x:v>概率安全分析人工成本分摊</x:v>
      </x:c>
      <x:c r="W107" s="62" t="str">
        <x:v>概率安全分析人工成本分摊</x:v>
      </x:c>
      <x:c r="X107" s="62" t="str">
        <x:v>17</x:v>
      </x:c>
      <x:c r="Y107" s="62" t="str">
        <x:v>17</x:v>
      </x:c>
      <x:c r="Z107" s="62" t="str">
        <x:v>17</x:v>
      </x:c>
      <x:c r="AA107" s="62" t="str">
        <x:v>概率安全分析</x:v>
      </x:c>
      <x:c r="AB107" s="62" t="str">
        <x:v>PRJ-AQ-概率-2025-002</x:v>
      </x:c>
      <x:c r="AC107" s="74" t="n">
        <x:v>45657</x:v>
      </x:c>
      <x:c r="AD107" s="71" t="str">
        <x:v>源记录保留</x:v>
      </x:c>
      <x:c r="AE107" s="71" t="str">
        <x:v>2024年实际执行.xlsx</x:v>
      </x:c>
      <x:c r="AF107" s="71" t="str">
        <x:v>Sheet</x:v>
      </x:c>
      <x:c r="AG107" s="71" t="n">
        <x:v>107</x:v>
      </x:c>
      <x:c r="AH107" s="71" t="str">
        <x:v>2024年实际执行.xlsx/Sheet!107:107</x:v>
      </x:c>
      <x:c r="AI107" s="62" t="str">
        <x:f>IF(F107=MONTH(L107),"OK","FAIL")</x:f>
        <x:v>OK</x:v>
      </x:c>
      <x:c r="AJ107" s="62" t="str">
        <x:f>IF(J107&lt;=L107,"OK","FAIL")</x:f>
        <x:v>OK</x:v>
      </x:c>
      <x:c r="AK107" s="62" t="str">
        <x:f>IF(D107&lt;&gt;"营业收入","OK",IF(AND(P107&lt;0,Q107&gt;0),"OK","FAIL"))</x:f>
        <x:v>OK</x:v>
      </x:c>
      <x:c r="AL107" s="62" t="str">
        <x:f>IF(COUNTIF($A$2:$A$204,A107)=1,"OK","FAIL")</x:f>
        <x:v>OK</x:v>
      </x:c>
    </x:row>
    <x:row r="108">
      <x:c r="A108" s="62" t="str">
        <x:v>DEMO01|2024|DOC1106|10</x:v>
      </x:c>
      <x:c r="B108" s="62" t="str">
        <x:v>SOURCE</x:v>
      </x:c>
      <x:c r="C108" s="62" t="str">
        <x:v>折旧摊销</x:v>
      </x:c>
      <x:c r="D108" s="62" t="str">
        <x:v>折旧摊销</x:v>
      </x:c>
      <x:c r="E108" s="62" t="n">
        <x:v>12</x:v>
      </x:c>
      <x:c r="F108" s="62" t="n">
        <x:v>12</x:v>
      </x:c>
      <x:c r="G108" s="62" t="str">
        <x:v>DOC1106</x:v>
      </x:c>
      <x:c r="H108" s="62" t="n">
        <x:v>10</x:v>
      </x:c>
      <x:c r="I108" s="74" t="n">
        <x:v>45657</x:v>
      </x:c>
      <x:c r="J108" s="74" t="n">
        <x:v>45657</x:v>
      </x:c>
      <x:c r="K108" s="74" t="n">
        <x:v>45657</x:v>
      </x:c>
      <x:c r="L108" s="74" t="n">
        <x:v>45657</x:v>
      </x:c>
      <x:c r="M108" s="77" t="n">
        <x:v>2</x:v>
      </x:c>
      <x:c r="N108" s="77"/>
      <x:c r="O108" s="78"/>
      <x:c r="P108" s="79" t="n">
        <x:f>M108</x:f>
        <x:v>2</x:v>
      </x:c>
      <x:c r="Q108" s="79" t="n">
        <x:f>IF(D108="营业收入",-P108,P108)</x:f>
        <x:v>2</x:v>
      </x:c>
      <x:c r="R108" s="62" t="str">
        <x:v>CNY</x:v>
      </x:c>
      <x:c r="S108" s="62" t="str">
        <x:v>万元</x:v>
      </x:c>
      <x:c r="T108" s="62" t="str">
        <x:v>费用不含税</x:v>
      </x:c>
      <x:c r="U108" s="62" t="str">
        <x:v>安全运行部</x:v>
      </x:c>
      <x:c r="V108" s="62" t="str">
        <x:v>概率安全分析折旧摊销分摊</x:v>
      </x:c>
      <x:c r="W108" s="62" t="str">
        <x:v>概率安全分析折旧摊销分摊</x:v>
      </x:c>
      <x:c r="X108" s="62" t="str">
        <x:v>17</x:v>
      </x:c>
      <x:c r="Y108" s="62" t="str">
        <x:v>17</x:v>
      </x:c>
      <x:c r="Z108" s="62" t="str">
        <x:v>17</x:v>
      </x:c>
      <x:c r="AA108" s="62" t="str">
        <x:v>概率安全分析</x:v>
      </x:c>
      <x:c r="AB108" s="62" t="str">
        <x:v>PRJ-AQ-概率-2025-002</x:v>
      </x:c>
      <x:c r="AC108" s="74" t="n">
        <x:v>45657</x:v>
      </x:c>
      <x:c r="AD108" s="71" t="str">
        <x:v>源记录保留</x:v>
      </x:c>
      <x:c r="AE108" s="71" t="str">
        <x:v>2024年实际执行.xlsx</x:v>
      </x:c>
      <x:c r="AF108" s="71" t="str">
        <x:v>Sheet</x:v>
      </x:c>
      <x:c r="AG108" s="71" t="n">
        <x:v>108</x:v>
      </x:c>
      <x:c r="AH108" s="71" t="str">
        <x:v>2024年实际执行.xlsx/Sheet!108:108</x:v>
      </x:c>
      <x:c r="AI108" s="62" t="str">
        <x:f>IF(F108=MONTH(L108),"OK","FAIL")</x:f>
        <x:v>OK</x:v>
      </x:c>
      <x:c r="AJ108" s="62" t="str">
        <x:f>IF(J108&lt;=L108,"OK","FAIL")</x:f>
        <x:v>OK</x:v>
      </x:c>
      <x:c r="AK108" s="62" t="str">
        <x:f>IF(D108&lt;&gt;"营业收入","OK",IF(AND(P108&lt;0,Q108&gt;0),"OK","FAIL"))</x:f>
        <x:v>OK</x:v>
      </x:c>
      <x:c r="AL108" s="62" t="str">
        <x:f>IF(COUNTIF($A$2:$A$204,A108)=1,"OK","FAIL")</x:f>
        <x:v>OK</x:v>
      </x:c>
    </x:row>
    <x:row r="109">
      <x:c r="A109" s="62" t="str">
        <x:v>DEMO01|2024|DOC1107|10</x:v>
      </x:c>
      <x:c r="B109" s="62" t="str">
        <x:v>SOURCE</x:v>
      </x:c>
      <x:c r="C109" s="62" t="str">
        <x:v>业务支持费</x:v>
      </x:c>
      <x:c r="D109" s="62" t="str">
        <x:v>业务支持费-其他</x:v>
      </x:c>
      <x:c r="E109" s="62" t="n">
        <x:v>12</x:v>
      </x:c>
      <x:c r="F109" s="62" t="n">
        <x:v>12</x:v>
      </x:c>
      <x:c r="G109" s="62" t="str">
        <x:v>DOC1107</x:v>
      </x:c>
      <x:c r="H109" s="62" t="n">
        <x:v>10</x:v>
      </x:c>
      <x:c r="I109" s="74" t="n">
        <x:v>45657</x:v>
      </x:c>
      <x:c r="J109" s="74" t="n">
        <x:v>45657</x:v>
      </x:c>
      <x:c r="K109" s="74" t="n">
        <x:v>45657</x:v>
      </x:c>
      <x:c r="L109" s="74" t="n">
        <x:v>45657</x:v>
      </x:c>
      <x:c r="M109" s="77" t="n">
        <x:v>6.7655</x:v>
      </x:c>
      <x:c r="N109" s="77"/>
      <x:c r="O109" s="78"/>
      <x:c r="P109" s="79" t="n">
        <x:f>M109</x:f>
        <x:v>6.7655</x:v>
      </x:c>
      <x:c r="Q109" s="79" t="n">
        <x:f>IF(D109="营业收入",-P109,P109)</x:f>
        <x:v>6.7655</x:v>
      </x:c>
      <x:c r="R109" s="62" t="str">
        <x:v>CNY</x:v>
      </x:c>
      <x:c r="S109" s="62" t="str">
        <x:v>万元</x:v>
      </x:c>
      <x:c r="T109" s="62" t="str">
        <x:v>费用不含税</x:v>
      </x:c>
      <x:c r="U109" s="62" t="str">
        <x:v>安全运行部</x:v>
      </x:c>
      <x:c r="V109" s="62" t="str">
        <x:v>计提概率安全分析_2024年末预提</x:v>
      </x:c>
      <x:c r="W109" s="62" t="str">
        <x:v>计提概率安全分析_2024年末预提</x:v>
      </x:c>
      <x:c r="X109" s="62" t="str">
        <x:v>苏州热工</x:v>
      </x:c>
      <x:c r="Y109" s="62" t="str">
        <x:v>苏州热工</x:v>
      </x:c>
      <x:c r="Z109" s="62" t="str">
        <x:v>17</x:v>
      </x:c>
      <x:c r="AA109" s="62" t="str">
        <x:v>概率安全分析</x:v>
      </x:c>
      <x:c r="AB109" s="62" t="str">
        <x:v>PRJ-AQ-概率-2025-002</x:v>
      </x:c>
      <x:c r="AC109" s="74" t="n">
        <x:v>45657</x:v>
      </x:c>
      <x:c r="AD109" s="71" t="str">
        <x:v>源记录保留</x:v>
      </x:c>
      <x:c r="AE109" s="71" t="str">
        <x:v>2024年实际执行.xlsx</x:v>
      </x:c>
      <x:c r="AF109" s="71" t="str">
        <x:v>Sheet</x:v>
      </x:c>
      <x:c r="AG109" s="71" t="n">
        <x:v>109</x:v>
      </x:c>
      <x:c r="AH109" s="71" t="str">
        <x:v>2024年实际执行.xlsx/Sheet!109:109</x:v>
      </x:c>
      <x:c r="AI109" s="62" t="str">
        <x:f>IF(F109=MONTH(L109),"OK","FAIL")</x:f>
        <x:v>OK</x:v>
      </x:c>
      <x:c r="AJ109" s="62" t="str">
        <x:f>IF(J109&lt;=L109,"OK","FAIL")</x:f>
        <x:v>OK</x:v>
      </x:c>
      <x:c r="AK109" s="62" t="str">
        <x:f>IF(D109&lt;&gt;"营业收入","OK",IF(AND(P109&lt;0,Q109&gt;0),"OK","FAIL"))</x:f>
        <x:v>OK</x:v>
      </x:c>
      <x:c r="AL109" s="62" t="str">
        <x:f>IF(COUNTIF($A$2:$A$204,A109)=1,"OK","FAIL")</x:f>
        <x:v>OK</x:v>
      </x:c>
    </x:row>
    <x:row r="110">
      <x:c r="A110" s="62" t="str">
        <x:v>DEMO01|2024|DOC1108|10</x:v>
      </x:c>
      <x:c r="B110" s="62" t="str">
        <x:v>SOURCE</x:v>
      </x:c>
      <x:c r="C110" s="62" t="str">
        <x:v>营业收入</x:v>
      </x:c>
      <x:c r="D110" s="62" t="str">
        <x:v>营业收入</x:v>
      </x:c>
      <x:c r="E110" s="62" t="n">
        <x:v>6</x:v>
      </x:c>
      <x:c r="F110" s="62" t="n">
        <x:v>6</x:v>
      </x:c>
      <x:c r="G110" s="62" t="str">
        <x:v>DOC1108</x:v>
      </x:c>
      <x:c r="H110" s="62" t="n">
        <x:v>10</x:v>
      </x:c>
      <x:c r="I110" s="74" t="n">
        <x:v>45458</x:v>
      </x:c>
      <x:c r="J110" s="74" t="n">
        <x:v>45458</x:v>
      </x:c>
      <x:c r="K110" s="74" t="n">
        <x:v>45458</x:v>
      </x:c>
      <x:c r="L110" s="74" t="n">
        <x:v>45458</x:v>
      </x:c>
      <x:c r="M110" s="77" t="n">
        <x:v>-20</x:v>
      </x:c>
      <x:c r="N110" s="77"/>
      <x:c r="O110" s="78"/>
      <x:c r="P110" s="79" t="n">
        <x:f>M110</x:f>
        <x:v>-20</x:v>
      </x:c>
      <x:c r="Q110" s="79" t="n">
        <x:f>IF(D110="营业收入",-P110,P110)</x:f>
        <x:v>20</x:v>
      </x:c>
      <x:c r="R110" s="62" t="str">
        <x:v>CNY</x:v>
      </x:c>
      <x:c r="S110" s="62" t="str">
        <x:v>万元</x:v>
      </x:c>
      <x:c r="T110" s="62" t="str">
        <x:v>收益；源负号</x:v>
      </x:c>
      <x:c r="U110" s="62" t="str">
        <x:v>安全运行部</x:v>
      </x:c>
      <x:c r="V110" s="62" t="str">
        <x:v>概率安全分析收入确认</x:v>
      </x:c>
      <x:c r="W110" s="62" t="str">
        <x:v>概率安全分析收入确认</x:v>
      </x:c>
      <x:c r="X110" s="62" t="str">
        <x:v>17</x:v>
      </x:c>
      <x:c r="Y110" s="62" t="str">
        <x:v>17</x:v>
      </x:c>
      <x:c r="Z110" s="62" t="str">
        <x:v>17</x:v>
      </x:c>
      <x:c r="AA110" s="62" t="str">
        <x:v>概率安全分析</x:v>
      </x:c>
      <x:c r="AB110" s="62" t="str">
        <x:v>PRJ-AQ-概率-2025-003</x:v>
      </x:c>
      <x:c r="AC110" s="74" t="n">
        <x:v>45657</x:v>
      </x:c>
      <x:c r="AD110" s="71" t="str">
        <x:v>源记录保留</x:v>
      </x:c>
      <x:c r="AE110" s="71" t="str">
        <x:v>2024年实际执行.xlsx</x:v>
      </x:c>
      <x:c r="AF110" s="71" t="str">
        <x:v>Sheet</x:v>
      </x:c>
      <x:c r="AG110" s="71" t="n">
        <x:v>110</x:v>
      </x:c>
      <x:c r="AH110" s="71" t="str">
        <x:v>2024年实际执行.xlsx/Sheet!110:110</x:v>
      </x:c>
      <x:c r="AI110" s="62" t="str">
        <x:f>IF(F110=MONTH(L110),"OK","FAIL")</x:f>
        <x:v>OK</x:v>
      </x:c>
      <x:c r="AJ110" s="62" t="str">
        <x:f>IF(J110&lt;=L110,"OK","FAIL")</x:f>
        <x:v>OK</x:v>
      </x:c>
      <x:c r="AK110" s="62" t="str">
        <x:f>IF(D110&lt;&gt;"营业收入","OK",IF(AND(P110&lt;0,Q110&gt;0),"OK","FAIL"))</x:f>
        <x:v>OK</x:v>
      </x:c>
      <x:c r="AL110" s="62" t="str">
        <x:f>IF(COUNTIF($A$2:$A$204,A110)=1,"OK","FAIL")</x:f>
        <x:v>OK</x:v>
      </x:c>
    </x:row>
    <x:row r="111">
      <x:c r="A111" s="62" t="str">
        <x:v>DEMO01|2024|DOC1109|10</x:v>
      </x:c>
      <x:c r="B111" s="62" t="str">
        <x:v>SOURCE</x:v>
      </x:c>
      <x:c r="C111" s="62" t="str">
        <x:v>会议费</x:v>
      </x:c>
      <x:c r="D111" s="62" t="str">
        <x:v>会议费</x:v>
      </x:c>
      <x:c r="E111" s="62" t="n">
        <x:v>5</x:v>
      </x:c>
      <x:c r="F111" s="62" t="n">
        <x:v>5</x:v>
      </x:c>
      <x:c r="G111" s="62" t="str">
        <x:v>DOC1109</x:v>
      </x:c>
      <x:c r="H111" s="62" t="n">
        <x:v>10</x:v>
      </x:c>
      <x:c r="I111" s="74" t="n">
        <x:v>45427</x:v>
      </x:c>
      <x:c r="J111" s="74" t="n">
        <x:v>45427</x:v>
      </x:c>
      <x:c r="K111" s="74" t="n">
        <x:v>45427</x:v>
      </x:c>
      <x:c r="L111" s="74" t="n">
        <x:v>45427</x:v>
      </x:c>
      <x:c r="M111" s="77" t="n">
        <x:v>0.371933333333333</x:v>
      </x:c>
      <x:c r="N111" s="77"/>
      <x:c r="O111" s="78"/>
      <x:c r="P111" s="79" t="n">
        <x:f>M111</x:f>
        <x:v>0.371933333333333</x:v>
      </x:c>
      <x:c r="Q111" s="79" t="n">
        <x:f>IF(D111="营业收入",-P111,P111)</x:f>
        <x:v>0.371933333333333</x:v>
      </x:c>
      <x:c r="R111" s="62" t="str">
        <x:v>CNY</x:v>
      </x:c>
      <x:c r="S111" s="62" t="str">
        <x:v>万元</x:v>
      </x:c>
      <x:c r="T111" s="62" t="str">
        <x:v>费用不含税</x:v>
      </x:c>
      <x:c r="U111" s="62" t="str">
        <x:v>安全运行部</x:v>
      </x:c>
      <x:c r="V111" s="62" t="str">
        <x:v>概率安全分析项目阶段评审会</x:v>
      </x:c>
      <x:c r="W111" s="62" t="str">
        <x:v>概率安全分析项目阶段评审会</x:v>
      </x:c>
      <x:c r="X111" s="62" t="str">
        <x:v>国电智深</x:v>
      </x:c>
      <x:c r="Y111" s="62" t="str">
        <x:v>国电智深</x:v>
      </x:c>
      <x:c r="Z111" s="62" t="str">
        <x:v>17</x:v>
      </x:c>
      <x:c r="AA111" s="62" t="str">
        <x:v>概率安全分析</x:v>
      </x:c>
      <x:c r="AB111" s="62" t="str">
        <x:v>PRJ-AQ-概率-2025-003</x:v>
      </x:c>
      <x:c r="AC111" s="74" t="n">
        <x:v>45657</x:v>
      </x:c>
      <x:c r="AD111" s="71" t="str">
        <x:v>源记录保留</x:v>
      </x:c>
      <x:c r="AE111" s="71" t="str">
        <x:v>2024年实际执行.xlsx</x:v>
      </x:c>
      <x:c r="AF111" s="71" t="str">
        <x:v>Sheet</x:v>
      </x:c>
      <x:c r="AG111" s="71" t="n">
        <x:v>111</x:v>
      </x:c>
      <x:c r="AH111" s="71" t="str">
        <x:v>2024年实际执行.xlsx/Sheet!111:111</x:v>
      </x:c>
      <x:c r="AI111" s="62" t="str">
        <x:f>IF(F111=MONTH(L111),"OK","FAIL")</x:f>
        <x:v>OK</x:v>
      </x:c>
      <x:c r="AJ111" s="62" t="str">
        <x:f>IF(J111&lt;=L111,"OK","FAIL")</x:f>
        <x:v>OK</x:v>
      </x:c>
      <x:c r="AK111" s="62" t="str">
        <x:f>IF(D111&lt;&gt;"营业收入","OK",IF(AND(P111&lt;0,Q111&gt;0),"OK","FAIL"))</x:f>
        <x:v>OK</x:v>
      </x:c>
      <x:c r="AL111" s="62" t="str">
        <x:f>IF(COUNTIF($A$2:$A$204,A111)=1,"OK","FAIL")</x:f>
        <x:v>OK</x:v>
      </x:c>
    </x:row>
    <x:row r="112">
      <x:c r="A112" s="62" t="str">
        <x:v>DEMO01|2024|DOC1110|10</x:v>
      </x:c>
      <x:c r="B112" s="62" t="str">
        <x:v>SOURCE</x:v>
      </x:c>
      <x:c r="C112" s="62" t="str">
        <x:v>业务支持费</x:v>
      </x:c>
      <x:c r="D112" s="62" t="str">
        <x:v>业务支持费-技术配置</x:v>
      </x:c>
      <x:c r="E112" s="62" t="n">
        <x:v>2</x:v>
      </x:c>
      <x:c r="F112" s="62" t="n">
        <x:v>2</x:v>
      </x:c>
      <x:c r="G112" s="62" t="str">
        <x:v>DOC1110</x:v>
      </x:c>
      <x:c r="H112" s="62" t="n">
        <x:v>10</x:v>
      </x:c>
      <x:c r="I112" s="74" t="n">
        <x:v>45337</x:v>
      </x:c>
      <x:c r="J112" s="74" t="n">
        <x:v>45337</x:v>
      </x:c>
      <x:c r="K112" s="74" t="n">
        <x:v>45337</x:v>
      </x:c>
      <x:c r="L112" s="74" t="n">
        <x:v>45337</x:v>
      </x:c>
      <x:c r="M112" s="77" t="n">
        <x:v>14.8773333333333</x:v>
      </x:c>
      <x:c r="N112" s="77"/>
      <x:c r="O112" s="78"/>
      <x:c r="P112" s="79" t="n">
        <x:f>M112</x:f>
        <x:v>14.8773333333333</x:v>
      </x:c>
      <x:c r="Q112" s="79" t="n">
        <x:f>IF(D112="营业收入",-P112,P112)</x:f>
        <x:v>14.8773333333333</x:v>
      </x:c>
      <x:c r="R112" s="62" t="str">
        <x:v>CNY</x:v>
      </x:c>
      <x:c r="S112" s="62" t="str">
        <x:v>万元</x:v>
      </x:c>
      <x:c r="T112" s="62" t="str">
        <x:v>费用不含税</x:v>
      </x:c>
      <x:c r="U112" s="62" t="str">
        <x:v>安全运行部</x:v>
      </x:c>
      <x:c r="V112" s="62" t="str">
        <x:v>概率安全分析技术配置_前期阶段</x:v>
      </x:c>
      <x:c r="W112" s="62" t="str">
        <x:v>概率安全分析技术配置_前期阶段</x:v>
      </x:c>
      <x:c r="X112" s="62" t="str">
        <x:v>国电智深</x:v>
      </x:c>
      <x:c r="Y112" s="62" t="str">
        <x:v>国电智深</x:v>
      </x:c>
      <x:c r="Z112" s="62" t="str">
        <x:v>17</x:v>
      </x:c>
      <x:c r="AA112" s="62" t="str">
        <x:v>概率安全分析</x:v>
      </x:c>
      <x:c r="AB112" s="62" t="str">
        <x:v>PRJ-AQ-概率-2025-003</x:v>
      </x:c>
      <x:c r="AC112" s="74" t="n">
        <x:v>45657</x:v>
      </x:c>
      <x:c r="AD112" s="71" t="str">
        <x:v>源记录保留</x:v>
      </x:c>
      <x:c r="AE112" s="71" t="str">
        <x:v>2024年实际执行.xlsx</x:v>
      </x:c>
      <x:c r="AF112" s="71" t="str">
        <x:v>Sheet</x:v>
      </x:c>
      <x:c r="AG112" s="71" t="n">
        <x:v>112</x:v>
      </x:c>
      <x:c r="AH112" s="71" t="str">
        <x:v>2024年实际执行.xlsx/Sheet!112:112</x:v>
      </x:c>
      <x:c r="AI112" s="62" t="str">
        <x:f>IF(F112=MONTH(L112),"OK","FAIL")</x:f>
        <x:v>OK</x:v>
      </x:c>
      <x:c r="AJ112" s="62" t="str">
        <x:f>IF(J112&lt;=L112,"OK","FAIL")</x:f>
        <x:v>OK</x:v>
      </x:c>
      <x:c r="AK112" s="62" t="str">
        <x:f>IF(D112&lt;&gt;"营业收入","OK",IF(AND(P112&lt;0,Q112&gt;0),"OK","FAIL"))</x:f>
        <x:v>OK</x:v>
      </x:c>
      <x:c r="AL112" s="62" t="str">
        <x:f>IF(COUNTIF($A$2:$A$204,A112)=1,"OK","FAIL")</x:f>
        <x:v>OK</x:v>
      </x:c>
    </x:row>
    <x:row r="113">
      <x:c r="A113" s="62" t="str">
        <x:v>DEMO01|2024|DOC1111|10</x:v>
      </x:c>
      <x:c r="B113" s="62" t="str">
        <x:v>SOURCE</x:v>
      </x:c>
      <x:c r="C113" s="62" t="str">
        <x:v>生产物料费</x:v>
      </x:c>
      <x:c r="D113" s="62" t="str">
        <x:v>生产物料费</x:v>
      </x:c>
      <x:c r="E113" s="62" t="n">
        <x:v>4</x:v>
      </x:c>
      <x:c r="F113" s="62" t="n">
        <x:v>4</x:v>
      </x:c>
      <x:c r="G113" s="62" t="str">
        <x:v>DOC1111</x:v>
      </x:c>
      <x:c r="H113" s="62" t="n">
        <x:v>10</x:v>
      </x:c>
      <x:c r="I113" s="74" t="n">
        <x:v>45397</x:v>
      </x:c>
      <x:c r="J113" s="74" t="n">
        <x:v>45397</x:v>
      </x:c>
      <x:c r="K113" s="74" t="n">
        <x:v>45397</x:v>
      </x:c>
      <x:c r="L113" s="74" t="n">
        <x:v>45397</x:v>
      </x:c>
      <x:c r="M113" s="77" t="n">
        <x:v>5.579</x:v>
      </x:c>
      <x:c r="N113" s="77"/>
      <x:c r="O113" s="78"/>
      <x:c r="P113" s="79" t="n">
        <x:f>M113</x:f>
        <x:v>5.579</x:v>
      </x:c>
      <x:c r="Q113" s="79" t="n">
        <x:f>IF(D113="营业收入",-P113,P113)</x:f>
        <x:v>5.579</x:v>
      </x:c>
      <x:c r="R113" s="62" t="str">
        <x:v>CNY</x:v>
      </x:c>
      <x:c r="S113" s="62" t="str">
        <x:v>万元</x:v>
      </x:c>
      <x:c r="T113" s="62" t="str">
        <x:v>费用不含税</x:v>
      </x:c>
      <x:c r="U113" s="62" t="str">
        <x:v>安全运行部</x:v>
      </x:c>
      <x:c r="V113" s="62" t="str">
        <x:v>概率安全分析现场物料采购</x:v>
      </x:c>
      <x:c r="W113" s="62" t="str">
        <x:v>概率安全分析现场物料采购</x:v>
      </x:c>
      <x:c r="X113" s="62" t="str">
        <x:v>国电智深</x:v>
      </x:c>
      <x:c r="Y113" s="62" t="str">
        <x:v>国电智深</x:v>
      </x:c>
      <x:c r="Z113" s="62" t="str">
        <x:v>17</x:v>
      </x:c>
      <x:c r="AA113" s="62" t="str">
        <x:v>概率安全分析</x:v>
      </x:c>
      <x:c r="AB113" s="62" t="str">
        <x:v>PRJ-AQ-概率-2025-003</x:v>
      </x:c>
      <x:c r="AC113" s="74" t="n">
        <x:v>45657</x:v>
      </x:c>
      <x:c r="AD113" s="71" t="str">
        <x:v>源记录保留</x:v>
      </x:c>
      <x:c r="AE113" s="71" t="str">
        <x:v>2024年实际执行.xlsx</x:v>
      </x:c>
      <x:c r="AF113" s="71" t="str">
        <x:v>Sheet</x:v>
      </x:c>
      <x:c r="AG113" s="71" t="n">
        <x:v>113</x:v>
      </x:c>
      <x:c r="AH113" s="71" t="str">
        <x:v>2024年实际执行.xlsx/Sheet!113:113</x:v>
      </x:c>
      <x:c r="AI113" s="62" t="str">
        <x:f>IF(F113=MONTH(L113),"OK","FAIL")</x:f>
        <x:v>OK</x:v>
      </x:c>
      <x:c r="AJ113" s="62" t="str">
        <x:f>IF(J113&lt;=L113,"OK","FAIL")</x:f>
        <x:v>OK</x:v>
      </x:c>
      <x:c r="AK113" s="62" t="str">
        <x:f>IF(D113&lt;&gt;"营业收入","OK",IF(AND(P113&lt;0,Q113&gt;0),"OK","FAIL"))</x:f>
        <x:v>OK</x:v>
      </x:c>
      <x:c r="AL113" s="62" t="str">
        <x:f>IF(COUNTIF($A$2:$A$204,A113)=1,"OK","FAIL")</x:f>
        <x:v>OK</x:v>
      </x:c>
    </x:row>
    <x:row r="114">
      <x:c r="A114" s="62" t="str">
        <x:v>DEMO01|2024|DOC1112|10</x:v>
      </x:c>
      <x:c r="B114" s="62" t="str">
        <x:v>SOURCE</x:v>
      </x:c>
      <x:c r="C114" s="62" t="str">
        <x:v>办公费</x:v>
      </x:c>
      <x:c r="D114" s="62" t="str">
        <x:v>办公费</x:v>
      </x:c>
      <x:c r="E114" s="62" t="n">
        <x:v>2</x:v>
      </x:c>
      <x:c r="F114" s="62" t="n">
        <x:v>2</x:v>
      </x:c>
      <x:c r="G114" s="62" t="str">
        <x:v>DOC1112</x:v>
      </x:c>
      <x:c r="H114" s="62" t="n">
        <x:v>10</x:v>
      </x:c>
      <x:c r="I114" s="74" t="n">
        <x:v>45337</x:v>
      </x:c>
      <x:c r="J114" s="74" t="n">
        <x:v>45337</x:v>
      </x:c>
      <x:c r="K114" s="74" t="n">
        <x:v>45337</x:v>
      </x:c>
      <x:c r="L114" s="74" t="n">
        <x:v>45337</x:v>
      </x:c>
      <x:c r="M114" s="77" t="n">
        <x:v>1.1158</x:v>
      </x:c>
      <x:c r="N114" s="77"/>
      <x:c r="O114" s="78"/>
      <x:c r="P114" s="79" t="n">
        <x:f>M114</x:f>
        <x:v>1.1158</x:v>
      </x:c>
      <x:c r="Q114" s="79" t="n">
        <x:f>IF(D114="营业收入",-P114,P114)</x:f>
        <x:v>1.1158</x:v>
      </x:c>
      <x:c r="R114" s="62" t="str">
        <x:v>CNY</x:v>
      </x:c>
      <x:c r="S114" s="62" t="str">
        <x:v>万元</x:v>
      </x:c>
      <x:c r="T114" s="62" t="str">
        <x:v>费用不含税</x:v>
      </x:c>
      <x:c r="U114" s="62" t="str">
        <x:v>安全运行部</x:v>
      </x:c>
      <x:c r="V114" s="62" t="str">
        <x:v>概率安全分析日常办公</x:v>
      </x:c>
      <x:c r="W114" s="62" t="str">
        <x:v>概率安全分析日常办公</x:v>
      </x:c>
      <x:c r="X114" s="62" t="str">
        <x:v>国电智深</x:v>
      </x:c>
      <x:c r="Y114" s="62" t="str">
        <x:v>国电智深</x:v>
      </x:c>
      <x:c r="Z114" s="62" t="str">
        <x:v>17</x:v>
      </x:c>
      <x:c r="AA114" s="62" t="str">
        <x:v>概率安全分析</x:v>
      </x:c>
      <x:c r="AB114" s="62" t="str">
        <x:v>PRJ-AQ-概率-2025-003</x:v>
      </x:c>
      <x:c r="AC114" s="74" t="n">
        <x:v>45657</x:v>
      </x:c>
      <x:c r="AD114" s="71" t="str">
        <x:v>源记录保留</x:v>
      </x:c>
      <x:c r="AE114" s="71" t="str">
        <x:v>2024年实际执行.xlsx</x:v>
      </x:c>
      <x:c r="AF114" s="71" t="str">
        <x:v>Sheet</x:v>
      </x:c>
      <x:c r="AG114" s="71" t="n">
        <x:v>114</x:v>
      </x:c>
      <x:c r="AH114" s="71" t="str">
        <x:v>2024年实际执行.xlsx/Sheet!114:114</x:v>
      </x:c>
      <x:c r="AI114" s="62" t="str">
        <x:f>IF(F114=MONTH(L114),"OK","FAIL")</x:f>
        <x:v>OK</x:v>
      </x:c>
      <x:c r="AJ114" s="62" t="str">
        <x:f>IF(J114&lt;=L114,"OK","FAIL")</x:f>
        <x:v>OK</x:v>
      </x:c>
      <x:c r="AK114" s="62" t="str">
        <x:f>IF(D114&lt;&gt;"营业收入","OK",IF(AND(P114&lt;0,Q114&gt;0),"OK","FAIL"))</x:f>
        <x:v>OK</x:v>
      </x:c>
      <x:c r="AL114" s="62" t="str">
        <x:f>IF(COUNTIF($A$2:$A$204,A114)=1,"OK","FAIL")</x:f>
        <x:v>OK</x:v>
      </x:c>
    </x:row>
    <x:row r="115">
      <x:c r="A115" s="62" t="str">
        <x:v>DEMO01|2024|DOC1113|10</x:v>
      </x:c>
      <x:c r="B115" s="62" t="str">
        <x:v>SOURCE</x:v>
      </x:c>
      <x:c r="C115" s="62" t="str">
        <x:v>人工成本</x:v>
      </x:c>
      <x:c r="D115" s="62" t="str">
        <x:v>人工成本</x:v>
      </x:c>
      <x:c r="E115" s="62" t="n">
        <x:v>6</x:v>
      </x:c>
      <x:c r="F115" s="62" t="n">
        <x:v>6</x:v>
      </x:c>
      <x:c r="G115" s="62" t="str">
        <x:v>DOC1113</x:v>
      </x:c>
      <x:c r="H115" s="62" t="n">
        <x:v>10</x:v>
      </x:c>
      <x:c r="I115" s="74" t="n">
        <x:v>45473</x:v>
      </x:c>
      <x:c r="J115" s="74" t="n">
        <x:v>45473</x:v>
      </x:c>
      <x:c r="K115" s="74" t="n">
        <x:v>45473</x:v>
      </x:c>
      <x:c r="L115" s="74" t="n">
        <x:v>45473</x:v>
      </x:c>
      <x:c r="M115" s="77" t="n">
        <x:v>6.8</x:v>
      </x:c>
      <x:c r="N115" s="77"/>
      <x:c r="O115" s="78"/>
      <x:c r="P115" s="79" t="n">
        <x:f>M115</x:f>
        <x:v>6.8</x:v>
      </x:c>
      <x:c r="Q115" s="79" t="n">
        <x:f>IF(D115="营业收入",-P115,P115)</x:f>
        <x:v>6.8</x:v>
      </x:c>
      <x:c r="R115" s="62" t="str">
        <x:v>CNY</x:v>
      </x:c>
      <x:c r="S115" s="62" t="str">
        <x:v>万元</x:v>
      </x:c>
      <x:c r="T115" s="62" t="str">
        <x:v>费用不含税</x:v>
      </x:c>
      <x:c r="U115" s="62" t="str">
        <x:v>安全运行部</x:v>
      </x:c>
      <x:c r="V115" s="62" t="str">
        <x:v>概率安全分析人工成本分摊</x:v>
      </x:c>
      <x:c r="W115" s="62" t="str">
        <x:v>概率安全分析人工成本分摊</x:v>
      </x:c>
      <x:c r="X115" s="62" t="str">
        <x:v>17</x:v>
      </x:c>
      <x:c r="Y115" s="62" t="str">
        <x:v>17</x:v>
      </x:c>
      <x:c r="Z115" s="62" t="str">
        <x:v>17</x:v>
      </x:c>
      <x:c r="AA115" s="62" t="str">
        <x:v>概率安全分析</x:v>
      </x:c>
      <x:c r="AB115" s="62" t="str">
        <x:v>PRJ-AQ-概率-2025-003</x:v>
      </x:c>
      <x:c r="AC115" s="74" t="n">
        <x:v>45657</x:v>
      </x:c>
      <x:c r="AD115" s="71" t="str">
        <x:v>源记录保留</x:v>
      </x:c>
      <x:c r="AE115" s="71" t="str">
        <x:v>2024年实际执行.xlsx</x:v>
      </x:c>
      <x:c r="AF115" s="71" t="str">
        <x:v>Sheet</x:v>
      </x:c>
      <x:c r="AG115" s="71" t="n">
        <x:v>115</x:v>
      </x:c>
      <x:c r="AH115" s="71" t="str">
        <x:v>2024年实际执行.xlsx/Sheet!115:115</x:v>
      </x:c>
      <x:c r="AI115" s="62" t="str">
        <x:f>IF(F115=MONTH(L115),"OK","FAIL")</x:f>
        <x:v>OK</x:v>
      </x:c>
      <x:c r="AJ115" s="62" t="str">
        <x:f>IF(J115&lt;=L115,"OK","FAIL")</x:f>
        <x:v>OK</x:v>
      </x:c>
      <x:c r="AK115" s="62" t="str">
        <x:f>IF(D115&lt;&gt;"营业收入","OK",IF(AND(P115&lt;0,Q115&gt;0),"OK","FAIL"))</x:f>
        <x:v>OK</x:v>
      </x:c>
      <x:c r="AL115" s="62" t="str">
        <x:f>IF(COUNTIF($A$2:$A$204,A115)=1,"OK","FAIL")</x:f>
        <x:v>OK</x:v>
      </x:c>
    </x:row>
    <x:row r="116">
      <x:c r="A116" s="62" t="str">
        <x:v>DEMO01|2024|DOC1114|10</x:v>
      </x:c>
      <x:c r="B116" s="62" t="str">
        <x:v>SOURCE</x:v>
      </x:c>
      <x:c r="C116" s="62" t="str">
        <x:v>折旧摊销</x:v>
      </x:c>
      <x:c r="D116" s="62" t="str">
        <x:v>折旧摊销</x:v>
      </x:c>
      <x:c r="E116" s="62" t="n">
        <x:v>12</x:v>
      </x:c>
      <x:c r="F116" s="62" t="n">
        <x:v>12</x:v>
      </x:c>
      <x:c r="G116" s="62" t="str">
        <x:v>DOC1114</x:v>
      </x:c>
      <x:c r="H116" s="62" t="n">
        <x:v>10</x:v>
      </x:c>
      <x:c r="I116" s="74" t="n">
        <x:v>45657</x:v>
      </x:c>
      <x:c r="J116" s="74" t="n">
        <x:v>45657</x:v>
      </x:c>
      <x:c r="K116" s="74" t="n">
        <x:v>45657</x:v>
      </x:c>
      <x:c r="L116" s="74" t="n">
        <x:v>45657</x:v>
      </x:c>
      <x:c r="M116" s="77" t="n">
        <x:v>2</x:v>
      </x:c>
      <x:c r="N116" s="77"/>
      <x:c r="O116" s="78"/>
      <x:c r="P116" s="79" t="n">
        <x:f>M116</x:f>
        <x:v>2</x:v>
      </x:c>
      <x:c r="Q116" s="79" t="n">
        <x:f>IF(D116="营业收入",-P116,P116)</x:f>
        <x:v>2</x:v>
      </x:c>
      <x:c r="R116" s="62" t="str">
        <x:v>CNY</x:v>
      </x:c>
      <x:c r="S116" s="62" t="str">
        <x:v>万元</x:v>
      </x:c>
      <x:c r="T116" s="62" t="str">
        <x:v>费用不含税</x:v>
      </x:c>
      <x:c r="U116" s="62" t="str">
        <x:v>安全运行部</x:v>
      </x:c>
      <x:c r="V116" s="62" t="str">
        <x:v>概率安全分析折旧摊销分摊</x:v>
      </x:c>
      <x:c r="W116" s="62" t="str">
        <x:v>概率安全分析折旧摊销分摊</x:v>
      </x:c>
      <x:c r="X116" s="62" t="str">
        <x:v>17</x:v>
      </x:c>
      <x:c r="Y116" s="62" t="str">
        <x:v>17</x:v>
      </x:c>
      <x:c r="Z116" s="62" t="str">
        <x:v>17</x:v>
      </x:c>
      <x:c r="AA116" s="62" t="str">
        <x:v>概率安全分析</x:v>
      </x:c>
      <x:c r="AB116" s="62" t="str">
        <x:v>PRJ-AQ-概率-2025-003</x:v>
      </x:c>
      <x:c r="AC116" s="74" t="n">
        <x:v>45657</x:v>
      </x:c>
      <x:c r="AD116" s="71" t="str">
        <x:v>源记录保留</x:v>
      </x:c>
      <x:c r="AE116" s="71" t="str">
        <x:v>2024年实际执行.xlsx</x:v>
      </x:c>
      <x:c r="AF116" s="71" t="str">
        <x:v>Sheet</x:v>
      </x:c>
      <x:c r="AG116" s="71" t="n">
        <x:v>116</x:v>
      </x:c>
      <x:c r="AH116" s="71" t="str">
        <x:v>2024年实际执行.xlsx/Sheet!116:116</x:v>
      </x:c>
      <x:c r="AI116" s="62" t="str">
        <x:f>IF(F116=MONTH(L116),"OK","FAIL")</x:f>
        <x:v>OK</x:v>
      </x:c>
      <x:c r="AJ116" s="62" t="str">
        <x:f>IF(J116&lt;=L116,"OK","FAIL")</x:f>
        <x:v>OK</x:v>
      </x:c>
      <x:c r="AK116" s="62" t="str">
        <x:f>IF(D116&lt;&gt;"营业收入","OK",IF(AND(P116&lt;0,Q116&gt;0),"OK","FAIL"))</x:f>
        <x:v>OK</x:v>
      </x:c>
      <x:c r="AL116" s="62" t="str">
        <x:f>IF(COUNTIF($A$2:$A$204,A116)=1,"OK","FAIL")</x:f>
        <x:v>OK</x:v>
      </x:c>
    </x:row>
    <x:row r="117">
      <x:c r="A117" s="62" t="str">
        <x:v>DEMO01|2024|DOC1115|10</x:v>
      </x:c>
      <x:c r="B117" s="62" t="str">
        <x:v>SOURCE</x:v>
      </x:c>
      <x:c r="C117" s="62" t="str">
        <x:v>营业收入</x:v>
      </x:c>
      <x:c r="D117" s="62" t="str">
        <x:v>营业收入</x:v>
      </x:c>
      <x:c r="E117" s="62" t="n">
        <x:v>6</x:v>
      </x:c>
      <x:c r="F117" s="62" t="n">
        <x:v>6</x:v>
      </x:c>
      <x:c r="G117" s="62" t="str">
        <x:v>DOC1115</x:v>
      </x:c>
      <x:c r="H117" s="62" t="n">
        <x:v>10</x:v>
      </x:c>
      <x:c r="I117" s="74" t="n">
        <x:v>45458</x:v>
      </x:c>
      <x:c r="J117" s="74" t="n">
        <x:v>45458</x:v>
      </x:c>
      <x:c r="K117" s="74" t="n">
        <x:v>45458</x:v>
      </x:c>
      <x:c r="L117" s="74" t="n">
        <x:v>45458</x:v>
      </x:c>
      <x:c r="M117" s="77" t="n">
        <x:v>-200</x:v>
      </x:c>
      <x:c r="N117" s="77"/>
      <x:c r="O117" s="78"/>
      <x:c r="P117" s="79" t="n">
        <x:f>M117</x:f>
        <x:v>-200</x:v>
      </x:c>
      <x:c r="Q117" s="79" t="n">
        <x:f>IF(D117="营业收入",-P117,P117)</x:f>
        <x:v>200</x:v>
      </x:c>
      <x:c r="R117" s="62" t="str">
        <x:v>CNY</x:v>
      </x:c>
      <x:c r="S117" s="62" t="str">
        <x:v>万元</x:v>
      </x:c>
      <x:c r="T117" s="62" t="str">
        <x:v>收益；源负号</x:v>
      </x:c>
      <x:c r="U117" s="62" t="str">
        <x:v>安全运行部</x:v>
      </x:c>
      <x:c r="V117" s="62" t="str">
        <x:v>灾害防护收入确认</x:v>
      </x:c>
      <x:c r="W117" s="62" t="str">
        <x:v>灾害防护收入确认</x:v>
      </x:c>
      <x:c r="X117" s="62" t="str">
        <x:v>17</x:v>
      </x:c>
      <x:c r="Y117" s="62" t="str">
        <x:v>17</x:v>
      </x:c>
      <x:c r="Z117" s="62" t="str">
        <x:v>17</x:v>
      </x:c>
      <x:c r="AA117" s="62" t="str">
        <x:v>灾害防护</x:v>
      </x:c>
      <x:c r="AB117" s="62" t="str">
        <x:v>PRJ-AQ-灾害-2024-001</x:v>
      </x:c>
      <x:c r="AC117" s="74" t="n">
        <x:v>45657</x:v>
      </x:c>
      <x:c r="AD117" s="71" t="str">
        <x:v>源记录保留</x:v>
      </x:c>
      <x:c r="AE117" s="71" t="str">
        <x:v>2024年实际执行.xlsx</x:v>
      </x:c>
      <x:c r="AF117" s="71" t="str">
        <x:v>Sheet</x:v>
      </x:c>
      <x:c r="AG117" s="71" t="n">
        <x:v>117</x:v>
      </x:c>
      <x:c r="AH117" s="71" t="str">
        <x:v>2024年实际执行.xlsx/Sheet!117:117</x:v>
      </x:c>
      <x:c r="AI117" s="62" t="str">
        <x:f>IF(F117=MONTH(L117),"OK","FAIL")</x:f>
        <x:v>OK</x:v>
      </x:c>
      <x:c r="AJ117" s="62" t="str">
        <x:f>IF(J117&lt;=L117,"OK","FAIL")</x:f>
        <x:v>OK</x:v>
      </x:c>
      <x:c r="AK117" s="62" t="str">
        <x:f>IF(D117&lt;&gt;"营业收入","OK",IF(AND(P117&lt;0,Q117&gt;0),"OK","FAIL"))</x:f>
        <x:v>OK</x:v>
      </x:c>
      <x:c r="AL117" s="62" t="str">
        <x:f>IF(COUNTIF($A$2:$A$204,A117)=1,"OK","FAIL")</x:f>
        <x:v>OK</x:v>
      </x:c>
    </x:row>
    <x:row r="118">
      <x:c r="A118" s="62" t="str">
        <x:v>DEMO01|2024|DOC1116|10</x:v>
      </x:c>
      <x:c r="B118" s="62" t="str">
        <x:v>SOURCE</x:v>
      </x:c>
      <x:c r="C118" s="62" t="str">
        <x:v>会议费</x:v>
      </x:c>
      <x:c r="D118" s="62" t="str">
        <x:v>会议费</x:v>
      </x:c>
      <x:c r="E118" s="62" t="n">
        <x:v>5</x:v>
      </x:c>
      <x:c r="F118" s="62" t="n">
        <x:v>5</x:v>
      </x:c>
      <x:c r="G118" s="62" t="str">
        <x:v>DOC1116</x:v>
      </x:c>
      <x:c r="H118" s="62" t="n">
        <x:v>10</x:v>
      </x:c>
      <x:c r="I118" s="74" t="n">
        <x:v>45427</x:v>
      </x:c>
      <x:c r="J118" s="74" t="n">
        <x:v>45427</x:v>
      </x:c>
      <x:c r="K118" s="74" t="n">
        <x:v>45427</x:v>
      </x:c>
      <x:c r="L118" s="74" t="n">
        <x:v>45427</x:v>
      </x:c>
      <x:c r="M118" s="77" t="n">
        <x:v>0.363766666666667</x:v>
      </x:c>
      <x:c r="N118" s="77"/>
      <x:c r="O118" s="78"/>
      <x:c r="P118" s="79" t="n">
        <x:f>M118</x:f>
        <x:v>0.363766666666667</x:v>
      </x:c>
      <x:c r="Q118" s="79" t="n">
        <x:f>IF(D118="营业收入",-P118,P118)</x:f>
        <x:v>0.363766666666667</x:v>
      </x:c>
      <x:c r="R118" s="62" t="str">
        <x:v>CNY</x:v>
      </x:c>
      <x:c r="S118" s="62" t="str">
        <x:v>万元</x:v>
      </x:c>
      <x:c r="T118" s="62" t="str">
        <x:v>费用不含税</x:v>
      </x:c>
      <x:c r="U118" s="62" t="str">
        <x:v>安全运行部</x:v>
      </x:c>
      <x:c r="V118" s="62" t="str">
        <x:v>灾害防护项目阶段评审会</x:v>
      </x:c>
      <x:c r="W118" s="62" t="str">
        <x:v>灾害防护项目阶段评审会</x:v>
      </x:c>
      <x:c r="X118" s="62" t="str">
        <x:v>国电智深</x:v>
      </x:c>
      <x:c r="Y118" s="62" t="str">
        <x:v>国电智深</x:v>
      </x:c>
      <x:c r="Z118" s="62" t="str">
        <x:v>17</x:v>
      </x:c>
      <x:c r="AA118" s="62" t="str">
        <x:v>灾害防护</x:v>
      </x:c>
      <x:c r="AB118" s="62" t="str">
        <x:v>PRJ-AQ-灾害-2024-001</x:v>
      </x:c>
      <x:c r="AC118" s="74" t="n">
        <x:v>45657</x:v>
      </x:c>
      <x:c r="AD118" s="71" t="str">
        <x:v>源记录保留</x:v>
      </x:c>
      <x:c r="AE118" s="71" t="str">
        <x:v>2024年实际执行.xlsx</x:v>
      </x:c>
      <x:c r="AF118" s="71" t="str">
        <x:v>Sheet</x:v>
      </x:c>
      <x:c r="AG118" s="71" t="n">
        <x:v>118</x:v>
      </x:c>
      <x:c r="AH118" s="71" t="str">
        <x:v>2024年实际执行.xlsx/Sheet!118:118</x:v>
      </x:c>
      <x:c r="AI118" s="62" t="str">
        <x:f>IF(F118=MONTH(L118),"OK","FAIL")</x:f>
        <x:v>OK</x:v>
      </x:c>
      <x:c r="AJ118" s="62" t="str">
        <x:f>IF(J118&lt;=L118,"OK","FAIL")</x:f>
        <x:v>OK</x:v>
      </x:c>
      <x:c r="AK118" s="62" t="str">
        <x:f>IF(D118&lt;&gt;"营业收入","OK",IF(AND(P118&lt;0,Q118&gt;0),"OK","FAIL"))</x:f>
        <x:v>OK</x:v>
      </x:c>
      <x:c r="AL118" s="62" t="str">
        <x:f>IF(COUNTIF($A$2:$A$204,A118)=1,"OK","FAIL")</x:f>
        <x:v>OK</x:v>
      </x:c>
    </x:row>
    <x:row r="119">
      <x:c r="A119" s="62" t="str">
        <x:v>DEMO01|2024|DOC1117|10</x:v>
      </x:c>
      <x:c r="B119" s="62" t="str">
        <x:v>SOURCE</x:v>
      </x:c>
      <x:c r="C119" s="62" t="str">
        <x:v>业务支持费</x:v>
      </x:c>
      <x:c r="D119" s="62" t="str">
        <x:v>业务支持费-技术配置</x:v>
      </x:c>
      <x:c r="E119" s="62" t="n">
        <x:v>8</x:v>
      </x:c>
      <x:c r="F119" s="62" t="n">
        <x:v>8</x:v>
      </x:c>
      <x:c r="G119" s="62" t="str">
        <x:v>DOC1117</x:v>
      </x:c>
      <x:c r="H119" s="62" t="n">
        <x:v>10</x:v>
      </x:c>
      <x:c r="I119" s="74" t="n">
        <x:v>45519</x:v>
      </x:c>
      <x:c r="J119" s="74" t="n">
        <x:v>45519</x:v>
      </x:c>
      <x:c r="K119" s="74" t="n">
        <x:v>45519</x:v>
      </x:c>
      <x:c r="L119" s="74" t="n">
        <x:v>45519</x:v>
      </x:c>
      <x:c r="M119" s="77" t="n">
        <x:v>14.5506666666667</x:v>
      </x:c>
      <x:c r="N119" s="77"/>
      <x:c r="O119" s="78"/>
      <x:c r="P119" s="79" t="n">
        <x:f>M119</x:f>
        <x:v>14.5506666666667</x:v>
      </x:c>
      <x:c r="Q119" s="79" t="n">
        <x:f>IF(D119="营业收入",-P119,P119)</x:f>
        <x:v>14.5506666666667</x:v>
      </x:c>
      <x:c r="R119" s="62" t="str">
        <x:v>CNY</x:v>
      </x:c>
      <x:c r="S119" s="62" t="str">
        <x:v>万元</x:v>
      </x:c>
      <x:c r="T119" s="62" t="str">
        <x:v>费用不含税</x:v>
      </x:c>
      <x:c r="U119" s="62" t="str">
        <x:v>安全运行部</x:v>
      </x:c>
      <x:c r="V119" s="62" t="str">
        <x:v>灾害防护技术配置_前期阶段</x:v>
      </x:c>
      <x:c r="W119" s="62" t="str">
        <x:v>灾害防护技术配置_前期阶段</x:v>
      </x:c>
      <x:c r="X119" s="62" t="str">
        <x:v>国电智深</x:v>
      </x:c>
      <x:c r="Y119" s="62" t="str">
        <x:v>国电智深</x:v>
      </x:c>
      <x:c r="Z119" s="62" t="str">
        <x:v>17</x:v>
      </x:c>
      <x:c r="AA119" s="62" t="str">
        <x:v>灾害防护</x:v>
      </x:c>
      <x:c r="AB119" s="62" t="str">
        <x:v>PRJ-AQ-灾害-2024-001</x:v>
      </x:c>
      <x:c r="AC119" s="74" t="n">
        <x:v>45657</x:v>
      </x:c>
      <x:c r="AD119" s="71" t="str">
        <x:v>源记录保留</x:v>
      </x:c>
      <x:c r="AE119" s="71" t="str">
        <x:v>2024年实际执行.xlsx</x:v>
      </x:c>
      <x:c r="AF119" s="71" t="str">
        <x:v>Sheet</x:v>
      </x:c>
      <x:c r="AG119" s="71" t="n">
        <x:v>119</x:v>
      </x:c>
      <x:c r="AH119" s="71" t="str">
        <x:v>2024年实际执行.xlsx/Sheet!119:119</x:v>
      </x:c>
      <x:c r="AI119" s="62" t="str">
        <x:f>IF(F119=MONTH(L119),"OK","FAIL")</x:f>
        <x:v>OK</x:v>
      </x:c>
      <x:c r="AJ119" s="62" t="str">
        <x:f>IF(J119&lt;=L119,"OK","FAIL")</x:f>
        <x:v>OK</x:v>
      </x:c>
      <x:c r="AK119" s="62" t="str">
        <x:f>IF(D119&lt;&gt;"营业收入","OK",IF(AND(P119&lt;0,Q119&gt;0),"OK","FAIL"))</x:f>
        <x:v>OK</x:v>
      </x:c>
      <x:c r="AL119" s="62" t="str">
        <x:f>IF(COUNTIF($A$2:$A$204,A119)=1,"OK","FAIL")</x:f>
        <x:v>OK</x:v>
      </x:c>
    </x:row>
    <x:row r="120">
      <x:c r="A120" s="62" t="str">
        <x:v>DEMO01|2024|DOC1118|10</x:v>
      </x:c>
      <x:c r="B120" s="62" t="str">
        <x:v>SOURCE</x:v>
      </x:c>
      <x:c r="C120" s="62" t="str">
        <x:v>生产物料费</x:v>
      </x:c>
      <x:c r="D120" s="62" t="str">
        <x:v>生产物料费</x:v>
      </x:c>
      <x:c r="E120" s="62" t="n">
        <x:v>11</x:v>
      </x:c>
      <x:c r="F120" s="62" t="n">
        <x:v>11</x:v>
      </x:c>
      <x:c r="G120" s="62" t="str">
        <x:v>DOC1118</x:v>
      </x:c>
      <x:c r="H120" s="62" t="n">
        <x:v>10</x:v>
      </x:c>
      <x:c r="I120" s="74" t="n">
        <x:v>45611</x:v>
      </x:c>
      <x:c r="J120" s="74" t="n">
        <x:v>45611</x:v>
      </x:c>
      <x:c r="K120" s="74" t="n">
        <x:v>45611</x:v>
      </x:c>
      <x:c r="L120" s="74" t="n">
        <x:v>45611</x:v>
      </x:c>
      <x:c r="M120" s="77" t="n">
        <x:v>5.4565</x:v>
      </x:c>
      <x:c r="N120" s="77"/>
      <x:c r="O120" s="78"/>
      <x:c r="P120" s="79" t="n">
        <x:f>M120</x:f>
        <x:v>5.4565</x:v>
      </x:c>
      <x:c r="Q120" s="79" t="n">
        <x:f>IF(D120="营业收入",-P120,P120)</x:f>
        <x:v>5.4565</x:v>
      </x:c>
      <x:c r="R120" s="62" t="str">
        <x:v>CNY</x:v>
      </x:c>
      <x:c r="S120" s="62" t="str">
        <x:v>万元</x:v>
      </x:c>
      <x:c r="T120" s="62" t="str">
        <x:v>费用不含税</x:v>
      </x:c>
      <x:c r="U120" s="62" t="str">
        <x:v>安全运行部</x:v>
      </x:c>
      <x:c r="V120" s="62" t="str">
        <x:v>灾害防护现场物料采购</x:v>
      </x:c>
      <x:c r="W120" s="62" t="str">
        <x:v>灾害防护现场物料采购</x:v>
      </x:c>
      <x:c r="X120" s="62" t="str">
        <x:v>国电智深</x:v>
      </x:c>
      <x:c r="Y120" s="62" t="str">
        <x:v>国电智深</x:v>
      </x:c>
      <x:c r="Z120" s="62" t="str">
        <x:v>17</x:v>
      </x:c>
      <x:c r="AA120" s="62" t="str">
        <x:v>灾害防护</x:v>
      </x:c>
      <x:c r="AB120" s="62" t="str">
        <x:v>PRJ-AQ-灾害-2024-001</x:v>
      </x:c>
      <x:c r="AC120" s="74" t="n">
        <x:v>45657</x:v>
      </x:c>
      <x:c r="AD120" s="71" t="str">
        <x:v>源记录保留</x:v>
      </x:c>
      <x:c r="AE120" s="71" t="str">
        <x:v>2024年实际执行.xlsx</x:v>
      </x:c>
      <x:c r="AF120" s="71" t="str">
        <x:v>Sheet</x:v>
      </x:c>
      <x:c r="AG120" s="71" t="n">
        <x:v>120</x:v>
      </x:c>
      <x:c r="AH120" s="71" t="str">
        <x:v>2024年实际执行.xlsx/Sheet!120:120</x:v>
      </x:c>
      <x:c r="AI120" s="62" t="str">
        <x:f>IF(F120=MONTH(L120),"OK","FAIL")</x:f>
        <x:v>OK</x:v>
      </x:c>
      <x:c r="AJ120" s="62" t="str">
        <x:f>IF(J120&lt;=L120,"OK","FAIL")</x:f>
        <x:v>OK</x:v>
      </x:c>
      <x:c r="AK120" s="62" t="str">
        <x:f>IF(D120&lt;&gt;"营业收入","OK",IF(AND(P120&lt;0,Q120&gt;0),"OK","FAIL"))</x:f>
        <x:v>OK</x:v>
      </x:c>
      <x:c r="AL120" s="62" t="str">
        <x:f>IF(COUNTIF($A$2:$A$204,A120)=1,"OK","FAIL")</x:f>
        <x:v>OK</x:v>
      </x:c>
    </x:row>
    <x:row r="121">
      <x:c r="A121" s="62" t="str">
        <x:v>DEMO01|2024|DOC1119|10</x:v>
      </x:c>
      <x:c r="B121" s="62" t="str">
        <x:v>SOURCE</x:v>
      </x:c>
      <x:c r="C121" s="62" t="str">
        <x:v>办公费</x:v>
      </x:c>
      <x:c r="D121" s="62" t="str">
        <x:v>办公费</x:v>
      </x:c>
      <x:c r="E121" s="62" t="n">
        <x:v>6</x:v>
      </x:c>
      <x:c r="F121" s="62" t="n">
        <x:v>6</x:v>
      </x:c>
      <x:c r="G121" s="62" t="str">
        <x:v>DOC1119</x:v>
      </x:c>
      <x:c r="H121" s="62" t="n">
        <x:v>10</x:v>
      </x:c>
      <x:c r="I121" s="74" t="n">
        <x:v>45458</x:v>
      </x:c>
      <x:c r="J121" s="74" t="n">
        <x:v>45458</x:v>
      </x:c>
      <x:c r="K121" s="74" t="n">
        <x:v>45458</x:v>
      </x:c>
      <x:c r="L121" s="74" t="n">
        <x:v>45458</x:v>
      </x:c>
      <x:c r="M121" s="77" t="n">
        <x:v>1.0913</x:v>
      </x:c>
      <x:c r="N121" s="77"/>
      <x:c r="O121" s="78"/>
      <x:c r="P121" s="79" t="n">
        <x:f>M121</x:f>
        <x:v>1.0913</x:v>
      </x:c>
      <x:c r="Q121" s="79" t="n">
        <x:f>IF(D121="营业收入",-P121,P121)</x:f>
        <x:v>1.0913</x:v>
      </x:c>
      <x:c r="R121" s="62" t="str">
        <x:v>CNY</x:v>
      </x:c>
      <x:c r="S121" s="62" t="str">
        <x:v>万元</x:v>
      </x:c>
      <x:c r="T121" s="62" t="str">
        <x:v>费用不含税</x:v>
      </x:c>
      <x:c r="U121" s="62" t="str">
        <x:v>安全运行部</x:v>
      </x:c>
      <x:c r="V121" s="62" t="str">
        <x:v>灾害防护日常办公</x:v>
      </x:c>
      <x:c r="W121" s="62" t="str">
        <x:v>灾害防护日常办公</x:v>
      </x:c>
      <x:c r="X121" s="62" t="str">
        <x:v>国电智深</x:v>
      </x:c>
      <x:c r="Y121" s="62" t="str">
        <x:v>国电智深</x:v>
      </x:c>
      <x:c r="Z121" s="62" t="str">
        <x:v>17</x:v>
      </x:c>
      <x:c r="AA121" s="62" t="str">
        <x:v>灾害防护</x:v>
      </x:c>
      <x:c r="AB121" s="62" t="str">
        <x:v>PRJ-AQ-灾害-2024-001</x:v>
      </x:c>
      <x:c r="AC121" s="74" t="n">
        <x:v>45657</x:v>
      </x:c>
      <x:c r="AD121" s="71" t="str">
        <x:v>源记录保留</x:v>
      </x:c>
      <x:c r="AE121" s="71" t="str">
        <x:v>2024年实际执行.xlsx</x:v>
      </x:c>
      <x:c r="AF121" s="71" t="str">
        <x:v>Sheet</x:v>
      </x:c>
      <x:c r="AG121" s="71" t="n">
        <x:v>121</x:v>
      </x:c>
      <x:c r="AH121" s="71" t="str">
        <x:v>2024年实际执行.xlsx/Sheet!121:121</x:v>
      </x:c>
      <x:c r="AI121" s="62" t="str">
        <x:f>IF(F121=MONTH(L121),"OK","FAIL")</x:f>
        <x:v>OK</x:v>
      </x:c>
      <x:c r="AJ121" s="62" t="str">
        <x:f>IF(J121&lt;=L121,"OK","FAIL")</x:f>
        <x:v>OK</x:v>
      </x:c>
      <x:c r="AK121" s="62" t="str">
        <x:f>IF(D121&lt;&gt;"营业收入","OK",IF(AND(P121&lt;0,Q121&gt;0),"OK","FAIL"))</x:f>
        <x:v>OK</x:v>
      </x:c>
      <x:c r="AL121" s="62" t="str">
        <x:f>IF(COUNTIF($A$2:$A$204,A121)=1,"OK","FAIL")</x:f>
        <x:v>OK</x:v>
      </x:c>
    </x:row>
    <x:row r="122">
      <x:c r="A122" s="62" t="str">
        <x:v>DEMO01|2024|DOC1120|10</x:v>
      </x:c>
      <x:c r="B122" s="62" t="str">
        <x:v>SOURCE</x:v>
      </x:c>
      <x:c r="C122" s="62" t="str">
        <x:v>人工成本</x:v>
      </x:c>
      <x:c r="D122" s="62" t="str">
        <x:v>人工成本</x:v>
      </x:c>
      <x:c r="E122" s="62" t="n">
        <x:v>6</x:v>
      </x:c>
      <x:c r="F122" s="62" t="n">
        <x:v>6</x:v>
      </x:c>
      <x:c r="G122" s="62" t="str">
        <x:v>DOC1120</x:v>
      </x:c>
      <x:c r="H122" s="62" t="n">
        <x:v>10</x:v>
      </x:c>
      <x:c r="I122" s="74" t="n">
        <x:v>45473</x:v>
      </x:c>
      <x:c r="J122" s="74" t="n">
        <x:v>45473</x:v>
      </x:c>
      <x:c r="K122" s="74" t="n">
        <x:v>45473</x:v>
      </x:c>
      <x:c r="L122" s="74" t="n">
        <x:v>45473</x:v>
      </x:c>
      <x:c r="M122" s="77" t="n">
        <x:v>6.8</x:v>
      </x:c>
      <x:c r="N122" s="77"/>
      <x:c r="O122" s="78"/>
      <x:c r="P122" s="79" t="n">
        <x:f>M122</x:f>
        <x:v>6.8</x:v>
      </x:c>
      <x:c r="Q122" s="79" t="n">
        <x:f>IF(D122="营业收入",-P122,P122)</x:f>
        <x:v>6.8</x:v>
      </x:c>
      <x:c r="R122" s="62" t="str">
        <x:v>CNY</x:v>
      </x:c>
      <x:c r="S122" s="62" t="str">
        <x:v>万元</x:v>
      </x:c>
      <x:c r="T122" s="62" t="str">
        <x:v>费用不含税</x:v>
      </x:c>
      <x:c r="U122" s="62" t="str">
        <x:v>安全运行部</x:v>
      </x:c>
      <x:c r="V122" s="62" t="str">
        <x:v>灾害防护人工成本分摊</x:v>
      </x:c>
      <x:c r="W122" s="62" t="str">
        <x:v>灾害防护人工成本分摊</x:v>
      </x:c>
      <x:c r="X122" s="62" t="str">
        <x:v>17</x:v>
      </x:c>
      <x:c r="Y122" s="62" t="str">
        <x:v>17</x:v>
      </x:c>
      <x:c r="Z122" s="62" t="str">
        <x:v>17</x:v>
      </x:c>
      <x:c r="AA122" s="62" t="str">
        <x:v>灾害防护</x:v>
      </x:c>
      <x:c r="AB122" s="62" t="str">
        <x:v>PRJ-AQ-灾害-2024-001</x:v>
      </x:c>
      <x:c r="AC122" s="74" t="n">
        <x:v>45657</x:v>
      </x:c>
      <x:c r="AD122" s="71" t="str">
        <x:v>源记录保留</x:v>
      </x:c>
      <x:c r="AE122" s="71" t="str">
        <x:v>2024年实际执行.xlsx</x:v>
      </x:c>
      <x:c r="AF122" s="71" t="str">
        <x:v>Sheet</x:v>
      </x:c>
      <x:c r="AG122" s="71" t="n">
        <x:v>122</x:v>
      </x:c>
      <x:c r="AH122" s="71" t="str">
        <x:v>2024年实际执行.xlsx/Sheet!122:122</x:v>
      </x:c>
      <x:c r="AI122" s="62" t="str">
        <x:f>IF(F122=MONTH(L122),"OK","FAIL")</x:f>
        <x:v>OK</x:v>
      </x:c>
      <x:c r="AJ122" s="62" t="str">
        <x:f>IF(J122&lt;=L122,"OK","FAIL")</x:f>
        <x:v>OK</x:v>
      </x:c>
      <x:c r="AK122" s="62" t="str">
        <x:f>IF(D122&lt;&gt;"营业收入","OK",IF(AND(P122&lt;0,Q122&gt;0),"OK","FAIL"))</x:f>
        <x:v>OK</x:v>
      </x:c>
      <x:c r="AL122" s="62" t="str">
        <x:f>IF(COUNTIF($A$2:$A$204,A122)=1,"OK","FAIL")</x:f>
        <x:v>OK</x:v>
      </x:c>
    </x:row>
    <x:row r="123">
      <x:c r="A123" s="62" t="str">
        <x:v>DEMO01|2024|DOC1121|10</x:v>
      </x:c>
      <x:c r="B123" s="62" t="str">
        <x:v>SOURCE</x:v>
      </x:c>
      <x:c r="C123" s="62" t="str">
        <x:v>折旧摊销</x:v>
      </x:c>
      <x:c r="D123" s="62" t="str">
        <x:v>折旧摊销</x:v>
      </x:c>
      <x:c r="E123" s="62" t="n">
        <x:v>12</x:v>
      </x:c>
      <x:c r="F123" s="62" t="n">
        <x:v>12</x:v>
      </x:c>
      <x:c r="G123" s="62" t="str">
        <x:v>DOC1121</x:v>
      </x:c>
      <x:c r="H123" s="62" t="n">
        <x:v>10</x:v>
      </x:c>
      <x:c r="I123" s="74" t="n">
        <x:v>45657</x:v>
      </x:c>
      <x:c r="J123" s="74" t="n">
        <x:v>45657</x:v>
      </x:c>
      <x:c r="K123" s="74" t="n">
        <x:v>45657</x:v>
      </x:c>
      <x:c r="L123" s="74" t="n">
        <x:v>45657</x:v>
      </x:c>
      <x:c r="M123" s="77" t="n">
        <x:v>2</x:v>
      </x:c>
      <x:c r="N123" s="77"/>
      <x:c r="O123" s="78"/>
      <x:c r="P123" s="79" t="n">
        <x:f>M123</x:f>
        <x:v>2</x:v>
      </x:c>
      <x:c r="Q123" s="79" t="n">
        <x:f>IF(D123="营业收入",-P123,P123)</x:f>
        <x:v>2</x:v>
      </x:c>
      <x:c r="R123" s="62" t="str">
        <x:v>CNY</x:v>
      </x:c>
      <x:c r="S123" s="62" t="str">
        <x:v>万元</x:v>
      </x:c>
      <x:c r="T123" s="62" t="str">
        <x:v>费用不含税</x:v>
      </x:c>
      <x:c r="U123" s="62" t="str">
        <x:v>安全运行部</x:v>
      </x:c>
      <x:c r="V123" s="62" t="str">
        <x:v>灾害防护折旧摊销分摊</x:v>
      </x:c>
      <x:c r="W123" s="62" t="str">
        <x:v>灾害防护折旧摊销分摊</x:v>
      </x:c>
      <x:c r="X123" s="62" t="str">
        <x:v>17</x:v>
      </x:c>
      <x:c r="Y123" s="62" t="str">
        <x:v>17</x:v>
      </x:c>
      <x:c r="Z123" s="62" t="str">
        <x:v>17</x:v>
      </x:c>
      <x:c r="AA123" s="62" t="str">
        <x:v>灾害防护</x:v>
      </x:c>
      <x:c r="AB123" s="62" t="str">
        <x:v>PRJ-AQ-灾害-2024-001</x:v>
      </x:c>
      <x:c r="AC123" s="74" t="n">
        <x:v>45657</x:v>
      </x:c>
      <x:c r="AD123" s="71" t="str">
        <x:v>源记录保留</x:v>
      </x:c>
      <x:c r="AE123" s="71" t="str">
        <x:v>2024年实际执行.xlsx</x:v>
      </x:c>
      <x:c r="AF123" s="71" t="str">
        <x:v>Sheet</x:v>
      </x:c>
      <x:c r="AG123" s="71" t="n">
        <x:v>123</x:v>
      </x:c>
      <x:c r="AH123" s="71" t="str">
        <x:v>2024年实际执行.xlsx/Sheet!123:123</x:v>
      </x:c>
      <x:c r="AI123" s="62" t="str">
        <x:f>IF(F123=MONTH(L123),"OK","FAIL")</x:f>
        <x:v>OK</x:v>
      </x:c>
      <x:c r="AJ123" s="62" t="str">
        <x:f>IF(J123&lt;=L123,"OK","FAIL")</x:f>
        <x:v>OK</x:v>
      </x:c>
      <x:c r="AK123" s="62" t="str">
        <x:f>IF(D123&lt;&gt;"营业收入","OK",IF(AND(P123&lt;0,Q123&gt;0),"OK","FAIL"))</x:f>
        <x:v>OK</x:v>
      </x:c>
      <x:c r="AL123" s="62" t="str">
        <x:f>IF(COUNTIF($A$2:$A$204,A123)=1,"OK","FAIL")</x:f>
        <x:v>OK</x:v>
      </x:c>
    </x:row>
    <x:row r="124">
      <x:c r="A124" s="62" t="str">
        <x:v>DEMO01|2024|DOC1122|10</x:v>
      </x:c>
      <x:c r="B124" s="62" t="str">
        <x:v>SOURCE</x:v>
      </x:c>
      <x:c r="C124" s="62" t="str">
        <x:v>业务支持费</x:v>
      </x:c>
      <x:c r="D124" s="62" t="str">
        <x:v>业务支持费-其他</x:v>
      </x:c>
      <x:c r="E124" s="62" t="n">
        <x:v>12</x:v>
      </x:c>
      <x:c r="F124" s="62" t="n">
        <x:v>12</x:v>
      </x:c>
      <x:c r="G124" s="62" t="str">
        <x:v>DOC1122</x:v>
      </x:c>
      <x:c r="H124" s="62" t="n">
        <x:v>10</x:v>
      </x:c>
      <x:c r="I124" s="74" t="n">
        <x:v>45657</x:v>
      </x:c>
      <x:c r="J124" s="74" t="n">
        <x:v>45657</x:v>
      </x:c>
      <x:c r="K124" s="74" t="n">
        <x:v>45657</x:v>
      </x:c>
      <x:c r="L124" s="74" t="n">
        <x:v>45657</x:v>
      </x:c>
      <x:c r="M124" s="77" t="n">
        <x:v>5.4565</x:v>
      </x:c>
      <x:c r="N124" s="77"/>
      <x:c r="O124" s="78"/>
      <x:c r="P124" s="79" t="n">
        <x:f>M124</x:f>
        <x:v>5.4565</x:v>
      </x:c>
      <x:c r="Q124" s="79" t="n">
        <x:f>IF(D124="营业收入",-P124,P124)</x:f>
        <x:v>5.4565</x:v>
      </x:c>
      <x:c r="R124" s="62" t="str">
        <x:v>CNY</x:v>
      </x:c>
      <x:c r="S124" s="62" t="str">
        <x:v>万元</x:v>
      </x:c>
      <x:c r="T124" s="62" t="str">
        <x:v>费用不含税</x:v>
      </x:c>
      <x:c r="U124" s="62" t="str">
        <x:v>安全运行部</x:v>
      </x:c>
      <x:c r="V124" s="62" t="str">
        <x:v>计提灾害防护_2024年末预提</x:v>
      </x:c>
      <x:c r="W124" s="62" t="str">
        <x:v>计提灾害防护_2024年末预提</x:v>
      </x:c>
      <x:c r="X124" s="62" t="str">
        <x:v>国电智深</x:v>
      </x:c>
      <x:c r="Y124" s="62" t="str">
        <x:v>国电智深</x:v>
      </x:c>
      <x:c r="Z124" s="62" t="str">
        <x:v>17</x:v>
      </x:c>
      <x:c r="AA124" s="62" t="str">
        <x:v>灾害防护</x:v>
      </x:c>
      <x:c r="AB124" s="62" t="str">
        <x:v>PRJ-AQ-灾害-2024-001</x:v>
      </x:c>
      <x:c r="AC124" s="74" t="n">
        <x:v>45657</x:v>
      </x:c>
      <x:c r="AD124" s="71" t="str">
        <x:v>源记录保留</x:v>
      </x:c>
      <x:c r="AE124" s="71" t="str">
        <x:v>2024年实际执行.xlsx</x:v>
      </x:c>
      <x:c r="AF124" s="71" t="str">
        <x:v>Sheet</x:v>
      </x:c>
      <x:c r="AG124" s="71" t="n">
        <x:v>124</x:v>
      </x:c>
      <x:c r="AH124" s="71" t="str">
        <x:v>2024年实际执行.xlsx/Sheet!124:124</x:v>
      </x:c>
      <x:c r="AI124" s="62" t="str">
        <x:f>IF(F124=MONTH(L124),"OK","FAIL")</x:f>
        <x:v>OK</x:v>
      </x:c>
      <x:c r="AJ124" s="62" t="str">
        <x:f>IF(J124&lt;=L124,"OK","FAIL")</x:f>
        <x:v>OK</x:v>
      </x:c>
      <x:c r="AK124" s="62" t="str">
        <x:f>IF(D124&lt;&gt;"营业收入","OK",IF(AND(P124&lt;0,Q124&gt;0),"OK","FAIL"))</x:f>
        <x:v>OK</x:v>
      </x:c>
      <x:c r="AL124" s="62" t="str">
        <x:f>IF(COUNTIF($A$2:$A$204,A124)=1,"OK","FAIL")</x:f>
        <x:v>OK</x:v>
      </x:c>
    </x:row>
    <x:row r="125">
      <x:c r="A125" s="62" t="str">
        <x:v>DEMO01|2024|DOC1123|10</x:v>
      </x:c>
      <x:c r="B125" s="62" t="str">
        <x:v>SOURCE</x:v>
      </x:c>
      <x:c r="C125" s="62" t="str">
        <x:v>营业收入</x:v>
      </x:c>
      <x:c r="D125" s="62" t="str">
        <x:v>营业收入</x:v>
      </x:c>
      <x:c r="E125" s="62" t="n">
        <x:v>6</x:v>
      </x:c>
      <x:c r="F125" s="62" t="n">
        <x:v>6</x:v>
      </x:c>
      <x:c r="G125" s="62" t="str">
        <x:v>DOC1123</x:v>
      </x:c>
      <x:c r="H125" s="62" t="n">
        <x:v>10</x:v>
      </x:c>
      <x:c r="I125" s="74" t="n">
        <x:v>45458</x:v>
      </x:c>
      <x:c r="J125" s="74" t="n">
        <x:v>45458</x:v>
      </x:c>
      <x:c r="K125" s="74" t="n">
        <x:v>45458</x:v>
      </x:c>
      <x:c r="L125" s="74" t="n">
        <x:v>45458</x:v>
      </x:c>
      <x:c r="M125" s="77" t="n">
        <x:v>-20</x:v>
      </x:c>
      <x:c r="N125" s="77"/>
      <x:c r="O125" s="78"/>
      <x:c r="P125" s="79" t="n">
        <x:f>M125</x:f>
        <x:v>-20</x:v>
      </x:c>
      <x:c r="Q125" s="79" t="n">
        <x:f>IF(D125="营业收入",-P125,P125)</x:f>
        <x:v>20</x:v>
      </x:c>
      <x:c r="R125" s="62" t="str">
        <x:v>CNY</x:v>
      </x:c>
      <x:c r="S125" s="62" t="str">
        <x:v>万元</x:v>
      </x:c>
      <x:c r="T125" s="62" t="str">
        <x:v>收益；源负号</x:v>
      </x:c>
      <x:c r="U125" s="62" t="str">
        <x:v>安全运行部</x:v>
      </x:c>
      <x:c r="V125" s="62" t="str">
        <x:v>灾害防护收入确认</x:v>
      </x:c>
      <x:c r="W125" s="62" t="str">
        <x:v>灾害防护收入确认</x:v>
      </x:c>
      <x:c r="X125" s="62" t="str">
        <x:v>17</x:v>
      </x:c>
      <x:c r="Y125" s="62" t="str">
        <x:v>17</x:v>
      </x:c>
      <x:c r="Z125" s="62" t="str">
        <x:v>17</x:v>
      </x:c>
      <x:c r="AA125" s="62" t="str">
        <x:v>灾害防护</x:v>
      </x:c>
      <x:c r="AB125" s="62" t="str">
        <x:v>PRJ-AQ-灾害-2025-002</x:v>
      </x:c>
      <x:c r="AC125" s="74" t="n">
        <x:v>45657</x:v>
      </x:c>
      <x:c r="AD125" s="71" t="str">
        <x:v>源记录保留</x:v>
      </x:c>
      <x:c r="AE125" s="71" t="str">
        <x:v>2024年实际执行.xlsx</x:v>
      </x:c>
      <x:c r="AF125" s="71" t="str">
        <x:v>Sheet</x:v>
      </x:c>
      <x:c r="AG125" s="71" t="n">
        <x:v>125</x:v>
      </x:c>
      <x:c r="AH125" s="71" t="str">
        <x:v>2024年实际执行.xlsx/Sheet!125:125</x:v>
      </x:c>
      <x:c r="AI125" s="62" t="str">
        <x:f>IF(F125=MONTH(L125),"OK","FAIL")</x:f>
        <x:v>OK</x:v>
      </x:c>
      <x:c r="AJ125" s="62" t="str">
        <x:f>IF(J125&lt;=L125,"OK","FAIL")</x:f>
        <x:v>OK</x:v>
      </x:c>
      <x:c r="AK125" s="62" t="str">
        <x:f>IF(D125&lt;&gt;"营业收入","OK",IF(AND(P125&lt;0,Q125&gt;0),"OK","FAIL"))</x:f>
        <x:v>OK</x:v>
      </x:c>
      <x:c r="AL125" s="62" t="str">
        <x:f>IF(COUNTIF($A$2:$A$204,A125)=1,"OK","FAIL")</x:f>
        <x:v>OK</x:v>
      </x:c>
    </x:row>
    <x:row r="126">
      <x:c r="A126" s="62" t="str">
        <x:v>DEMO01|2024|DOC1124|10</x:v>
      </x:c>
      <x:c r="B126" s="62" t="str">
        <x:v>SOURCE</x:v>
      </x:c>
      <x:c r="C126" s="62" t="str">
        <x:v>会议费</x:v>
      </x:c>
      <x:c r="D126" s="62" t="str">
        <x:v>会议费</x:v>
      </x:c>
      <x:c r="E126" s="62" t="n">
        <x:v>6</x:v>
      </x:c>
      <x:c r="F126" s="62" t="n">
        <x:v>6</x:v>
      </x:c>
      <x:c r="G126" s="62" t="str">
        <x:v>DOC1124</x:v>
      </x:c>
      <x:c r="H126" s="62" t="n">
        <x:v>10</x:v>
      </x:c>
      <x:c r="I126" s="74" t="n">
        <x:v>45458</x:v>
      </x:c>
      <x:c r="J126" s="74" t="n">
        <x:v>45458</x:v>
      </x:c>
      <x:c r="K126" s="74" t="n">
        <x:v>45458</x:v>
      </x:c>
      <x:c r="L126" s="74" t="n">
        <x:v>45458</x:v>
      </x:c>
      <x:c r="M126" s="77" t="n">
        <x:v>0.372866666666667</x:v>
      </x:c>
      <x:c r="N126" s="77"/>
      <x:c r="O126" s="78"/>
      <x:c r="P126" s="79" t="n">
        <x:f>M126</x:f>
        <x:v>0.372866666666667</x:v>
      </x:c>
      <x:c r="Q126" s="79" t="n">
        <x:f>IF(D126="营业收入",-P126,P126)</x:f>
        <x:v>0.372866666666667</x:v>
      </x:c>
      <x:c r="R126" s="62" t="str">
        <x:v>CNY</x:v>
      </x:c>
      <x:c r="S126" s="62" t="str">
        <x:v>万元</x:v>
      </x:c>
      <x:c r="T126" s="62" t="str">
        <x:v>费用不含税</x:v>
      </x:c>
      <x:c r="U126" s="62" t="str">
        <x:v>安全运行部</x:v>
      </x:c>
      <x:c r="V126" s="62" t="str">
        <x:v>灾害防护项目阶段评审会</x:v>
      </x:c>
      <x:c r="W126" s="62" t="str">
        <x:v>灾害防护项目阶段评审会</x:v>
      </x:c>
      <x:c r="X126" s="62" t="str">
        <x:v>国电智深</x:v>
      </x:c>
      <x:c r="Y126" s="62" t="str">
        <x:v>国电智深</x:v>
      </x:c>
      <x:c r="Z126" s="62" t="str">
        <x:v>17</x:v>
      </x:c>
      <x:c r="AA126" s="62" t="str">
        <x:v>灾害防护</x:v>
      </x:c>
      <x:c r="AB126" s="62" t="str">
        <x:v>PRJ-AQ-灾害-2025-002</x:v>
      </x:c>
      <x:c r="AC126" s="74" t="n">
        <x:v>45657</x:v>
      </x:c>
      <x:c r="AD126" s="71" t="str">
        <x:v>源记录保留</x:v>
      </x:c>
      <x:c r="AE126" s="71" t="str">
        <x:v>2024年实际执行.xlsx</x:v>
      </x:c>
      <x:c r="AF126" s="71" t="str">
        <x:v>Sheet</x:v>
      </x:c>
      <x:c r="AG126" s="71" t="n">
        <x:v>126</x:v>
      </x:c>
      <x:c r="AH126" s="71" t="str">
        <x:v>2024年实际执行.xlsx/Sheet!126:126</x:v>
      </x:c>
      <x:c r="AI126" s="62" t="str">
        <x:f>IF(F126=MONTH(L126),"OK","FAIL")</x:f>
        <x:v>OK</x:v>
      </x:c>
      <x:c r="AJ126" s="62" t="str">
        <x:f>IF(J126&lt;=L126,"OK","FAIL")</x:f>
        <x:v>OK</x:v>
      </x:c>
      <x:c r="AK126" s="62" t="str">
        <x:f>IF(D126&lt;&gt;"营业收入","OK",IF(AND(P126&lt;0,Q126&gt;0),"OK","FAIL"))</x:f>
        <x:v>OK</x:v>
      </x:c>
      <x:c r="AL126" s="62" t="str">
        <x:f>IF(COUNTIF($A$2:$A$204,A126)=1,"OK","FAIL")</x:f>
        <x:v>OK</x:v>
      </x:c>
    </x:row>
    <x:row r="127">
      <x:c r="A127" s="62" t="str">
        <x:v>DEMO01|2024|DOC1125|10</x:v>
      </x:c>
      <x:c r="B127" s="62" t="str">
        <x:v>SOURCE</x:v>
      </x:c>
      <x:c r="C127" s="62" t="str">
        <x:v>业务支持费</x:v>
      </x:c>
      <x:c r="D127" s="62" t="str">
        <x:v>业务支持费-技术配置</x:v>
      </x:c>
      <x:c r="E127" s="62" t="n">
        <x:v>6</x:v>
      </x:c>
      <x:c r="F127" s="62" t="n">
        <x:v>6</x:v>
      </x:c>
      <x:c r="G127" s="62" t="str">
        <x:v>DOC1125</x:v>
      </x:c>
      <x:c r="H127" s="62" t="n">
        <x:v>10</x:v>
      </x:c>
      <x:c r="I127" s="74" t="n">
        <x:v>45458</x:v>
      </x:c>
      <x:c r="J127" s="74" t="n">
        <x:v>45458</x:v>
      </x:c>
      <x:c r="K127" s="74" t="n">
        <x:v>45458</x:v>
      </x:c>
      <x:c r="L127" s="74" t="n">
        <x:v>45458</x:v>
      </x:c>
      <x:c r="M127" s="77" t="n">
        <x:v>14.9146666666667</x:v>
      </x:c>
      <x:c r="N127" s="77"/>
      <x:c r="O127" s="78"/>
      <x:c r="P127" s="79" t="n">
        <x:f>M127</x:f>
        <x:v>14.9146666666667</x:v>
      </x:c>
      <x:c r="Q127" s="79" t="n">
        <x:f>IF(D127="营业收入",-P127,P127)</x:f>
        <x:v>14.9146666666667</x:v>
      </x:c>
      <x:c r="R127" s="62" t="str">
        <x:v>CNY</x:v>
      </x:c>
      <x:c r="S127" s="62" t="str">
        <x:v>万元</x:v>
      </x:c>
      <x:c r="T127" s="62" t="str">
        <x:v>费用不含税</x:v>
      </x:c>
      <x:c r="U127" s="62" t="str">
        <x:v>安全运行部</x:v>
      </x:c>
      <x:c r="V127" s="62" t="str">
        <x:v>灾害防护技术配置_前期阶段</x:v>
      </x:c>
      <x:c r="W127" s="62" t="str">
        <x:v>灾害防护技术配置_前期阶段</x:v>
      </x:c>
      <x:c r="X127" s="62" t="str">
        <x:v>国电智深</x:v>
      </x:c>
      <x:c r="Y127" s="62" t="str">
        <x:v>国电智深</x:v>
      </x:c>
      <x:c r="Z127" s="62" t="str">
        <x:v>17</x:v>
      </x:c>
      <x:c r="AA127" s="62" t="str">
        <x:v>灾害防护</x:v>
      </x:c>
      <x:c r="AB127" s="62" t="str">
        <x:v>PRJ-AQ-灾害-2025-002</x:v>
      </x:c>
      <x:c r="AC127" s="74" t="n">
        <x:v>45657</x:v>
      </x:c>
      <x:c r="AD127" s="71" t="str">
        <x:v>源记录保留</x:v>
      </x:c>
      <x:c r="AE127" s="71" t="str">
        <x:v>2024年实际执行.xlsx</x:v>
      </x:c>
      <x:c r="AF127" s="71" t="str">
        <x:v>Sheet</x:v>
      </x:c>
      <x:c r="AG127" s="71" t="n">
        <x:v>127</x:v>
      </x:c>
      <x:c r="AH127" s="71" t="str">
        <x:v>2024年实际执行.xlsx/Sheet!127:127</x:v>
      </x:c>
      <x:c r="AI127" s="62" t="str">
        <x:f>IF(F127=MONTH(L127),"OK","FAIL")</x:f>
        <x:v>OK</x:v>
      </x:c>
      <x:c r="AJ127" s="62" t="str">
        <x:f>IF(J127&lt;=L127,"OK","FAIL")</x:f>
        <x:v>OK</x:v>
      </x:c>
      <x:c r="AK127" s="62" t="str">
        <x:f>IF(D127&lt;&gt;"营业收入","OK",IF(AND(P127&lt;0,Q127&gt;0),"OK","FAIL"))</x:f>
        <x:v>OK</x:v>
      </x:c>
      <x:c r="AL127" s="62" t="str">
        <x:f>IF(COUNTIF($A$2:$A$204,A127)=1,"OK","FAIL")</x:f>
        <x:v>OK</x:v>
      </x:c>
    </x:row>
    <x:row r="128">
      <x:c r="A128" s="62" t="str">
        <x:v>DEMO01|2024|DOC1126|10</x:v>
      </x:c>
      <x:c r="B128" s="62" t="str">
        <x:v>SOURCE</x:v>
      </x:c>
      <x:c r="C128" s="62" t="str">
        <x:v>生产物料费</x:v>
      </x:c>
      <x:c r="D128" s="62" t="str">
        <x:v>生产物料费</x:v>
      </x:c>
      <x:c r="E128" s="62" t="n">
        <x:v>4</x:v>
      </x:c>
      <x:c r="F128" s="62" t="n">
        <x:v>4</x:v>
      </x:c>
      <x:c r="G128" s="62" t="str">
        <x:v>DOC1126</x:v>
      </x:c>
      <x:c r="H128" s="62" t="n">
        <x:v>10</x:v>
      </x:c>
      <x:c r="I128" s="74" t="n">
        <x:v>45397</x:v>
      </x:c>
      <x:c r="J128" s="74" t="n">
        <x:v>45397</x:v>
      </x:c>
      <x:c r="K128" s="74" t="n">
        <x:v>45397</x:v>
      </x:c>
      <x:c r="L128" s="74" t="n">
        <x:v>45397</x:v>
      </x:c>
      <x:c r="M128" s="77" t="n">
        <x:v>5.593</x:v>
      </x:c>
      <x:c r="N128" s="77"/>
      <x:c r="O128" s="78"/>
      <x:c r="P128" s="79" t="n">
        <x:f>M128</x:f>
        <x:v>5.593</x:v>
      </x:c>
      <x:c r="Q128" s="79" t="n">
        <x:f>IF(D128="营业收入",-P128,P128)</x:f>
        <x:v>5.593</x:v>
      </x:c>
      <x:c r="R128" s="62" t="str">
        <x:v>CNY</x:v>
      </x:c>
      <x:c r="S128" s="62" t="str">
        <x:v>万元</x:v>
      </x:c>
      <x:c r="T128" s="62" t="str">
        <x:v>费用不含税</x:v>
      </x:c>
      <x:c r="U128" s="62" t="str">
        <x:v>安全运行部</x:v>
      </x:c>
      <x:c r="V128" s="62" t="str">
        <x:v>灾害防护现场物料采购</x:v>
      </x:c>
      <x:c r="W128" s="62" t="str">
        <x:v>灾害防护现场物料采购</x:v>
      </x:c>
      <x:c r="X128" s="62" t="str">
        <x:v>国电智深</x:v>
      </x:c>
      <x:c r="Y128" s="62" t="str">
        <x:v>国电智深</x:v>
      </x:c>
      <x:c r="Z128" s="62" t="str">
        <x:v>17</x:v>
      </x:c>
      <x:c r="AA128" s="62" t="str">
        <x:v>灾害防护</x:v>
      </x:c>
      <x:c r="AB128" s="62" t="str">
        <x:v>PRJ-AQ-灾害-2025-002</x:v>
      </x:c>
      <x:c r="AC128" s="74" t="n">
        <x:v>45657</x:v>
      </x:c>
      <x:c r="AD128" s="71" t="str">
        <x:v>源记录保留</x:v>
      </x:c>
      <x:c r="AE128" s="71" t="str">
        <x:v>2024年实际执行.xlsx</x:v>
      </x:c>
      <x:c r="AF128" s="71" t="str">
        <x:v>Sheet</x:v>
      </x:c>
      <x:c r="AG128" s="71" t="n">
        <x:v>128</x:v>
      </x:c>
      <x:c r="AH128" s="71" t="str">
        <x:v>2024年实际执行.xlsx/Sheet!128:128</x:v>
      </x:c>
      <x:c r="AI128" s="62" t="str">
        <x:f>IF(F128=MONTH(L128),"OK","FAIL")</x:f>
        <x:v>OK</x:v>
      </x:c>
      <x:c r="AJ128" s="62" t="str">
        <x:f>IF(J128&lt;=L128,"OK","FAIL")</x:f>
        <x:v>OK</x:v>
      </x:c>
      <x:c r="AK128" s="62" t="str">
        <x:f>IF(D128&lt;&gt;"营业收入","OK",IF(AND(P128&lt;0,Q128&gt;0),"OK","FAIL"))</x:f>
        <x:v>OK</x:v>
      </x:c>
      <x:c r="AL128" s="62" t="str">
        <x:f>IF(COUNTIF($A$2:$A$204,A128)=1,"OK","FAIL")</x:f>
        <x:v>OK</x:v>
      </x:c>
    </x:row>
    <x:row r="129">
      <x:c r="A129" s="62" t="str">
        <x:v>DEMO01|2024|DOC1127|10</x:v>
      </x:c>
      <x:c r="B129" s="62" t="str">
        <x:v>SOURCE</x:v>
      </x:c>
      <x:c r="C129" s="62" t="str">
        <x:v>办公费</x:v>
      </x:c>
      <x:c r="D129" s="62" t="str">
        <x:v>办公费</x:v>
      </x:c>
      <x:c r="E129" s="62" t="n">
        <x:v>11</x:v>
      </x:c>
      <x:c r="F129" s="62" t="n">
        <x:v>11</x:v>
      </x:c>
      <x:c r="G129" s="62" t="str">
        <x:v>DOC1127</x:v>
      </x:c>
      <x:c r="H129" s="62" t="n">
        <x:v>10</x:v>
      </x:c>
      <x:c r="I129" s="74" t="n">
        <x:v>45611</x:v>
      </x:c>
      <x:c r="J129" s="74" t="n">
        <x:v>45611</x:v>
      </x:c>
      <x:c r="K129" s="74" t="n">
        <x:v>45611</x:v>
      </x:c>
      <x:c r="L129" s="74" t="n">
        <x:v>45611</x:v>
      </x:c>
      <x:c r="M129" s="77" t="n">
        <x:v>1.1186</x:v>
      </x:c>
      <x:c r="N129" s="77"/>
      <x:c r="O129" s="78"/>
      <x:c r="P129" s="79" t="n">
        <x:f>M129</x:f>
        <x:v>1.1186</x:v>
      </x:c>
      <x:c r="Q129" s="79" t="n">
        <x:f>IF(D129="营业收入",-P129,P129)</x:f>
        <x:v>1.1186</x:v>
      </x:c>
      <x:c r="R129" s="62" t="str">
        <x:v>CNY</x:v>
      </x:c>
      <x:c r="S129" s="62" t="str">
        <x:v>万元</x:v>
      </x:c>
      <x:c r="T129" s="62" t="str">
        <x:v>费用不含税</x:v>
      </x:c>
      <x:c r="U129" s="62" t="str">
        <x:v>安全运行部</x:v>
      </x:c>
      <x:c r="V129" s="62" t="str">
        <x:v>灾害防护日常办公</x:v>
      </x:c>
      <x:c r="W129" s="62" t="str">
        <x:v>灾害防护日常办公</x:v>
      </x:c>
      <x:c r="X129" s="62" t="str">
        <x:v>国电智深</x:v>
      </x:c>
      <x:c r="Y129" s="62" t="str">
        <x:v>国电智深</x:v>
      </x:c>
      <x:c r="Z129" s="62" t="str">
        <x:v>17</x:v>
      </x:c>
      <x:c r="AA129" s="62" t="str">
        <x:v>灾害防护</x:v>
      </x:c>
      <x:c r="AB129" s="62" t="str">
        <x:v>PRJ-AQ-灾害-2025-002</x:v>
      </x:c>
      <x:c r="AC129" s="74" t="n">
        <x:v>45657</x:v>
      </x:c>
      <x:c r="AD129" s="71" t="str">
        <x:v>源记录保留</x:v>
      </x:c>
      <x:c r="AE129" s="71" t="str">
        <x:v>2024年实际执行.xlsx</x:v>
      </x:c>
      <x:c r="AF129" s="71" t="str">
        <x:v>Sheet</x:v>
      </x:c>
      <x:c r="AG129" s="71" t="n">
        <x:v>129</x:v>
      </x:c>
      <x:c r="AH129" s="71" t="str">
        <x:v>2024年实际执行.xlsx/Sheet!129:129</x:v>
      </x:c>
      <x:c r="AI129" s="62" t="str">
        <x:f>IF(F129=MONTH(L129),"OK","FAIL")</x:f>
        <x:v>OK</x:v>
      </x:c>
      <x:c r="AJ129" s="62" t="str">
        <x:f>IF(J129&lt;=L129,"OK","FAIL")</x:f>
        <x:v>OK</x:v>
      </x:c>
      <x:c r="AK129" s="62" t="str">
        <x:f>IF(D129&lt;&gt;"营业收入","OK",IF(AND(P129&lt;0,Q129&gt;0),"OK","FAIL"))</x:f>
        <x:v>OK</x:v>
      </x:c>
      <x:c r="AL129" s="62" t="str">
        <x:f>IF(COUNTIF($A$2:$A$204,A129)=1,"OK","FAIL")</x:f>
        <x:v>OK</x:v>
      </x:c>
    </x:row>
    <x:row r="130">
      <x:c r="A130" s="62" t="str">
        <x:v>DEMO01|2024|DOC1128|10</x:v>
      </x:c>
      <x:c r="B130" s="62" t="str">
        <x:v>SOURCE</x:v>
      </x:c>
      <x:c r="C130" s="62" t="str">
        <x:v>人工成本</x:v>
      </x:c>
      <x:c r="D130" s="62" t="str">
        <x:v>人工成本</x:v>
      </x:c>
      <x:c r="E130" s="62" t="n">
        <x:v>6</x:v>
      </x:c>
      <x:c r="F130" s="62" t="n">
        <x:v>6</x:v>
      </x:c>
      <x:c r="G130" s="62" t="str">
        <x:v>DOC1128</x:v>
      </x:c>
      <x:c r="H130" s="62" t="n">
        <x:v>10</x:v>
      </x:c>
      <x:c r="I130" s="74" t="n">
        <x:v>45473</x:v>
      </x:c>
      <x:c r="J130" s="74" t="n">
        <x:v>45473</x:v>
      </x:c>
      <x:c r="K130" s="74" t="n">
        <x:v>45473</x:v>
      </x:c>
      <x:c r="L130" s="74" t="n">
        <x:v>45473</x:v>
      </x:c>
      <x:c r="M130" s="77" t="n">
        <x:v>6.8</x:v>
      </x:c>
      <x:c r="N130" s="77"/>
      <x:c r="O130" s="78"/>
      <x:c r="P130" s="79" t="n">
        <x:f>M130</x:f>
        <x:v>6.8</x:v>
      </x:c>
      <x:c r="Q130" s="79" t="n">
        <x:f>IF(D130="营业收入",-P130,P130)</x:f>
        <x:v>6.8</x:v>
      </x:c>
      <x:c r="R130" s="62" t="str">
        <x:v>CNY</x:v>
      </x:c>
      <x:c r="S130" s="62" t="str">
        <x:v>万元</x:v>
      </x:c>
      <x:c r="T130" s="62" t="str">
        <x:v>费用不含税</x:v>
      </x:c>
      <x:c r="U130" s="62" t="str">
        <x:v>安全运行部</x:v>
      </x:c>
      <x:c r="V130" s="62" t="str">
        <x:v>灾害防护人工成本分摊</x:v>
      </x:c>
      <x:c r="W130" s="62" t="str">
        <x:v>灾害防护人工成本分摊</x:v>
      </x:c>
      <x:c r="X130" s="62" t="str">
        <x:v>17</x:v>
      </x:c>
      <x:c r="Y130" s="62" t="str">
        <x:v>17</x:v>
      </x:c>
      <x:c r="Z130" s="62" t="str">
        <x:v>17</x:v>
      </x:c>
      <x:c r="AA130" s="62" t="str">
        <x:v>灾害防护</x:v>
      </x:c>
      <x:c r="AB130" s="62" t="str">
        <x:v>PRJ-AQ-灾害-2025-002</x:v>
      </x:c>
      <x:c r="AC130" s="74" t="n">
        <x:v>45657</x:v>
      </x:c>
      <x:c r="AD130" s="71" t="str">
        <x:v>源记录保留</x:v>
      </x:c>
      <x:c r="AE130" s="71" t="str">
        <x:v>2024年实际执行.xlsx</x:v>
      </x:c>
      <x:c r="AF130" s="71" t="str">
        <x:v>Sheet</x:v>
      </x:c>
      <x:c r="AG130" s="71" t="n">
        <x:v>130</x:v>
      </x:c>
      <x:c r="AH130" s="71" t="str">
        <x:v>2024年实际执行.xlsx/Sheet!130:130</x:v>
      </x:c>
      <x:c r="AI130" s="62" t="str">
        <x:f>IF(F130=MONTH(L130),"OK","FAIL")</x:f>
        <x:v>OK</x:v>
      </x:c>
      <x:c r="AJ130" s="62" t="str">
        <x:f>IF(J130&lt;=L130,"OK","FAIL")</x:f>
        <x:v>OK</x:v>
      </x:c>
      <x:c r="AK130" s="62" t="str">
        <x:f>IF(D130&lt;&gt;"营业收入","OK",IF(AND(P130&lt;0,Q130&gt;0),"OK","FAIL"))</x:f>
        <x:v>OK</x:v>
      </x:c>
      <x:c r="AL130" s="62" t="str">
        <x:f>IF(COUNTIF($A$2:$A$204,A130)=1,"OK","FAIL")</x:f>
        <x:v>OK</x:v>
      </x:c>
    </x:row>
    <x:row r="131">
      <x:c r="A131" s="62" t="str">
        <x:v>DEMO01|2024|DOC1129|10</x:v>
      </x:c>
      <x:c r="B131" s="62" t="str">
        <x:v>SOURCE</x:v>
      </x:c>
      <x:c r="C131" s="62" t="str">
        <x:v>折旧摊销</x:v>
      </x:c>
      <x:c r="D131" s="62" t="str">
        <x:v>折旧摊销</x:v>
      </x:c>
      <x:c r="E131" s="62" t="n">
        <x:v>12</x:v>
      </x:c>
      <x:c r="F131" s="62" t="n">
        <x:v>12</x:v>
      </x:c>
      <x:c r="G131" s="62" t="str">
        <x:v>DOC1129</x:v>
      </x:c>
      <x:c r="H131" s="62" t="n">
        <x:v>10</x:v>
      </x:c>
      <x:c r="I131" s="74" t="n">
        <x:v>45657</x:v>
      </x:c>
      <x:c r="J131" s="74" t="n">
        <x:v>45657</x:v>
      </x:c>
      <x:c r="K131" s="74" t="n">
        <x:v>45657</x:v>
      </x:c>
      <x:c r="L131" s="74" t="n">
        <x:v>45657</x:v>
      </x:c>
      <x:c r="M131" s="77" t="n">
        <x:v>2</x:v>
      </x:c>
      <x:c r="N131" s="77"/>
      <x:c r="O131" s="78"/>
      <x:c r="P131" s="79" t="n">
        <x:f>M131</x:f>
        <x:v>2</x:v>
      </x:c>
      <x:c r="Q131" s="79" t="n">
        <x:f>IF(D131="营业收入",-P131,P131)</x:f>
        <x:v>2</x:v>
      </x:c>
      <x:c r="R131" s="62" t="str">
        <x:v>CNY</x:v>
      </x:c>
      <x:c r="S131" s="62" t="str">
        <x:v>万元</x:v>
      </x:c>
      <x:c r="T131" s="62" t="str">
        <x:v>费用不含税</x:v>
      </x:c>
      <x:c r="U131" s="62" t="str">
        <x:v>安全运行部</x:v>
      </x:c>
      <x:c r="V131" s="62" t="str">
        <x:v>灾害防护折旧摊销分摊</x:v>
      </x:c>
      <x:c r="W131" s="62" t="str">
        <x:v>灾害防护折旧摊销分摊</x:v>
      </x:c>
      <x:c r="X131" s="62" t="str">
        <x:v>17</x:v>
      </x:c>
      <x:c r="Y131" s="62" t="str">
        <x:v>17</x:v>
      </x:c>
      <x:c r="Z131" s="62" t="str">
        <x:v>17</x:v>
      </x:c>
      <x:c r="AA131" s="62" t="str">
        <x:v>灾害防护</x:v>
      </x:c>
      <x:c r="AB131" s="62" t="str">
        <x:v>PRJ-AQ-灾害-2025-002</x:v>
      </x:c>
      <x:c r="AC131" s="74" t="n">
        <x:v>45657</x:v>
      </x:c>
      <x:c r="AD131" s="71" t="str">
        <x:v>源记录保留</x:v>
      </x:c>
      <x:c r="AE131" s="71" t="str">
        <x:v>2024年实际执行.xlsx</x:v>
      </x:c>
      <x:c r="AF131" s="71" t="str">
        <x:v>Sheet</x:v>
      </x:c>
      <x:c r="AG131" s="71" t="n">
        <x:v>131</x:v>
      </x:c>
      <x:c r="AH131" s="71" t="str">
        <x:v>2024年实际执行.xlsx/Sheet!131:131</x:v>
      </x:c>
      <x:c r="AI131" s="62" t="str">
        <x:f>IF(F131=MONTH(L131),"OK","FAIL")</x:f>
        <x:v>OK</x:v>
      </x:c>
      <x:c r="AJ131" s="62" t="str">
        <x:f>IF(J131&lt;=L131,"OK","FAIL")</x:f>
        <x:v>OK</x:v>
      </x:c>
      <x:c r="AK131" s="62" t="str">
        <x:f>IF(D131&lt;&gt;"营业收入","OK",IF(AND(P131&lt;0,Q131&gt;0),"OK","FAIL"))</x:f>
        <x:v>OK</x:v>
      </x:c>
      <x:c r="AL131" s="62" t="str">
        <x:f>IF(COUNTIF($A$2:$A$204,A131)=1,"OK","FAIL")</x:f>
        <x:v>OK</x:v>
      </x:c>
    </x:row>
    <x:row r="132">
      <x:c r="A132" s="62" t="str">
        <x:v>DEMO01|2024|DOC1130|10</x:v>
      </x:c>
      <x:c r="B132" s="62" t="str">
        <x:v>SOURCE</x:v>
      </x:c>
      <x:c r="C132" s="62" t="str">
        <x:v>业务支持费</x:v>
      </x:c>
      <x:c r="D132" s="62" t="str">
        <x:v>业务支持费-其他</x:v>
      </x:c>
      <x:c r="E132" s="62" t="n">
        <x:v>12</x:v>
      </x:c>
      <x:c r="F132" s="62" t="n">
        <x:v>12</x:v>
      </x:c>
      <x:c r="G132" s="62" t="str">
        <x:v>DOC1130</x:v>
      </x:c>
      <x:c r="H132" s="62" t="n">
        <x:v>10</x:v>
      </x:c>
      <x:c r="I132" s="74" t="n">
        <x:v>45657</x:v>
      </x:c>
      <x:c r="J132" s="74" t="n">
        <x:v>45657</x:v>
      </x:c>
      <x:c r="K132" s="74" t="n">
        <x:v>45657</x:v>
      </x:c>
      <x:c r="L132" s="74" t="n">
        <x:v>45657</x:v>
      </x:c>
      <x:c r="M132" s="77" t="n">
        <x:v>5.593</x:v>
      </x:c>
      <x:c r="N132" s="77"/>
      <x:c r="O132" s="78"/>
      <x:c r="P132" s="79" t="n">
        <x:f>M132</x:f>
        <x:v>5.593</x:v>
      </x:c>
      <x:c r="Q132" s="79" t="n">
        <x:f>IF(D132="营业收入",-P132,P132)</x:f>
        <x:v>5.593</x:v>
      </x:c>
      <x:c r="R132" s="62" t="str">
        <x:v>CNY</x:v>
      </x:c>
      <x:c r="S132" s="62" t="str">
        <x:v>万元</x:v>
      </x:c>
      <x:c r="T132" s="62" t="str">
        <x:v>费用不含税</x:v>
      </x:c>
      <x:c r="U132" s="62" t="str">
        <x:v>安全运行部</x:v>
      </x:c>
      <x:c r="V132" s="62" t="str">
        <x:v>计提灾害防护_2024年末预提</x:v>
      </x:c>
      <x:c r="W132" s="62" t="str">
        <x:v>计提灾害防护_2024年末预提</x:v>
      </x:c>
      <x:c r="X132" s="62" t="str">
        <x:v>国电智深</x:v>
      </x:c>
      <x:c r="Y132" s="62" t="str">
        <x:v>国电智深</x:v>
      </x:c>
      <x:c r="Z132" s="62" t="str">
        <x:v>17</x:v>
      </x:c>
      <x:c r="AA132" s="62" t="str">
        <x:v>灾害防护</x:v>
      </x:c>
      <x:c r="AB132" s="62" t="str">
        <x:v>PRJ-AQ-灾害-2025-002</x:v>
      </x:c>
      <x:c r="AC132" s="74" t="n">
        <x:v>45657</x:v>
      </x:c>
      <x:c r="AD132" s="71" t="str">
        <x:v>源记录保留</x:v>
      </x:c>
      <x:c r="AE132" s="71" t="str">
        <x:v>2024年实际执行.xlsx</x:v>
      </x:c>
      <x:c r="AF132" s="71" t="str">
        <x:v>Sheet</x:v>
      </x:c>
      <x:c r="AG132" s="71" t="n">
        <x:v>132</x:v>
      </x:c>
      <x:c r="AH132" s="71" t="str">
        <x:v>2024年实际执行.xlsx/Sheet!132:132</x:v>
      </x:c>
      <x:c r="AI132" s="62" t="str">
        <x:f>IF(F132=MONTH(L132),"OK","FAIL")</x:f>
        <x:v>OK</x:v>
      </x:c>
      <x:c r="AJ132" s="62" t="str">
        <x:f>IF(J132&lt;=L132,"OK","FAIL")</x:f>
        <x:v>OK</x:v>
      </x:c>
      <x:c r="AK132" s="62" t="str">
        <x:f>IF(D132&lt;&gt;"营业收入","OK",IF(AND(P132&lt;0,Q132&gt;0),"OK","FAIL"))</x:f>
        <x:v>OK</x:v>
      </x:c>
      <x:c r="AL132" s="62" t="str">
        <x:f>IF(COUNTIF($A$2:$A$204,A132)=1,"OK","FAIL")</x:f>
        <x:v>OK</x:v>
      </x:c>
    </x:row>
    <x:row r="133">
      <x:c r="A133" s="62" t="str">
        <x:v>DEMO01|2024|DOC1131|10</x:v>
      </x:c>
      <x:c r="B133" s="62" t="str">
        <x:v>SOURCE</x:v>
      </x:c>
      <x:c r="C133" s="62" t="str">
        <x:v>营业收入</x:v>
      </x:c>
      <x:c r="D133" s="62" t="str">
        <x:v>营业收入</x:v>
      </x:c>
      <x:c r="E133" s="62" t="n">
        <x:v>6</x:v>
      </x:c>
      <x:c r="F133" s="62" t="n">
        <x:v>6</x:v>
      </x:c>
      <x:c r="G133" s="62" t="str">
        <x:v>DOC1131</x:v>
      </x:c>
      <x:c r="H133" s="62" t="n">
        <x:v>10</x:v>
      </x:c>
      <x:c r="I133" s="74" t="n">
        <x:v>45458</x:v>
      </x:c>
      <x:c r="J133" s="74" t="n">
        <x:v>45458</x:v>
      </x:c>
      <x:c r="K133" s="74" t="n">
        <x:v>45458</x:v>
      </x:c>
      <x:c r="L133" s="74" t="n">
        <x:v>45458</x:v>
      </x:c>
      <x:c r="M133" s="77" t="n">
        <x:v>-20</x:v>
      </x:c>
      <x:c r="N133" s="77"/>
      <x:c r="O133" s="78"/>
      <x:c r="P133" s="79" t="n">
        <x:f>M133</x:f>
        <x:v>-20</x:v>
      </x:c>
      <x:c r="Q133" s="79" t="n">
        <x:f>IF(D133="营业收入",-P133,P133)</x:f>
        <x:v>20</x:v>
      </x:c>
      <x:c r="R133" s="62" t="str">
        <x:v>CNY</x:v>
      </x:c>
      <x:c r="S133" s="62" t="str">
        <x:v>万元</x:v>
      </x:c>
      <x:c r="T133" s="62" t="str">
        <x:v>收益；源负号</x:v>
      </x:c>
      <x:c r="U133" s="62" t="str">
        <x:v>安全运行部</x:v>
      </x:c>
      <x:c r="V133" s="62" t="str">
        <x:v>灾害防护收入确认</x:v>
      </x:c>
      <x:c r="W133" s="62" t="str">
        <x:v>灾害防护收入确认</x:v>
      </x:c>
      <x:c r="X133" s="62" t="str">
        <x:v>17</x:v>
      </x:c>
      <x:c r="Y133" s="62" t="str">
        <x:v>17</x:v>
      </x:c>
      <x:c r="Z133" s="62" t="str">
        <x:v>17</x:v>
      </x:c>
      <x:c r="AA133" s="62" t="str">
        <x:v>灾害防护</x:v>
      </x:c>
      <x:c r="AB133" s="62" t="str">
        <x:v>PRJ-AQ-灾害-2025-003</x:v>
      </x:c>
      <x:c r="AC133" s="74" t="n">
        <x:v>45657</x:v>
      </x:c>
      <x:c r="AD133" s="71" t="str">
        <x:v>源记录保留</x:v>
      </x:c>
      <x:c r="AE133" s="71" t="str">
        <x:v>2024年实际执行.xlsx</x:v>
      </x:c>
      <x:c r="AF133" s="71" t="str">
        <x:v>Sheet</x:v>
      </x:c>
      <x:c r="AG133" s="71" t="n">
        <x:v>133</x:v>
      </x:c>
      <x:c r="AH133" s="71" t="str">
        <x:v>2024年实际执行.xlsx/Sheet!133:133</x:v>
      </x:c>
      <x:c r="AI133" s="62" t="str">
        <x:f>IF(F133=MONTH(L133),"OK","FAIL")</x:f>
        <x:v>OK</x:v>
      </x:c>
      <x:c r="AJ133" s="62" t="str">
        <x:f>IF(J133&lt;=L133,"OK","FAIL")</x:f>
        <x:v>OK</x:v>
      </x:c>
      <x:c r="AK133" s="62" t="str">
        <x:f>IF(D133&lt;&gt;"营业收入","OK",IF(AND(P133&lt;0,Q133&gt;0),"OK","FAIL"))</x:f>
        <x:v>OK</x:v>
      </x:c>
      <x:c r="AL133" s="62" t="str">
        <x:f>IF(COUNTIF($A$2:$A$204,A133)=1,"OK","FAIL")</x:f>
        <x:v>OK</x:v>
      </x:c>
    </x:row>
    <x:row r="134">
      <x:c r="A134" s="62" t="str">
        <x:v>DEMO01|2024|DOC1132|10</x:v>
      </x:c>
      <x:c r="B134" s="62" t="str">
        <x:v>SOURCE</x:v>
      </x:c>
      <x:c r="C134" s="62" t="str">
        <x:v>会议费</x:v>
      </x:c>
      <x:c r="D134" s="62" t="str">
        <x:v>会议费</x:v>
      </x:c>
      <x:c r="E134" s="62" t="n">
        <x:v>12</x:v>
      </x:c>
      <x:c r="F134" s="62" t="n">
        <x:v>12</x:v>
      </x:c>
      <x:c r="G134" s="62" t="str">
        <x:v>DOC1132</x:v>
      </x:c>
      <x:c r="H134" s="62" t="n">
        <x:v>10</x:v>
      </x:c>
      <x:c r="I134" s="74" t="n">
        <x:v>45641</x:v>
      </x:c>
      <x:c r="J134" s="74" t="n">
        <x:v>45641</x:v>
      </x:c>
      <x:c r="K134" s="74" t="n">
        <x:v>45641</x:v>
      </x:c>
      <x:c r="L134" s="74" t="n">
        <x:v>45641</x:v>
      </x:c>
      <x:c r="M134" s="77" t="n">
        <x:v>0.439366666666667</x:v>
      </x:c>
      <x:c r="N134" s="77"/>
      <x:c r="O134" s="78"/>
      <x:c r="P134" s="79" t="n">
        <x:f>M134</x:f>
        <x:v>0.439366666666667</x:v>
      </x:c>
      <x:c r="Q134" s="79" t="n">
        <x:f>IF(D134="营业收入",-P134,P134)</x:f>
        <x:v>0.439366666666667</x:v>
      </x:c>
      <x:c r="R134" s="62" t="str">
        <x:v>CNY</x:v>
      </x:c>
      <x:c r="S134" s="62" t="str">
        <x:v>万元</x:v>
      </x:c>
      <x:c r="T134" s="62" t="str">
        <x:v>费用不含税</x:v>
      </x:c>
      <x:c r="U134" s="62" t="str">
        <x:v>安全运行部</x:v>
      </x:c>
      <x:c r="V134" s="62" t="str">
        <x:v>灾害防护项目阶段评审会</x:v>
      </x:c>
      <x:c r="W134" s="62" t="str">
        <x:v>灾害防护项目阶段评审会</x:v>
      </x:c>
      <x:c r="X134" s="62" t="str">
        <x:v>国电智深</x:v>
      </x:c>
      <x:c r="Y134" s="62" t="str">
        <x:v>国电智深</x:v>
      </x:c>
      <x:c r="Z134" s="62" t="str">
        <x:v>17</x:v>
      </x:c>
      <x:c r="AA134" s="62" t="str">
        <x:v>灾害防护</x:v>
      </x:c>
      <x:c r="AB134" s="62" t="str">
        <x:v>PRJ-AQ-灾害-2025-003</x:v>
      </x:c>
      <x:c r="AC134" s="74" t="n">
        <x:v>45657</x:v>
      </x:c>
      <x:c r="AD134" s="71" t="str">
        <x:v>源记录保留</x:v>
      </x:c>
      <x:c r="AE134" s="71" t="str">
        <x:v>2024年实际执行.xlsx</x:v>
      </x:c>
      <x:c r="AF134" s="71" t="str">
        <x:v>Sheet</x:v>
      </x:c>
      <x:c r="AG134" s="71" t="n">
        <x:v>134</x:v>
      </x:c>
      <x:c r="AH134" s="71" t="str">
        <x:v>2024年实际执行.xlsx/Sheet!134:134</x:v>
      </x:c>
      <x:c r="AI134" s="62" t="str">
        <x:f>IF(F134=MONTH(L134),"OK","FAIL")</x:f>
        <x:v>OK</x:v>
      </x:c>
      <x:c r="AJ134" s="62" t="str">
        <x:f>IF(J134&lt;=L134,"OK","FAIL")</x:f>
        <x:v>OK</x:v>
      </x:c>
      <x:c r="AK134" s="62" t="str">
        <x:f>IF(D134&lt;&gt;"营业收入","OK",IF(AND(P134&lt;0,Q134&gt;0),"OK","FAIL"))</x:f>
        <x:v>OK</x:v>
      </x:c>
      <x:c r="AL134" s="62" t="str">
        <x:f>IF(COUNTIF($A$2:$A$204,A134)=1,"OK","FAIL")</x:f>
        <x:v>OK</x:v>
      </x:c>
    </x:row>
    <x:row r="135">
      <x:c r="A135" s="62" t="str">
        <x:v>DEMO01|2024|DOC1133|10</x:v>
      </x:c>
      <x:c r="B135" s="62" t="str">
        <x:v>SOURCE</x:v>
      </x:c>
      <x:c r="C135" s="62" t="str">
        <x:v>业务支持费</x:v>
      </x:c>
      <x:c r="D135" s="62" t="str">
        <x:v>业务支持费-技术配置</x:v>
      </x:c>
      <x:c r="E135" s="62" t="n">
        <x:v>11</x:v>
      </x:c>
      <x:c r="F135" s="62" t="n">
        <x:v>11</x:v>
      </x:c>
      <x:c r="G135" s="62" t="str">
        <x:v>DOC1133</x:v>
      </x:c>
      <x:c r="H135" s="62" t="n">
        <x:v>10</x:v>
      </x:c>
      <x:c r="I135" s="74" t="n">
        <x:v>45611</x:v>
      </x:c>
      <x:c r="J135" s="74" t="n">
        <x:v>45611</x:v>
      </x:c>
      <x:c r="K135" s="74" t="n">
        <x:v>45611</x:v>
      </x:c>
      <x:c r="L135" s="74" t="n">
        <x:v>45611</x:v>
      </x:c>
      <x:c r="M135" s="77" t="n">
        <x:v>17.5746666666667</x:v>
      </x:c>
      <x:c r="N135" s="77"/>
      <x:c r="O135" s="78"/>
      <x:c r="P135" s="79" t="n">
        <x:f>M135</x:f>
        <x:v>17.5746666666667</x:v>
      </x:c>
      <x:c r="Q135" s="79" t="n">
        <x:f>IF(D135="营业收入",-P135,P135)</x:f>
        <x:v>17.5746666666667</x:v>
      </x:c>
      <x:c r="R135" s="62" t="str">
        <x:v>CNY</x:v>
      </x:c>
      <x:c r="S135" s="62" t="str">
        <x:v>万元</x:v>
      </x:c>
      <x:c r="T135" s="62" t="str">
        <x:v>费用不含税</x:v>
      </x:c>
      <x:c r="U135" s="62" t="str">
        <x:v>安全运行部</x:v>
      </x:c>
      <x:c r="V135" s="62" t="str">
        <x:v>灾害防护技术配置_前期阶段</x:v>
      </x:c>
      <x:c r="W135" s="62" t="str">
        <x:v>灾害防护技术配置_前期阶段</x:v>
      </x:c>
      <x:c r="X135" s="62" t="str">
        <x:v>国电智深</x:v>
      </x:c>
      <x:c r="Y135" s="62" t="str">
        <x:v>国电智深</x:v>
      </x:c>
      <x:c r="Z135" s="62" t="str">
        <x:v>17</x:v>
      </x:c>
      <x:c r="AA135" s="62" t="str">
        <x:v>灾害防护</x:v>
      </x:c>
      <x:c r="AB135" s="62" t="str">
        <x:v>PRJ-AQ-灾害-2025-003</x:v>
      </x:c>
      <x:c r="AC135" s="74" t="n">
        <x:v>45657</x:v>
      </x:c>
      <x:c r="AD135" s="71" t="str">
        <x:v>源记录保留</x:v>
      </x:c>
      <x:c r="AE135" s="71" t="str">
        <x:v>2024年实际执行.xlsx</x:v>
      </x:c>
      <x:c r="AF135" s="71" t="str">
        <x:v>Sheet</x:v>
      </x:c>
      <x:c r="AG135" s="71" t="n">
        <x:v>135</x:v>
      </x:c>
      <x:c r="AH135" s="71" t="str">
        <x:v>2024年实际执行.xlsx/Sheet!135:135</x:v>
      </x:c>
      <x:c r="AI135" s="62" t="str">
        <x:f>IF(F135=MONTH(L135),"OK","FAIL")</x:f>
        <x:v>OK</x:v>
      </x:c>
      <x:c r="AJ135" s="62" t="str">
        <x:f>IF(J135&lt;=L135,"OK","FAIL")</x:f>
        <x:v>OK</x:v>
      </x:c>
      <x:c r="AK135" s="62" t="str">
        <x:f>IF(D135&lt;&gt;"营业收入","OK",IF(AND(P135&lt;0,Q135&gt;0),"OK","FAIL"))</x:f>
        <x:v>OK</x:v>
      </x:c>
      <x:c r="AL135" s="62" t="str">
        <x:f>IF(COUNTIF($A$2:$A$204,A135)=1,"OK","FAIL")</x:f>
        <x:v>OK</x:v>
      </x:c>
    </x:row>
    <x:row r="136">
      <x:c r="A136" s="62" t="str">
        <x:v>DEMO01|2024|DOC1134|10</x:v>
      </x:c>
      <x:c r="B136" s="62" t="str">
        <x:v>SOURCE</x:v>
      </x:c>
      <x:c r="C136" s="62" t="str">
        <x:v>生产物料费</x:v>
      </x:c>
      <x:c r="D136" s="62" t="str">
        <x:v>生产物料费</x:v>
      </x:c>
      <x:c r="E136" s="62" t="n">
        <x:v>11</x:v>
      </x:c>
      <x:c r="F136" s="62" t="n">
        <x:v>11</x:v>
      </x:c>
      <x:c r="G136" s="62" t="str">
        <x:v>DOC1134</x:v>
      </x:c>
      <x:c r="H136" s="62" t="n">
        <x:v>10</x:v>
      </x:c>
      <x:c r="I136" s="74" t="n">
        <x:v>45611</x:v>
      </x:c>
      <x:c r="J136" s="74" t="n">
        <x:v>45611</x:v>
      </x:c>
      <x:c r="K136" s="74" t="n">
        <x:v>45611</x:v>
      </x:c>
      <x:c r="L136" s="74" t="n">
        <x:v>45611</x:v>
      </x:c>
      <x:c r="M136" s="77" t="n">
        <x:v>6.5905</x:v>
      </x:c>
      <x:c r="N136" s="77"/>
      <x:c r="O136" s="78"/>
      <x:c r="P136" s="79" t="n">
        <x:f>M136</x:f>
        <x:v>6.5905</x:v>
      </x:c>
      <x:c r="Q136" s="79" t="n">
        <x:f>IF(D136="营业收入",-P136,P136)</x:f>
        <x:v>6.5905</x:v>
      </x:c>
      <x:c r="R136" s="62" t="str">
        <x:v>CNY</x:v>
      </x:c>
      <x:c r="S136" s="62" t="str">
        <x:v>万元</x:v>
      </x:c>
      <x:c r="T136" s="62" t="str">
        <x:v>费用不含税</x:v>
      </x:c>
      <x:c r="U136" s="62" t="str">
        <x:v>安全运行部</x:v>
      </x:c>
      <x:c r="V136" s="62" t="str">
        <x:v>灾害防护现场物料采购</x:v>
      </x:c>
      <x:c r="W136" s="62" t="str">
        <x:v>灾害防护现场物料采购</x:v>
      </x:c>
      <x:c r="X136" s="62" t="str">
        <x:v>国电智深</x:v>
      </x:c>
      <x:c r="Y136" s="62" t="str">
        <x:v>国电智深</x:v>
      </x:c>
      <x:c r="Z136" s="62" t="str">
        <x:v>17</x:v>
      </x:c>
      <x:c r="AA136" s="62" t="str">
        <x:v>灾害防护</x:v>
      </x:c>
      <x:c r="AB136" s="62" t="str">
        <x:v>PRJ-AQ-灾害-2025-003</x:v>
      </x:c>
      <x:c r="AC136" s="74" t="n">
        <x:v>45657</x:v>
      </x:c>
      <x:c r="AD136" s="71" t="str">
        <x:v>源记录保留</x:v>
      </x:c>
      <x:c r="AE136" s="71" t="str">
        <x:v>2024年实际执行.xlsx</x:v>
      </x:c>
      <x:c r="AF136" s="71" t="str">
        <x:v>Sheet</x:v>
      </x:c>
      <x:c r="AG136" s="71" t="n">
        <x:v>136</x:v>
      </x:c>
      <x:c r="AH136" s="71" t="str">
        <x:v>2024年实际执行.xlsx/Sheet!136:136</x:v>
      </x:c>
      <x:c r="AI136" s="62" t="str">
        <x:f>IF(F136=MONTH(L136),"OK","FAIL")</x:f>
        <x:v>OK</x:v>
      </x:c>
      <x:c r="AJ136" s="62" t="str">
        <x:f>IF(J136&lt;=L136,"OK","FAIL")</x:f>
        <x:v>OK</x:v>
      </x:c>
      <x:c r="AK136" s="62" t="str">
        <x:f>IF(D136&lt;&gt;"营业收入","OK",IF(AND(P136&lt;0,Q136&gt;0),"OK","FAIL"))</x:f>
        <x:v>OK</x:v>
      </x:c>
      <x:c r="AL136" s="62" t="str">
        <x:f>IF(COUNTIF($A$2:$A$204,A136)=1,"OK","FAIL")</x:f>
        <x:v>OK</x:v>
      </x:c>
    </x:row>
    <x:row r="137">
      <x:c r="A137" s="62" t="str">
        <x:v>DEMO01|2024|DOC1135|10</x:v>
      </x:c>
      <x:c r="B137" s="62" t="str">
        <x:v>SOURCE</x:v>
      </x:c>
      <x:c r="C137" s="62" t="str">
        <x:v>办公费</x:v>
      </x:c>
      <x:c r="D137" s="62" t="str">
        <x:v>办公费</x:v>
      </x:c>
      <x:c r="E137" s="62" t="n">
        <x:v>2</x:v>
      </x:c>
      <x:c r="F137" s="62" t="n">
        <x:v>2</x:v>
      </x:c>
      <x:c r="G137" s="62" t="str">
        <x:v>DOC1135</x:v>
      </x:c>
      <x:c r="H137" s="62" t="n">
        <x:v>10</x:v>
      </x:c>
      <x:c r="I137" s="74" t="n">
        <x:v>45337</x:v>
      </x:c>
      <x:c r="J137" s="74" t="n">
        <x:v>45337</x:v>
      </x:c>
      <x:c r="K137" s="74" t="n">
        <x:v>45337</x:v>
      </x:c>
      <x:c r="L137" s="74" t="n">
        <x:v>45337</x:v>
      </x:c>
      <x:c r="M137" s="77" t="n">
        <x:v>1.3181</x:v>
      </x:c>
      <x:c r="N137" s="77"/>
      <x:c r="O137" s="78"/>
      <x:c r="P137" s="79" t="n">
        <x:f>M137</x:f>
        <x:v>1.3181</x:v>
      </x:c>
      <x:c r="Q137" s="79" t="n">
        <x:f>IF(D137="营业收入",-P137,P137)</x:f>
        <x:v>1.3181</x:v>
      </x:c>
      <x:c r="R137" s="62" t="str">
        <x:v>CNY</x:v>
      </x:c>
      <x:c r="S137" s="62" t="str">
        <x:v>万元</x:v>
      </x:c>
      <x:c r="T137" s="62" t="str">
        <x:v>费用不含税</x:v>
      </x:c>
      <x:c r="U137" s="62" t="str">
        <x:v>安全运行部</x:v>
      </x:c>
      <x:c r="V137" s="62" t="str">
        <x:v>灾害防护日常办公</x:v>
      </x:c>
      <x:c r="W137" s="62" t="str">
        <x:v>灾害防护日常办公</x:v>
      </x:c>
      <x:c r="X137" s="62" t="str">
        <x:v>国电智深</x:v>
      </x:c>
      <x:c r="Y137" s="62" t="str">
        <x:v>国电智深</x:v>
      </x:c>
      <x:c r="Z137" s="62" t="str">
        <x:v>17</x:v>
      </x:c>
      <x:c r="AA137" s="62" t="str">
        <x:v>灾害防护</x:v>
      </x:c>
      <x:c r="AB137" s="62" t="str">
        <x:v>PRJ-AQ-灾害-2025-003</x:v>
      </x:c>
      <x:c r="AC137" s="74" t="n">
        <x:v>45657</x:v>
      </x:c>
      <x:c r="AD137" s="71" t="str">
        <x:v>源记录保留</x:v>
      </x:c>
      <x:c r="AE137" s="71" t="str">
        <x:v>2024年实际执行.xlsx</x:v>
      </x:c>
      <x:c r="AF137" s="71" t="str">
        <x:v>Sheet</x:v>
      </x:c>
      <x:c r="AG137" s="71" t="n">
        <x:v>137</x:v>
      </x:c>
      <x:c r="AH137" s="71" t="str">
        <x:v>2024年实际执行.xlsx/Sheet!137:137</x:v>
      </x:c>
      <x:c r="AI137" s="62" t="str">
        <x:f>IF(F137=MONTH(L137),"OK","FAIL")</x:f>
        <x:v>OK</x:v>
      </x:c>
      <x:c r="AJ137" s="62" t="str">
        <x:f>IF(J137&lt;=L137,"OK","FAIL")</x:f>
        <x:v>OK</x:v>
      </x:c>
      <x:c r="AK137" s="62" t="str">
        <x:f>IF(D137&lt;&gt;"营业收入","OK",IF(AND(P137&lt;0,Q137&gt;0),"OK","FAIL"))</x:f>
        <x:v>OK</x:v>
      </x:c>
      <x:c r="AL137" s="62" t="str">
        <x:f>IF(COUNTIF($A$2:$A$204,A137)=1,"OK","FAIL")</x:f>
        <x:v>OK</x:v>
      </x:c>
    </x:row>
    <x:row r="138">
      <x:c r="A138" s="62" t="str">
        <x:v>DEMO01|2024|DOC1136|10</x:v>
      </x:c>
      <x:c r="B138" s="62" t="str">
        <x:v>SOURCE</x:v>
      </x:c>
      <x:c r="C138" s="62" t="str">
        <x:v>人工成本</x:v>
      </x:c>
      <x:c r="D138" s="62" t="str">
        <x:v>人工成本</x:v>
      </x:c>
      <x:c r="E138" s="62" t="n">
        <x:v>6</x:v>
      </x:c>
      <x:c r="F138" s="62" t="n">
        <x:v>6</x:v>
      </x:c>
      <x:c r="G138" s="62" t="str">
        <x:v>DOC1136</x:v>
      </x:c>
      <x:c r="H138" s="62" t="n">
        <x:v>10</x:v>
      </x:c>
      <x:c r="I138" s="74" t="n">
        <x:v>45473</x:v>
      </x:c>
      <x:c r="J138" s="74" t="n">
        <x:v>45473</x:v>
      </x:c>
      <x:c r="K138" s="74" t="n">
        <x:v>45473</x:v>
      </x:c>
      <x:c r="L138" s="74" t="n">
        <x:v>45473</x:v>
      </x:c>
      <x:c r="M138" s="77" t="n">
        <x:v>6.8</x:v>
      </x:c>
      <x:c r="N138" s="77"/>
      <x:c r="O138" s="78"/>
      <x:c r="P138" s="79" t="n">
        <x:f>M138</x:f>
        <x:v>6.8</x:v>
      </x:c>
      <x:c r="Q138" s="79" t="n">
        <x:f>IF(D138="营业收入",-P138,P138)</x:f>
        <x:v>6.8</x:v>
      </x:c>
      <x:c r="R138" s="62" t="str">
        <x:v>CNY</x:v>
      </x:c>
      <x:c r="S138" s="62" t="str">
        <x:v>万元</x:v>
      </x:c>
      <x:c r="T138" s="62" t="str">
        <x:v>费用不含税</x:v>
      </x:c>
      <x:c r="U138" s="62" t="str">
        <x:v>安全运行部</x:v>
      </x:c>
      <x:c r="V138" s="62" t="str">
        <x:v>灾害防护人工成本分摊</x:v>
      </x:c>
      <x:c r="W138" s="62" t="str">
        <x:v>灾害防护人工成本分摊</x:v>
      </x:c>
      <x:c r="X138" s="62" t="str">
        <x:v>17</x:v>
      </x:c>
      <x:c r="Y138" s="62" t="str">
        <x:v>17</x:v>
      </x:c>
      <x:c r="Z138" s="62" t="str">
        <x:v>17</x:v>
      </x:c>
      <x:c r="AA138" s="62" t="str">
        <x:v>灾害防护</x:v>
      </x:c>
      <x:c r="AB138" s="62" t="str">
        <x:v>PRJ-AQ-灾害-2025-003</x:v>
      </x:c>
      <x:c r="AC138" s="74" t="n">
        <x:v>45657</x:v>
      </x:c>
      <x:c r="AD138" s="71" t="str">
        <x:v>源记录保留</x:v>
      </x:c>
      <x:c r="AE138" s="71" t="str">
        <x:v>2024年实际执行.xlsx</x:v>
      </x:c>
      <x:c r="AF138" s="71" t="str">
        <x:v>Sheet</x:v>
      </x:c>
      <x:c r="AG138" s="71" t="n">
        <x:v>138</x:v>
      </x:c>
      <x:c r="AH138" s="71" t="str">
        <x:v>2024年实际执行.xlsx/Sheet!138:138</x:v>
      </x:c>
      <x:c r="AI138" s="62" t="str">
        <x:f>IF(F138=MONTH(L138),"OK","FAIL")</x:f>
        <x:v>OK</x:v>
      </x:c>
      <x:c r="AJ138" s="62" t="str">
        <x:f>IF(J138&lt;=L138,"OK","FAIL")</x:f>
        <x:v>OK</x:v>
      </x:c>
      <x:c r="AK138" s="62" t="str">
        <x:f>IF(D138&lt;&gt;"营业收入","OK",IF(AND(P138&lt;0,Q138&gt;0),"OK","FAIL"))</x:f>
        <x:v>OK</x:v>
      </x:c>
      <x:c r="AL138" s="62" t="str">
        <x:f>IF(COUNTIF($A$2:$A$204,A138)=1,"OK","FAIL")</x:f>
        <x:v>OK</x:v>
      </x:c>
    </x:row>
    <x:row r="139">
      <x:c r="A139" s="62" t="str">
        <x:v>DEMO01|2024|DOC1137|10</x:v>
      </x:c>
      <x:c r="B139" s="62" t="str">
        <x:v>SOURCE</x:v>
      </x:c>
      <x:c r="C139" s="62" t="str">
        <x:v>折旧摊销</x:v>
      </x:c>
      <x:c r="D139" s="62" t="str">
        <x:v>折旧摊销</x:v>
      </x:c>
      <x:c r="E139" s="62" t="n">
        <x:v>12</x:v>
      </x:c>
      <x:c r="F139" s="62" t="n">
        <x:v>12</x:v>
      </x:c>
      <x:c r="G139" s="62" t="str">
        <x:v>DOC1137</x:v>
      </x:c>
      <x:c r="H139" s="62" t="n">
        <x:v>10</x:v>
      </x:c>
      <x:c r="I139" s="74" t="n">
        <x:v>45657</x:v>
      </x:c>
      <x:c r="J139" s="74" t="n">
        <x:v>45657</x:v>
      </x:c>
      <x:c r="K139" s="74" t="n">
        <x:v>45657</x:v>
      </x:c>
      <x:c r="L139" s="74" t="n">
        <x:v>45657</x:v>
      </x:c>
      <x:c r="M139" s="77" t="n">
        <x:v>2</x:v>
      </x:c>
      <x:c r="N139" s="77"/>
      <x:c r="O139" s="78"/>
      <x:c r="P139" s="79" t="n">
        <x:f>M139</x:f>
        <x:v>2</x:v>
      </x:c>
      <x:c r="Q139" s="79" t="n">
        <x:f>IF(D139="营业收入",-P139,P139)</x:f>
        <x:v>2</x:v>
      </x:c>
      <x:c r="R139" s="62" t="str">
        <x:v>CNY</x:v>
      </x:c>
      <x:c r="S139" s="62" t="str">
        <x:v>万元</x:v>
      </x:c>
      <x:c r="T139" s="62" t="str">
        <x:v>费用不含税</x:v>
      </x:c>
      <x:c r="U139" s="62" t="str">
        <x:v>安全运行部</x:v>
      </x:c>
      <x:c r="V139" s="62" t="str">
        <x:v>灾害防护折旧摊销分摊</x:v>
      </x:c>
      <x:c r="W139" s="62" t="str">
        <x:v>灾害防护折旧摊销分摊</x:v>
      </x:c>
      <x:c r="X139" s="62" t="str">
        <x:v>17</x:v>
      </x:c>
      <x:c r="Y139" s="62" t="str">
        <x:v>17</x:v>
      </x:c>
      <x:c r="Z139" s="62" t="str">
        <x:v>17</x:v>
      </x:c>
      <x:c r="AA139" s="62" t="str">
        <x:v>灾害防护</x:v>
      </x:c>
      <x:c r="AB139" s="62" t="str">
        <x:v>PRJ-AQ-灾害-2025-003</x:v>
      </x:c>
      <x:c r="AC139" s="74" t="n">
        <x:v>45657</x:v>
      </x:c>
      <x:c r="AD139" s="71" t="str">
        <x:v>源记录保留</x:v>
      </x:c>
      <x:c r="AE139" s="71" t="str">
        <x:v>2024年实际执行.xlsx</x:v>
      </x:c>
      <x:c r="AF139" s="71" t="str">
        <x:v>Sheet</x:v>
      </x:c>
      <x:c r="AG139" s="71" t="n">
        <x:v>139</x:v>
      </x:c>
      <x:c r="AH139" s="71" t="str">
        <x:v>2024年实际执行.xlsx/Sheet!139:139</x:v>
      </x:c>
      <x:c r="AI139" s="62" t="str">
        <x:f>IF(F139=MONTH(L139),"OK","FAIL")</x:f>
        <x:v>OK</x:v>
      </x:c>
      <x:c r="AJ139" s="62" t="str">
        <x:f>IF(J139&lt;=L139,"OK","FAIL")</x:f>
        <x:v>OK</x:v>
      </x:c>
      <x:c r="AK139" s="62" t="str">
        <x:f>IF(D139&lt;&gt;"营业收入","OK",IF(AND(P139&lt;0,Q139&gt;0),"OK","FAIL"))</x:f>
        <x:v>OK</x:v>
      </x:c>
      <x:c r="AL139" s="62" t="str">
        <x:f>IF(COUNTIF($A$2:$A$204,A139)=1,"OK","FAIL")</x:f>
        <x:v>OK</x:v>
      </x:c>
    </x:row>
    <x:row r="140">
      <x:c r="A140" s="62" t="str">
        <x:v>DEMO01|2024|DOC1138|10</x:v>
      </x:c>
      <x:c r="B140" s="62" t="str">
        <x:v>SOURCE</x:v>
      </x:c>
      <x:c r="C140" s="62" t="str">
        <x:v>营业收入</x:v>
      </x:c>
      <x:c r="D140" s="62" t="str">
        <x:v>营业收入</x:v>
      </x:c>
      <x:c r="E140" s="62" t="n">
        <x:v>6</x:v>
      </x:c>
      <x:c r="F140" s="62" t="n">
        <x:v>6</x:v>
      </x:c>
      <x:c r="G140" s="62" t="str">
        <x:v>DOC1138</x:v>
      </x:c>
      <x:c r="H140" s="62" t="n">
        <x:v>10</x:v>
      </x:c>
      <x:c r="I140" s="74" t="n">
        <x:v>45458</x:v>
      </x:c>
      <x:c r="J140" s="74" t="n">
        <x:v>45458</x:v>
      </x:c>
      <x:c r="K140" s="74" t="n">
        <x:v>45458</x:v>
      </x:c>
      <x:c r="L140" s="74" t="n">
        <x:v>45458</x:v>
      </x:c>
      <x:c r="M140" s="77" t="n">
        <x:v>-20</x:v>
      </x:c>
      <x:c r="N140" s="77"/>
      <x:c r="O140" s="78"/>
      <x:c r="P140" s="79" t="n">
        <x:f>M140</x:f>
        <x:v>-20</x:v>
      </x:c>
      <x:c r="Q140" s="79" t="n">
        <x:f>IF(D140="营业收入",-P140,P140)</x:f>
        <x:v>20</x:v>
      </x:c>
      <x:c r="R140" s="62" t="str">
        <x:v>CNY</x:v>
      </x:c>
      <x:c r="S140" s="62" t="str">
        <x:v>万元</x:v>
      </x:c>
      <x:c r="T140" s="62" t="str">
        <x:v>收益；源负号</x:v>
      </x:c>
      <x:c r="U140" s="62" t="str">
        <x:v>安全运行部</x:v>
      </x:c>
      <x:c r="V140" s="62" t="str">
        <x:v>安全评估收入确认</x:v>
      </x:c>
      <x:c r="W140" s="62" t="str">
        <x:v>安全评估收入确认</x:v>
      </x:c>
      <x:c r="X140" s="62" t="str">
        <x:v>17</x:v>
      </x:c>
      <x:c r="Y140" s="62" t="str">
        <x:v>17</x:v>
      </x:c>
      <x:c r="Z140" s="62" t="str">
        <x:v>17</x:v>
      </x:c>
      <x:c r="AA140" s="62" t="str">
        <x:v>安全评估</x:v>
      </x:c>
      <x:c r="AB140" s="62" t="str">
        <x:v>PRJ-AQ-安全-2024-001</x:v>
      </x:c>
      <x:c r="AC140" s="74" t="n">
        <x:v>45657</x:v>
      </x:c>
      <x:c r="AD140" s="71" t="str">
        <x:v>源记录保留</x:v>
      </x:c>
      <x:c r="AE140" s="71" t="str">
        <x:v>2024年实际执行.xlsx</x:v>
      </x:c>
      <x:c r="AF140" s="71" t="str">
        <x:v>Sheet</x:v>
      </x:c>
      <x:c r="AG140" s="71" t="n">
        <x:v>140</x:v>
      </x:c>
      <x:c r="AH140" s="71" t="str">
        <x:v>2024年实际执行.xlsx/Sheet!140:140</x:v>
      </x:c>
      <x:c r="AI140" s="62" t="str">
        <x:f>IF(F140=MONTH(L140),"OK","FAIL")</x:f>
        <x:v>OK</x:v>
      </x:c>
      <x:c r="AJ140" s="62" t="str">
        <x:f>IF(J140&lt;=L140,"OK","FAIL")</x:f>
        <x:v>OK</x:v>
      </x:c>
      <x:c r="AK140" s="62" t="str">
        <x:f>IF(D140&lt;&gt;"营业收入","OK",IF(AND(P140&lt;0,Q140&gt;0),"OK","FAIL"))</x:f>
        <x:v>OK</x:v>
      </x:c>
      <x:c r="AL140" s="62" t="str">
        <x:f>IF(COUNTIF($A$2:$A$204,A140)=1,"OK","FAIL")</x:f>
        <x:v>OK</x:v>
      </x:c>
    </x:row>
    <x:row r="141">
      <x:c r="A141" s="62" t="str">
        <x:v>DEMO01|2024|DOC1139|10</x:v>
      </x:c>
      <x:c r="B141" s="62" t="str">
        <x:v>SOURCE</x:v>
      </x:c>
      <x:c r="C141" s="62" t="str">
        <x:v>会议费</x:v>
      </x:c>
      <x:c r="D141" s="62" t="str">
        <x:v>会议费</x:v>
      </x:c>
      <x:c r="E141" s="62" t="n">
        <x:v>11</x:v>
      </x:c>
      <x:c r="F141" s="62" t="n">
        <x:v>11</x:v>
      </x:c>
      <x:c r="G141" s="62" t="str">
        <x:v>DOC1139</x:v>
      </x:c>
      <x:c r="H141" s="62" t="n">
        <x:v>10</x:v>
      </x:c>
      <x:c r="I141" s="74" t="n">
        <x:v>45611</x:v>
      </x:c>
      <x:c r="J141" s="74" t="n">
        <x:v>45611</x:v>
      </x:c>
      <x:c r="K141" s="74" t="n">
        <x:v>45611</x:v>
      </x:c>
      <x:c r="L141" s="74" t="n">
        <x:v>45611</x:v>
      </x:c>
      <x:c r="M141" s="77" t="n">
        <x:v>0.406933333333333</x:v>
      </x:c>
      <x:c r="N141" s="77"/>
      <x:c r="O141" s="78"/>
      <x:c r="P141" s="79" t="n">
        <x:f>M141</x:f>
        <x:v>0.406933333333333</x:v>
      </x:c>
      <x:c r="Q141" s="79" t="n">
        <x:f>IF(D141="营业收入",-P141,P141)</x:f>
        <x:v>0.406933333333333</x:v>
      </x:c>
      <x:c r="R141" s="62" t="str">
        <x:v>CNY</x:v>
      </x:c>
      <x:c r="S141" s="62" t="str">
        <x:v>万元</x:v>
      </x:c>
      <x:c r="T141" s="62" t="str">
        <x:v>费用不含税</x:v>
      </x:c>
      <x:c r="U141" s="62" t="str">
        <x:v>安全运行部</x:v>
      </x:c>
      <x:c r="V141" s="62" t="str">
        <x:v>安全评估项目阶段评审会</x:v>
      </x:c>
      <x:c r="W141" s="62" t="str">
        <x:v>安全评估项目阶段评审会</x:v>
      </x:c>
      <x:c r="X141" s="62" t="str">
        <x:v>国电智深</x:v>
      </x:c>
      <x:c r="Y141" s="62" t="str">
        <x:v>国电智深</x:v>
      </x:c>
      <x:c r="Z141" s="62" t="str">
        <x:v>17</x:v>
      </x:c>
      <x:c r="AA141" s="62" t="str">
        <x:v>安全评估</x:v>
      </x:c>
      <x:c r="AB141" s="62" t="str">
        <x:v>PRJ-AQ-安全-2024-001</x:v>
      </x:c>
      <x:c r="AC141" s="74" t="n">
        <x:v>45657</x:v>
      </x:c>
      <x:c r="AD141" s="71" t="str">
        <x:v>源记录保留</x:v>
      </x:c>
      <x:c r="AE141" s="71" t="str">
        <x:v>2024年实际执行.xlsx</x:v>
      </x:c>
      <x:c r="AF141" s="71" t="str">
        <x:v>Sheet</x:v>
      </x:c>
      <x:c r="AG141" s="71" t="n">
        <x:v>141</x:v>
      </x:c>
      <x:c r="AH141" s="71" t="str">
        <x:v>2024年实际执行.xlsx/Sheet!141:141</x:v>
      </x:c>
      <x:c r="AI141" s="62" t="str">
        <x:f>IF(F141=MONTH(L141),"OK","FAIL")</x:f>
        <x:v>OK</x:v>
      </x:c>
      <x:c r="AJ141" s="62" t="str">
        <x:f>IF(J141&lt;=L141,"OK","FAIL")</x:f>
        <x:v>OK</x:v>
      </x:c>
      <x:c r="AK141" s="62" t="str">
        <x:f>IF(D141&lt;&gt;"营业收入","OK",IF(AND(P141&lt;0,Q141&gt;0),"OK","FAIL"))</x:f>
        <x:v>OK</x:v>
      </x:c>
      <x:c r="AL141" s="62" t="str">
        <x:f>IF(COUNTIF($A$2:$A$204,A141)=1,"OK","FAIL")</x:f>
        <x:v>OK</x:v>
      </x:c>
    </x:row>
    <x:row r="142">
      <x:c r="A142" s="62" t="str">
        <x:v>DEMO01|2024|DOC1140|10</x:v>
      </x:c>
      <x:c r="B142" s="62" t="str">
        <x:v>SOURCE</x:v>
      </x:c>
      <x:c r="C142" s="62" t="str">
        <x:v>业务支持费</x:v>
      </x:c>
      <x:c r="D142" s="62" t="str">
        <x:v>业务支持费-技术配置</x:v>
      </x:c>
      <x:c r="E142" s="62" t="n">
        <x:v>3</x:v>
      </x:c>
      <x:c r="F142" s="62" t="n">
        <x:v>3</x:v>
      </x:c>
      <x:c r="G142" s="62" t="str">
        <x:v>DOC1140</x:v>
      </x:c>
      <x:c r="H142" s="62" t="n">
        <x:v>10</x:v>
      </x:c>
      <x:c r="I142" s="74" t="n">
        <x:v>45366</x:v>
      </x:c>
      <x:c r="J142" s="74" t="n">
        <x:v>45366</x:v>
      </x:c>
      <x:c r="K142" s="74" t="n">
        <x:v>45366</x:v>
      </x:c>
      <x:c r="L142" s="74" t="n">
        <x:v>45366</x:v>
      </x:c>
      <x:c r="M142" s="77" t="n">
        <x:v>16.2773333333333</x:v>
      </x:c>
      <x:c r="N142" s="77"/>
      <x:c r="O142" s="78"/>
      <x:c r="P142" s="79" t="n">
        <x:f>M142</x:f>
        <x:v>16.2773333333333</x:v>
      </x:c>
      <x:c r="Q142" s="79" t="n">
        <x:f>IF(D142="营业收入",-P142,P142)</x:f>
        <x:v>16.2773333333333</x:v>
      </x:c>
      <x:c r="R142" s="62" t="str">
        <x:v>CNY</x:v>
      </x:c>
      <x:c r="S142" s="62" t="str">
        <x:v>万元</x:v>
      </x:c>
      <x:c r="T142" s="62" t="str">
        <x:v>费用不含税</x:v>
      </x:c>
      <x:c r="U142" s="62" t="str">
        <x:v>安全运行部</x:v>
      </x:c>
      <x:c r="V142" s="62" t="str">
        <x:v>安全评估技术配置_前期阶段</x:v>
      </x:c>
      <x:c r="W142" s="62" t="str">
        <x:v>安全评估技术配置_前期阶段</x:v>
      </x:c>
      <x:c r="X142" s="62" t="str">
        <x:v>国电智深</x:v>
      </x:c>
      <x:c r="Y142" s="62" t="str">
        <x:v>国电智深</x:v>
      </x:c>
      <x:c r="Z142" s="62" t="str">
        <x:v>17</x:v>
      </x:c>
      <x:c r="AA142" s="62" t="str">
        <x:v>安全评估</x:v>
      </x:c>
      <x:c r="AB142" s="62" t="str">
        <x:v>PRJ-AQ-安全-2024-001</x:v>
      </x:c>
      <x:c r="AC142" s="74" t="n">
        <x:v>45657</x:v>
      </x:c>
      <x:c r="AD142" s="71" t="str">
        <x:v>源记录保留</x:v>
      </x:c>
      <x:c r="AE142" s="71" t="str">
        <x:v>2024年实际执行.xlsx</x:v>
      </x:c>
      <x:c r="AF142" s="71" t="str">
        <x:v>Sheet</x:v>
      </x:c>
      <x:c r="AG142" s="71" t="n">
        <x:v>142</x:v>
      </x:c>
      <x:c r="AH142" s="71" t="str">
        <x:v>2024年实际执行.xlsx/Sheet!142:142</x:v>
      </x:c>
      <x:c r="AI142" s="62" t="str">
        <x:f>IF(F142=MONTH(L142),"OK","FAIL")</x:f>
        <x:v>OK</x:v>
      </x:c>
      <x:c r="AJ142" s="62" t="str">
        <x:f>IF(J142&lt;=L142,"OK","FAIL")</x:f>
        <x:v>OK</x:v>
      </x:c>
      <x:c r="AK142" s="62" t="str">
        <x:f>IF(D142&lt;&gt;"营业收入","OK",IF(AND(P142&lt;0,Q142&gt;0),"OK","FAIL"))</x:f>
        <x:v>OK</x:v>
      </x:c>
      <x:c r="AL142" s="62" t="str">
        <x:f>IF(COUNTIF($A$2:$A$204,A142)=1,"OK","FAIL")</x:f>
        <x:v>OK</x:v>
      </x:c>
    </x:row>
    <x:row r="143">
      <x:c r="A143" s="62" t="str">
        <x:v>DEMO01|2024|DOC1141|10</x:v>
      </x:c>
      <x:c r="B143" s="62" t="str">
        <x:v>SOURCE</x:v>
      </x:c>
      <x:c r="C143" s="62" t="str">
        <x:v>生产物料费</x:v>
      </x:c>
      <x:c r="D143" s="62" t="str">
        <x:v>生产物料费</x:v>
      </x:c>
      <x:c r="E143" s="62" t="n">
        <x:v>9</x:v>
      </x:c>
      <x:c r="F143" s="62" t="n">
        <x:v>9</x:v>
      </x:c>
      <x:c r="G143" s="62" t="str">
        <x:v>DOC1141</x:v>
      </x:c>
      <x:c r="H143" s="62" t="n">
        <x:v>10</x:v>
      </x:c>
      <x:c r="I143" s="74" t="n">
        <x:v>45550</x:v>
      </x:c>
      <x:c r="J143" s="74" t="n">
        <x:v>45550</x:v>
      </x:c>
      <x:c r="K143" s="74" t="n">
        <x:v>45550</x:v>
      </x:c>
      <x:c r="L143" s="74" t="n">
        <x:v>45550</x:v>
      </x:c>
      <x:c r="M143" s="77" t="n">
        <x:v>6.104</x:v>
      </x:c>
      <x:c r="N143" s="77"/>
      <x:c r="O143" s="78"/>
      <x:c r="P143" s="79" t="n">
        <x:f>M143</x:f>
        <x:v>6.104</x:v>
      </x:c>
      <x:c r="Q143" s="79" t="n">
        <x:f>IF(D143="营业收入",-P143,P143)</x:f>
        <x:v>6.104</x:v>
      </x:c>
      <x:c r="R143" s="62" t="str">
        <x:v>CNY</x:v>
      </x:c>
      <x:c r="S143" s="62" t="str">
        <x:v>万元</x:v>
      </x:c>
      <x:c r="T143" s="62" t="str">
        <x:v>费用不含税</x:v>
      </x:c>
      <x:c r="U143" s="62" t="str">
        <x:v>安全运行部</x:v>
      </x:c>
      <x:c r="V143" s="62" t="str">
        <x:v>安全评估现场物料采购</x:v>
      </x:c>
      <x:c r="W143" s="62" t="str">
        <x:v>安全评估现场物料采购</x:v>
      </x:c>
      <x:c r="X143" s="62" t="str">
        <x:v>国电智深</x:v>
      </x:c>
      <x:c r="Y143" s="62" t="str">
        <x:v>国电智深</x:v>
      </x:c>
      <x:c r="Z143" s="62" t="str">
        <x:v>17</x:v>
      </x:c>
      <x:c r="AA143" s="62" t="str">
        <x:v>安全评估</x:v>
      </x:c>
      <x:c r="AB143" s="62" t="str">
        <x:v>PRJ-AQ-安全-2024-001</x:v>
      </x:c>
      <x:c r="AC143" s="74" t="n">
        <x:v>45657</x:v>
      </x:c>
      <x:c r="AD143" s="71" t="str">
        <x:v>源记录保留</x:v>
      </x:c>
      <x:c r="AE143" s="71" t="str">
        <x:v>2024年实际执行.xlsx</x:v>
      </x:c>
      <x:c r="AF143" s="71" t="str">
        <x:v>Sheet</x:v>
      </x:c>
      <x:c r="AG143" s="71" t="n">
        <x:v>143</x:v>
      </x:c>
      <x:c r="AH143" s="71" t="str">
        <x:v>2024年实际执行.xlsx/Sheet!143:143</x:v>
      </x:c>
      <x:c r="AI143" s="62" t="str">
        <x:f>IF(F143=MONTH(L143),"OK","FAIL")</x:f>
        <x:v>OK</x:v>
      </x:c>
      <x:c r="AJ143" s="62" t="str">
        <x:f>IF(J143&lt;=L143,"OK","FAIL")</x:f>
        <x:v>OK</x:v>
      </x:c>
      <x:c r="AK143" s="62" t="str">
        <x:f>IF(D143&lt;&gt;"营业收入","OK",IF(AND(P143&lt;0,Q143&gt;0),"OK","FAIL"))</x:f>
        <x:v>OK</x:v>
      </x:c>
      <x:c r="AL143" s="62" t="str">
        <x:f>IF(COUNTIF($A$2:$A$204,A143)=1,"OK","FAIL")</x:f>
        <x:v>OK</x:v>
      </x:c>
    </x:row>
    <x:row r="144">
      <x:c r="A144" s="62" t="str">
        <x:v>DEMO01|2024|DOC1142|10</x:v>
      </x:c>
      <x:c r="B144" s="62" t="str">
        <x:v>SOURCE</x:v>
      </x:c>
      <x:c r="C144" s="62" t="str">
        <x:v>办公费</x:v>
      </x:c>
      <x:c r="D144" s="62" t="str">
        <x:v>办公费</x:v>
      </x:c>
      <x:c r="E144" s="62" t="n">
        <x:v>12</x:v>
      </x:c>
      <x:c r="F144" s="62" t="n">
        <x:v>12</x:v>
      </x:c>
      <x:c r="G144" s="62" t="str">
        <x:v>DOC1142</x:v>
      </x:c>
      <x:c r="H144" s="62" t="n">
        <x:v>10</x:v>
      </x:c>
      <x:c r="I144" s="74" t="n">
        <x:v>45641</x:v>
      </x:c>
      <x:c r="J144" s="74" t="n">
        <x:v>45641</x:v>
      </x:c>
      <x:c r="K144" s="74" t="n">
        <x:v>45641</x:v>
      </x:c>
      <x:c r="L144" s="74" t="n">
        <x:v>45641</x:v>
      </x:c>
      <x:c r="M144" s="77" t="n">
        <x:v>1.2208</x:v>
      </x:c>
      <x:c r="N144" s="77"/>
      <x:c r="O144" s="78"/>
      <x:c r="P144" s="79" t="n">
        <x:f>M144</x:f>
        <x:v>1.2208</x:v>
      </x:c>
      <x:c r="Q144" s="79" t="n">
        <x:f>IF(D144="营业收入",-P144,P144)</x:f>
        <x:v>1.2208</x:v>
      </x:c>
      <x:c r="R144" s="62" t="str">
        <x:v>CNY</x:v>
      </x:c>
      <x:c r="S144" s="62" t="str">
        <x:v>万元</x:v>
      </x:c>
      <x:c r="T144" s="62" t="str">
        <x:v>费用不含税</x:v>
      </x:c>
      <x:c r="U144" s="62" t="str">
        <x:v>安全运行部</x:v>
      </x:c>
      <x:c r="V144" s="62" t="str">
        <x:v>安全评估日常办公</x:v>
      </x:c>
      <x:c r="W144" s="62" t="str">
        <x:v>安全评估日常办公</x:v>
      </x:c>
      <x:c r="X144" s="62" t="str">
        <x:v>国电智深</x:v>
      </x:c>
      <x:c r="Y144" s="62" t="str">
        <x:v>国电智深</x:v>
      </x:c>
      <x:c r="Z144" s="62" t="str">
        <x:v>17</x:v>
      </x:c>
      <x:c r="AA144" s="62" t="str">
        <x:v>安全评估</x:v>
      </x:c>
      <x:c r="AB144" s="62" t="str">
        <x:v>PRJ-AQ-安全-2024-001</x:v>
      </x:c>
      <x:c r="AC144" s="74" t="n">
        <x:v>45657</x:v>
      </x:c>
      <x:c r="AD144" s="71" t="str">
        <x:v>源记录保留</x:v>
      </x:c>
      <x:c r="AE144" s="71" t="str">
        <x:v>2024年实际执行.xlsx</x:v>
      </x:c>
      <x:c r="AF144" s="71" t="str">
        <x:v>Sheet</x:v>
      </x:c>
      <x:c r="AG144" s="71" t="n">
        <x:v>144</x:v>
      </x:c>
      <x:c r="AH144" s="71" t="str">
        <x:v>2024年实际执行.xlsx/Sheet!144:144</x:v>
      </x:c>
      <x:c r="AI144" s="62" t="str">
        <x:f>IF(F144=MONTH(L144),"OK","FAIL")</x:f>
        <x:v>OK</x:v>
      </x:c>
      <x:c r="AJ144" s="62" t="str">
        <x:f>IF(J144&lt;=L144,"OK","FAIL")</x:f>
        <x:v>OK</x:v>
      </x:c>
      <x:c r="AK144" s="62" t="str">
        <x:f>IF(D144&lt;&gt;"营业收入","OK",IF(AND(P144&lt;0,Q144&gt;0),"OK","FAIL"))</x:f>
        <x:v>OK</x:v>
      </x:c>
      <x:c r="AL144" s="62" t="str">
        <x:f>IF(COUNTIF($A$2:$A$204,A144)=1,"OK","FAIL")</x:f>
        <x:v>OK</x:v>
      </x:c>
    </x:row>
    <x:row r="145">
      <x:c r="A145" s="62" t="str">
        <x:v>DEMO01|2024|DOC1143|10</x:v>
      </x:c>
      <x:c r="B145" s="62" t="str">
        <x:v>SOURCE</x:v>
      </x:c>
      <x:c r="C145" s="62" t="str">
        <x:v>人工成本</x:v>
      </x:c>
      <x:c r="D145" s="62" t="str">
        <x:v>人工成本</x:v>
      </x:c>
      <x:c r="E145" s="62" t="n">
        <x:v>6</x:v>
      </x:c>
      <x:c r="F145" s="62" t="n">
        <x:v>6</x:v>
      </x:c>
      <x:c r="G145" s="62" t="str">
        <x:v>DOC1143</x:v>
      </x:c>
      <x:c r="H145" s="62" t="n">
        <x:v>10</x:v>
      </x:c>
      <x:c r="I145" s="74" t="n">
        <x:v>45473</x:v>
      </x:c>
      <x:c r="J145" s="74" t="n">
        <x:v>45473</x:v>
      </x:c>
      <x:c r="K145" s="74" t="n">
        <x:v>45473</x:v>
      </x:c>
      <x:c r="L145" s="74" t="n">
        <x:v>45473</x:v>
      </x:c>
      <x:c r="M145" s="77" t="n">
        <x:v>6.8</x:v>
      </x:c>
      <x:c r="N145" s="77"/>
      <x:c r="O145" s="78"/>
      <x:c r="P145" s="79" t="n">
        <x:f>M145</x:f>
        <x:v>6.8</x:v>
      </x:c>
      <x:c r="Q145" s="79" t="n">
        <x:f>IF(D145="营业收入",-P145,P145)</x:f>
        <x:v>6.8</x:v>
      </x:c>
      <x:c r="R145" s="62" t="str">
        <x:v>CNY</x:v>
      </x:c>
      <x:c r="S145" s="62" t="str">
        <x:v>万元</x:v>
      </x:c>
      <x:c r="T145" s="62" t="str">
        <x:v>费用不含税</x:v>
      </x:c>
      <x:c r="U145" s="62" t="str">
        <x:v>安全运行部</x:v>
      </x:c>
      <x:c r="V145" s="62" t="str">
        <x:v>安全评估人工成本分摊</x:v>
      </x:c>
      <x:c r="W145" s="62" t="str">
        <x:v>安全评估人工成本分摊</x:v>
      </x:c>
      <x:c r="X145" s="62" t="str">
        <x:v>17</x:v>
      </x:c>
      <x:c r="Y145" s="62" t="str">
        <x:v>17</x:v>
      </x:c>
      <x:c r="Z145" s="62" t="str">
        <x:v>17</x:v>
      </x:c>
      <x:c r="AA145" s="62" t="str">
        <x:v>安全评估</x:v>
      </x:c>
      <x:c r="AB145" s="62" t="str">
        <x:v>PRJ-AQ-安全-2024-001</x:v>
      </x:c>
      <x:c r="AC145" s="74" t="n">
        <x:v>45657</x:v>
      </x:c>
      <x:c r="AD145" s="71" t="str">
        <x:v>源记录保留</x:v>
      </x:c>
      <x:c r="AE145" s="71" t="str">
        <x:v>2024年实际执行.xlsx</x:v>
      </x:c>
      <x:c r="AF145" s="71" t="str">
        <x:v>Sheet</x:v>
      </x:c>
      <x:c r="AG145" s="71" t="n">
        <x:v>145</x:v>
      </x:c>
      <x:c r="AH145" s="71" t="str">
        <x:v>2024年实际执行.xlsx/Sheet!145:145</x:v>
      </x:c>
      <x:c r="AI145" s="62" t="str">
        <x:f>IF(F145=MONTH(L145),"OK","FAIL")</x:f>
        <x:v>OK</x:v>
      </x:c>
      <x:c r="AJ145" s="62" t="str">
        <x:f>IF(J145&lt;=L145,"OK","FAIL")</x:f>
        <x:v>OK</x:v>
      </x:c>
      <x:c r="AK145" s="62" t="str">
        <x:f>IF(D145&lt;&gt;"营业收入","OK",IF(AND(P145&lt;0,Q145&gt;0),"OK","FAIL"))</x:f>
        <x:v>OK</x:v>
      </x:c>
      <x:c r="AL145" s="62" t="str">
        <x:f>IF(COUNTIF($A$2:$A$204,A145)=1,"OK","FAIL")</x:f>
        <x:v>OK</x:v>
      </x:c>
    </x:row>
    <x:row r="146">
      <x:c r="A146" s="62" t="str">
        <x:v>DEMO01|2024|DOC1144|10</x:v>
      </x:c>
      <x:c r="B146" s="62" t="str">
        <x:v>SOURCE</x:v>
      </x:c>
      <x:c r="C146" s="62" t="str">
        <x:v>折旧摊销</x:v>
      </x:c>
      <x:c r="D146" s="62" t="str">
        <x:v>折旧摊销</x:v>
      </x:c>
      <x:c r="E146" s="62" t="n">
        <x:v>12</x:v>
      </x:c>
      <x:c r="F146" s="62" t="n">
        <x:v>12</x:v>
      </x:c>
      <x:c r="G146" s="62" t="str">
        <x:v>DOC1144</x:v>
      </x:c>
      <x:c r="H146" s="62" t="n">
        <x:v>10</x:v>
      </x:c>
      <x:c r="I146" s="74" t="n">
        <x:v>45657</x:v>
      </x:c>
      <x:c r="J146" s="74" t="n">
        <x:v>45657</x:v>
      </x:c>
      <x:c r="K146" s="74" t="n">
        <x:v>45657</x:v>
      </x:c>
      <x:c r="L146" s="74" t="n">
        <x:v>45657</x:v>
      </x:c>
      <x:c r="M146" s="77" t="n">
        <x:v>2</x:v>
      </x:c>
      <x:c r="N146" s="77"/>
      <x:c r="O146" s="78"/>
      <x:c r="P146" s="79" t="n">
        <x:f>M146</x:f>
        <x:v>2</x:v>
      </x:c>
      <x:c r="Q146" s="79" t="n">
        <x:f>IF(D146="营业收入",-P146,P146)</x:f>
        <x:v>2</x:v>
      </x:c>
      <x:c r="R146" s="62" t="str">
        <x:v>CNY</x:v>
      </x:c>
      <x:c r="S146" s="62" t="str">
        <x:v>万元</x:v>
      </x:c>
      <x:c r="T146" s="62" t="str">
        <x:v>费用不含税</x:v>
      </x:c>
      <x:c r="U146" s="62" t="str">
        <x:v>安全运行部</x:v>
      </x:c>
      <x:c r="V146" s="62" t="str">
        <x:v>安全评估折旧摊销分摊</x:v>
      </x:c>
      <x:c r="W146" s="62" t="str">
        <x:v>安全评估折旧摊销分摊</x:v>
      </x:c>
      <x:c r="X146" s="62" t="str">
        <x:v>17</x:v>
      </x:c>
      <x:c r="Y146" s="62" t="str">
        <x:v>17</x:v>
      </x:c>
      <x:c r="Z146" s="62" t="str">
        <x:v>17</x:v>
      </x:c>
      <x:c r="AA146" s="62" t="str">
        <x:v>安全评估</x:v>
      </x:c>
      <x:c r="AB146" s="62" t="str">
        <x:v>PRJ-AQ-安全-2024-001</x:v>
      </x:c>
      <x:c r="AC146" s="74" t="n">
        <x:v>45657</x:v>
      </x:c>
      <x:c r="AD146" s="71" t="str">
        <x:v>源记录保留</x:v>
      </x:c>
      <x:c r="AE146" s="71" t="str">
        <x:v>2024年实际执行.xlsx</x:v>
      </x:c>
      <x:c r="AF146" s="71" t="str">
        <x:v>Sheet</x:v>
      </x:c>
      <x:c r="AG146" s="71" t="n">
        <x:v>146</x:v>
      </x:c>
      <x:c r="AH146" s="71" t="str">
        <x:v>2024年实际执行.xlsx/Sheet!146:146</x:v>
      </x:c>
      <x:c r="AI146" s="62" t="str">
        <x:f>IF(F146=MONTH(L146),"OK","FAIL")</x:f>
        <x:v>OK</x:v>
      </x:c>
      <x:c r="AJ146" s="62" t="str">
        <x:f>IF(J146&lt;=L146,"OK","FAIL")</x:f>
        <x:v>OK</x:v>
      </x:c>
      <x:c r="AK146" s="62" t="str">
        <x:f>IF(D146&lt;&gt;"营业收入","OK",IF(AND(P146&lt;0,Q146&gt;0),"OK","FAIL"))</x:f>
        <x:v>OK</x:v>
      </x:c>
      <x:c r="AL146" s="62" t="str">
        <x:f>IF(COUNTIF($A$2:$A$204,A146)=1,"OK","FAIL")</x:f>
        <x:v>OK</x:v>
      </x:c>
    </x:row>
    <x:row r="147">
      <x:c r="A147" s="62" t="str">
        <x:v>DEMO01|2024|DOC1145|10</x:v>
      </x:c>
      <x:c r="B147" s="62" t="str">
        <x:v>SOURCE</x:v>
      </x:c>
      <x:c r="C147" s="62" t="str">
        <x:v>业务支持费</x:v>
      </x:c>
      <x:c r="D147" s="62" t="str">
        <x:v>业务支持费-其他</x:v>
      </x:c>
      <x:c r="E147" s="62" t="n">
        <x:v>12</x:v>
      </x:c>
      <x:c r="F147" s="62" t="n">
        <x:v>12</x:v>
      </x:c>
      <x:c r="G147" s="62" t="str">
        <x:v>DOC1145</x:v>
      </x:c>
      <x:c r="H147" s="62" t="n">
        <x:v>10</x:v>
      </x:c>
      <x:c r="I147" s="74" t="n">
        <x:v>45657</x:v>
      </x:c>
      <x:c r="J147" s="74" t="n">
        <x:v>45657</x:v>
      </x:c>
      <x:c r="K147" s="74" t="n">
        <x:v>45657</x:v>
      </x:c>
      <x:c r="L147" s="74" t="n">
        <x:v>45657</x:v>
      </x:c>
      <x:c r="M147" s="77" t="n">
        <x:v>6.104</x:v>
      </x:c>
      <x:c r="N147" s="77"/>
      <x:c r="O147" s="78"/>
      <x:c r="P147" s="79" t="n">
        <x:f>M147</x:f>
        <x:v>6.104</x:v>
      </x:c>
      <x:c r="Q147" s="79" t="n">
        <x:f>IF(D147="营业收入",-P147,P147)</x:f>
        <x:v>6.104</x:v>
      </x:c>
      <x:c r="R147" s="62" t="str">
        <x:v>CNY</x:v>
      </x:c>
      <x:c r="S147" s="62" t="str">
        <x:v>万元</x:v>
      </x:c>
      <x:c r="T147" s="62" t="str">
        <x:v>费用不含税</x:v>
      </x:c>
      <x:c r="U147" s="62" t="str">
        <x:v>安全运行部</x:v>
      </x:c>
      <x:c r="V147" s="62" t="str">
        <x:v>计提安全评估_2024年末预提</x:v>
      </x:c>
      <x:c r="W147" s="62" t="str">
        <x:v>计提安全评估_2024年末预提</x:v>
      </x:c>
      <x:c r="X147" s="62" t="str">
        <x:v>国电智深</x:v>
      </x:c>
      <x:c r="Y147" s="62" t="str">
        <x:v>国电智深</x:v>
      </x:c>
      <x:c r="Z147" s="62" t="str">
        <x:v>17</x:v>
      </x:c>
      <x:c r="AA147" s="62" t="str">
        <x:v>安全评估</x:v>
      </x:c>
      <x:c r="AB147" s="62" t="str">
        <x:v>PRJ-AQ-安全-2024-001</x:v>
      </x:c>
      <x:c r="AC147" s="74" t="n">
        <x:v>45657</x:v>
      </x:c>
      <x:c r="AD147" s="71" t="str">
        <x:v>源记录保留</x:v>
      </x:c>
      <x:c r="AE147" s="71" t="str">
        <x:v>2024年实际执行.xlsx</x:v>
      </x:c>
      <x:c r="AF147" s="71" t="str">
        <x:v>Sheet</x:v>
      </x:c>
      <x:c r="AG147" s="71" t="n">
        <x:v>147</x:v>
      </x:c>
      <x:c r="AH147" s="71" t="str">
        <x:v>2024年实际执行.xlsx/Sheet!147:147</x:v>
      </x:c>
      <x:c r="AI147" s="62" t="str">
        <x:f>IF(F147=MONTH(L147),"OK","FAIL")</x:f>
        <x:v>OK</x:v>
      </x:c>
      <x:c r="AJ147" s="62" t="str">
        <x:f>IF(J147&lt;=L147,"OK","FAIL")</x:f>
        <x:v>OK</x:v>
      </x:c>
      <x:c r="AK147" s="62" t="str">
        <x:f>IF(D147&lt;&gt;"营业收入","OK",IF(AND(P147&lt;0,Q147&gt;0),"OK","FAIL"))</x:f>
        <x:v>OK</x:v>
      </x:c>
      <x:c r="AL147" s="62" t="str">
        <x:f>IF(COUNTIF($A$2:$A$204,A147)=1,"OK","FAIL")</x:f>
        <x:v>OK</x:v>
      </x:c>
    </x:row>
    <x:row r="148">
      <x:c r="A148" s="62" t="str">
        <x:v>DEMO01|2024|DOC1146|10</x:v>
      </x:c>
      <x:c r="B148" s="62" t="str">
        <x:v>SOURCE</x:v>
      </x:c>
      <x:c r="C148" s="62" t="str">
        <x:v>营业收入</x:v>
      </x:c>
      <x:c r="D148" s="62" t="str">
        <x:v>营业收入</x:v>
      </x:c>
      <x:c r="E148" s="62" t="n">
        <x:v>6</x:v>
      </x:c>
      <x:c r="F148" s="62" t="n">
        <x:v>6</x:v>
      </x:c>
      <x:c r="G148" s="62" t="str">
        <x:v>DOC1146</x:v>
      </x:c>
      <x:c r="H148" s="62" t="n">
        <x:v>10</x:v>
      </x:c>
      <x:c r="I148" s="74" t="n">
        <x:v>45458</x:v>
      </x:c>
      <x:c r="J148" s="74" t="n">
        <x:v>45458</x:v>
      </x:c>
      <x:c r="K148" s="74" t="n">
        <x:v>45458</x:v>
      </x:c>
      <x:c r="L148" s="74" t="n">
        <x:v>45458</x:v>
      </x:c>
      <x:c r="M148" s="77" t="n">
        <x:v>-20</x:v>
      </x:c>
      <x:c r="N148" s="77"/>
      <x:c r="O148" s="78"/>
      <x:c r="P148" s="79" t="n">
        <x:f>M148</x:f>
        <x:v>-20</x:v>
      </x:c>
      <x:c r="Q148" s="79" t="n">
        <x:f>IF(D148="营业收入",-P148,P148)</x:f>
        <x:v>20</x:v>
      </x:c>
      <x:c r="R148" s="62" t="str">
        <x:v>CNY</x:v>
      </x:c>
      <x:c r="S148" s="62" t="str">
        <x:v>万元</x:v>
      </x:c>
      <x:c r="T148" s="62" t="str">
        <x:v>收益；源负号</x:v>
      </x:c>
      <x:c r="U148" s="62" t="str">
        <x:v>安全运行部</x:v>
      </x:c>
      <x:c r="V148" s="62" t="str">
        <x:v>安全评估收入确认</x:v>
      </x:c>
      <x:c r="W148" s="62" t="str">
        <x:v>安全评估收入确认</x:v>
      </x:c>
      <x:c r="X148" s="62" t="str">
        <x:v>17</x:v>
      </x:c>
      <x:c r="Y148" s="62" t="str">
        <x:v>17</x:v>
      </x:c>
      <x:c r="Z148" s="62" t="str">
        <x:v>17</x:v>
      </x:c>
      <x:c r="AA148" s="62" t="str">
        <x:v>安全评估</x:v>
      </x:c>
      <x:c r="AB148" s="62" t="str">
        <x:v>PRJ-AQ-安全-2025-002</x:v>
      </x:c>
      <x:c r="AC148" s="74" t="n">
        <x:v>45657</x:v>
      </x:c>
      <x:c r="AD148" s="71" t="str">
        <x:v>源记录保留</x:v>
      </x:c>
      <x:c r="AE148" s="71" t="str">
        <x:v>2024年实际执行.xlsx</x:v>
      </x:c>
      <x:c r="AF148" s="71" t="str">
        <x:v>Sheet</x:v>
      </x:c>
      <x:c r="AG148" s="71" t="n">
        <x:v>148</x:v>
      </x:c>
      <x:c r="AH148" s="71" t="str">
        <x:v>2024年实际执行.xlsx/Sheet!148:148</x:v>
      </x:c>
      <x:c r="AI148" s="62" t="str">
        <x:f>IF(F148=MONTH(L148),"OK","FAIL")</x:f>
        <x:v>OK</x:v>
      </x:c>
      <x:c r="AJ148" s="62" t="str">
        <x:f>IF(J148&lt;=L148,"OK","FAIL")</x:f>
        <x:v>OK</x:v>
      </x:c>
      <x:c r="AK148" s="62" t="str">
        <x:f>IF(D148&lt;&gt;"营业收入","OK",IF(AND(P148&lt;0,Q148&gt;0),"OK","FAIL"))</x:f>
        <x:v>OK</x:v>
      </x:c>
      <x:c r="AL148" s="62" t="str">
        <x:f>IF(COUNTIF($A$2:$A$204,A148)=1,"OK","FAIL")</x:f>
        <x:v>OK</x:v>
      </x:c>
    </x:row>
    <x:row r="149">
      <x:c r="A149" s="62" t="str">
        <x:v>DEMO01|2024|DOC1147|10</x:v>
      </x:c>
      <x:c r="B149" s="62" t="str">
        <x:v>SOURCE</x:v>
      </x:c>
      <x:c r="C149" s="62" t="str">
        <x:v>会议费</x:v>
      </x:c>
      <x:c r="D149" s="62" t="str">
        <x:v>会议费</x:v>
      </x:c>
      <x:c r="E149" s="62" t="n">
        <x:v>3</x:v>
      </x:c>
      <x:c r="F149" s="62" t="n">
        <x:v>3</x:v>
      </x:c>
      <x:c r="G149" s="62" t="str">
        <x:v>DOC1147</x:v>
      </x:c>
      <x:c r="H149" s="62" t="n">
        <x:v>10</x:v>
      </x:c>
      <x:c r="I149" s="74" t="n">
        <x:v>45366</x:v>
      </x:c>
      <x:c r="J149" s="74" t="n">
        <x:v>45366</x:v>
      </x:c>
      <x:c r="K149" s="74" t="n">
        <x:v>45366</x:v>
      </x:c>
      <x:c r="L149" s="74" t="n">
        <x:v>45366</x:v>
      </x:c>
      <x:c r="M149" s="77" t="n">
        <x:v>0.414166666666667</x:v>
      </x:c>
      <x:c r="N149" s="77"/>
      <x:c r="O149" s="78"/>
      <x:c r="P149" s="79" t="n">
        <x:f>M149</x:f>
        <x:v>0.414166666666667</x:v>
      </x:c>
      <x:c r="Q149" s="79" t="n">
        <x:f>IF(D149="营业收入",-P149,P149)</x:f>
        <x:v>0.414166666666667</x:v>
      </x:c>
      <x:c r="R149" s="62" t="str">
        <x:v>CNY</x:v>
      </x:c>
      <x:c r="S149" s="62" t="str">
        <x:v>万元</x:v>
      </x:c>
      <x:c r="T149" s="62" t="str">
        <x:v>费用不含税</x:v>
      </x:c>
      <x:c r="U149" s="62" t="str">
        <x:v>安全运行部</x:v>
      </x:c>
      <x:c r="V149" s="62" t="str">
        <x:v>安全评估项目阶段评审会</x:v>
      </x:c>
      <x:c r="W149" s="62" t="str">
        <x:v>安全评估项目阶段评审会</x:v>
      </x:c>
      <x:c r="X149" s="62" t="str">
        <x:v>中核运维</x:v>
      </x:c>
      <x:c r="Y149" s="62" t="str">
        <x:v>中核运维</x:v>
      </x:c>
      <x:c r="Z149" s="62" t="str">
        <x:v>17</x:v>
      </x:c>
      <x:c r="AA149" s="62" t="str">
        <x:v>安全评估</x:v>
      </x:c>
      <x:c r="AB149" s="62" t="str">
        <x:v>PRJ-AQ-安全-2025-002</x:v>
      </x:c>
      <x:c r="AC149" s="74" t="n">
        <x:v>45657</x:v>
      </x:c>
      <x:c r="AD149" s="71" t="str">
        <x:v>源记录保留</x:v>
      </x:c>
      <x:c r="AE149" s="71" t="str">
        <x:v>2024年实际执行.xlsx</x:v>
      </x:c>
      <x:c r="AF149" s="71" t="str">
        <x:v>Sheet</x:v>
      </x:c>
      <x:c r="AG149" s="71" t="n">
        <x:v>149</x:v>
      </x:c>
      <x:c r="AH149" s="71" t="str">
        <x:v>2024年实际执行.xlsx/Sheet!149:149</x:v>
      </x:c>
      <x:c r="AI149" s="62" t="str">
        <x:f>IF(F149=MONTH(L149),"OK","FAIL")</x:f>
        <x:v>OK</x:v>
      </x:c>
      <x:c r="AJ149" s="62" t="str">
        <x:f>IF(J149&lt;=L149,"OK","FAIL")</x:f>
        <x:v>OK</x:v>
      </x:c>
      <x:c r="AK149" s="62" t="str">
        <x:f>IF(D149&lt;&gt;"营业收入","OK",IF(AND(P149&lt;0,Q149&gt;0),"OK","FAIL"))</x:f>
        <x:v>OK</x:v>
      </x:c>
      <x:c r="AL149" s="62" t="str">
        <x:f>IF(COUNTIF($A$2:$A$204,A149)=1,"OK","FAIL")</x:f>
        <x:v>OK</x:v>
      </x:c>
    </x:row>
    <x:row r="150">
      <x:c r="A150" s="62" t="str">
        <x:v>DEMO01|2024|DOC1148|10</x:v>
      </x:c>
      <x:c r="B150" s="62" t="str">
        <x:v>SOURCE</x:v>
      </x:c>
      <x:c r="C150" s="62" t="str">
        <x:v>业务支持费</x:v>
      </x:c>
      <x:c r="D150" s="62" t="str">
        <x:v>业务支持费-技术配置</x:v>
      </x:c>
      <x:c r="E150" s="62" t="n">
        <x:v>8</x:v>
      </x:c>
      <x:c r="F150" s="62" t="n">
        <x:v>8</x:v>
      </x:c>
      <x:c r="G150" s="62" t="str">
        <x:v>DOC1148</x:v>
      </x:c>
      <x:c r="H150" s="62" t="n">
        <x:v>10</x:v>
      </x:c>
      <x:c r="I150" s="74" t="n">
        <x:v>45519</x:v>
      </x:c>
      <x:c r="J150" s="74" t="n">
        <x:v>45519</x:v>
      </x:c>
      <x:c r="K150" s="74" t="n">
        <x:v>45519</x:v>
      </x:c>
      <x:c r="L150" s="74" t="n">
        <x:v>45519</x:v>
      </x:c>
      <x:c r="M150" s="77" t="n">
        <x:v>16.5666666666667</x:v>
      </x:c>
      <x:c r="N150" s="77"/>
      <x:c r="O150" s="78"/>
      <x:c r="P150" s="79" t="n">
        <x:f>M150</x:f>
        <x:v>16.5666666666667</x:v>
      </x:c>
      <x:c r="Q150" s="79" t="n">
        <x:f>IF(D150="营业收入",-P150,P150)</x:f>
        <x:v>16.5666666666667</x:v>
      </x:c>
      <x:c r="R150" s="62" t="str">
        <x:v>CNY</x:v>
      </x:c>
      <x:c r="S150" s="62" t="str">
        <x:v>万元</x:v>
      </x:c>
      <x:c r="T150" s="62" t="str">
        <x:v>费用不含税</x:v>
      </x:c>
      <x:c r="U150" s="62" t="str">
        <x:v>安全运行部</x:v>
      </x:c>
      <x:c r="V150" s="62" t="str">
        <x:v>安全评估技术配置_前期阶段</x:v>
      </x:c>
      <x:c r="W150" s="62" t="str">
        <x:v>安全评估技术配置_前期阶段</x:v>
      </x:c>
      <x:c r="X150" s="62" t="str">
        <x:v>中核运维</x:v>
      </x:c>
      <x:c r="Y150" s="62" t="str">
        <x:v>中核运维</x:v>
      </x:c>
      <x:c r="Z150" s="62" t="str">
        <x:v>17</x:v>
      </x:c>
      <x:c r="AA150" s="62" t="str">
        <x:v>安全评估</x:v>
      </x:c>
      <x:c r="AB150" s="62" t="str">
        <x:v>PRJ-AQ-安全-2025-002</x:v>
      </x:c>
      <x:c r="AC150" s="74" t="n">
        <x:v>45657</x:v>
      </x:c>
      <x:c r="AD150" s="71" t="str">
        <x:v>源记录保留</x:v>
      </x:c>
      <x:c r="AE150" s="71" t="str">
        <x:v>2024年实际执行.xlsx</x:v>
      </x:c>
      <x:c r="AF150" s="71" t="str">
        <x:v>Sheet</x:v>
      </x:c>
      <x:c r="AG150" s="71" t="n">
        <x:v>150</x:v>
      </x:c>
      <x:c r="AH150" s="71" t="str">
        <x:v>2024年实际执行.xlsx/Sheet!150:150</x:v>
      </x:c>
      <x:c r="AI150" s="62" t="str">
        <x:f>IF(F150=MONTH(L150),"OK","FAIL")</x:f>
        <x:v>OK</x:v>
      </x:c>
      <x:c r="AJ150" s="62" t="str">
        <x:f>IF(J150&lt;=L150,"OK","FAIL")</x:f>
        <x:v>OK</x:v>
      </x:c>
      <x:c r="AK150" s="62" t="str">
        <x:f>IF(D150&lt;&gt;"营业收入","OK",IF(AND(P150&lt;0,Q150&gt;0),"OK","FAIL"))</x:f>
        <x:v>OK</x:v>
      </x:c>
      <x:c r="AL150" s="62" t="str">
        <x:f>IF(COUNTIF($A$2:$A$204,A150)=1,"OK","FAIL")</x:f>
        <x:v>OK</x:v>
      </x:c>
    </x:row>
    <x:row r="151">
      <x:c r="A151" s="62" t="str">
        <x:v>DEMO01|2024|DOC1149|10</x:v>
      </x:c>
      <x:c r="B151" s="62" t="str">
        <x:v>SOURCE</x:v>
      </x:c>
      <x:c r="C151" s="62" t="str">
        <x:v>生产物料费</x:v>
      </x:c>
      <x:c r="D151" s="62" t="str">
        <x:v>生产物料费</x:v>
      </x:c>
      <x:c r="E151" s="62" t="n">
        <x:v>7</x:v>
      </x:c>
      <x:c r="F151" s="62" t="n">
        <x:v>7</x:v>
      </x:c>
      <x:c r="G151" s="62" t="str">
        <x:v>DOC1149</x:v>
      </x:c>
      <x:c r="H151" s="62" t="n">
        <x:v>10</x:v>
      </x:c>
      <x:c r="I151" s="74" t="n">
        <x:v>45488</x:v>
      </x:c>
      <x:c r="J151" s="74" t="n">
        <x:v>45488</x:v>
      </x:c>
      <x:c r="K151" s="74" t="n">
        <x:v>45488</x:v>
      </x:c>
      <x:c r="L151" s="74" t="n">
        <x:v>45488</x:v>
      </x:c>
      <x:c r="M151" s="77" t="n">
        <x:v>6.2125</x:v>
      </x:c>
      <x:c r="N151" s="77"/>
      <x:c r="O151" s="78"/>
      <x:c r="P151" s="79" t="n">
        <x:f>M151</x:f>
        <x:v>6.2125</x:v>
      </x:c>
      <x:c r="Q151" s="79" t="n">
        <x:f>IF(D151="营业收入",-P151,P151)</x:f>
        <x:v>6.2125</x:v>
      </x:c>
      <x:c r="R151" s="62" t="str">
        <x:v>CNY</x:v>
      </x:c>
      <x:c r="S151" s="62" t="str">
        <x:v>万元</x:v>
      </x:c>
      <x:c r="T151" s="62" t="str">
        <x:v>费用不含税</x:v>
      </x:c>
      <x:c r="U151" s="62" t="str">
        <x:v>安全运行部</x:v>
      </x:c>
      <x:c r="V151" s="62" t="str">
        <x:v>安全评估现场物料采购</x:v>
      </x:c>
      <x:c r="W151" s="62" t="str">
        <x:v>安全评估现场物料采购</x:v>
      </x:c>
      <x:c r="X151" s="62" t="str">
        <x:v>中核运维</x:v>
      </x:c>
      <x:c r="Y151" s="62" t="str">
        <x:v>中核运维</x:v>
      </x:c>
      <x:c r="Z151" s="62" t="str">
        <x:v>17</x:v>
      </x:c>
      <x:c r="AA151" s="62" t="str">
        <x:v>安全评估</x:v>
      </x:c>
      <x:c r="AB151" s="62" t="str">
        <x:v>PRJ-AQ-安全-2025-002</x:v>
      </x:c>
      <x:c r="AC151" s="74" t="n">
        <x:v>45657</x:v>
      </x:c>
      <x:c r="AD151" s="71" t="str">
        <x:v>源记录保留</x:v>
      </x:c>
      <x:c r="AE151" s="71" t="str">
        <x:v>2024年实际执行.xlsx</x:v>
      </x:c>
      <x:c r="AF151" s="71" t="str">
        <x:v>Sheet</x:v>
      </x:c>
      <x:c r="AG151" s="71" t="n">
        <x:v>151</x:v>
      </x:c>
      <x:c r="AH151" s="71" t="str">
        <x:v>2024年实际执行.xlsx/Sheet!151:151</x:v>
      </x:c>
      <x:c r="AI151" s="62" t="str">
        <x:f>IF(F151=MONTH(L151),"OK","FAIL")</x:f>
        <x:v>OK</x:v>
      </x:c>
      <x:c r="AJ151" s="62" t="str">
        <x:f>IF(J151&lt;=L151,"OK","FAIL")</x:f>
        <x:v>OK</x:v>
      </x:c>
      <x:c r="AK151" s="62" t="str">
        <x:f>IF(D151&lt;&gt;"营业收入","OK",IF(AND(P151&lt;0,Q151&gt;0),"OK","FAIL"))</x:f>
        <x:v>OK</x:v>
      </x:c>
      <x:c r="AL151" s="62" t="str">
        <x:f>IF(COUNTIF($A$2:$A$204,A151)=1,"OK","FAIL")</x:f>
        <x:v>OK</x:v>
      </x:c>
    </x:row>
    <x:row r="152">
      <x:c r="A152" s="62" t="str">
        <x:v>DEMO01|2024|DOC1150|10</x:v>
      </x:c>
      <x:c r="B152" s="62" t="str">
        <x:v>SOURCE</x:v>
      </x:c>
      <x:c r="C152" s="62" t="str">
        <x:v>办公费</x:v>
      </x:c>
      <x:c r="D152" s="62" t="str">
        <x:v>办公费</x:v>
      </x:c>
      <x:c r="E152" s="62" t="n">
        <x:v>5</x:v>
      </x:c>
      <x:c r="F152" s="62" t="n">
        <x:v>5</x:v>
      </x:c>
      <x:c r="G152" s="62" t="str">
        <x:v>DOC1150</x:v>
      </x:c>
      <x:c r="H152" s="62" t="n">
        <x:v>10</x:v>
      </x:c>
      <x:c r="I152" s="74" t="n">
        <x:v>45427</x:v>
      </x:c>
      <x:c r="J152" s="74" t="n">
        <x:v>45427</x:v>
      </x:c>
      <x:c r="K152" s="74" t="n">
        <x:v>45427</x:v>
      </x:c>
      <x:c r="L152" s="74" t="n">
        <x:v>45427</x:v>
      </x:c>
      <x:c r="M152" s="77" t="n">
        <x:v>1.2425</x:v>
      </x:c>
      <x:c r="N152" s="77"/>
      <x:c r="O152" s="78"/>
      <x:c r="P152" s="79" t="n">
        <x:f>M152</x:f>
        <x:v>1.2425</x:v>
      </x:c>
      <x:c r="Q152" s="79" t="n">
        <x:f>IF(D152="营业收入",-P152,P152)</x:f>
        <x:v>1.2425</x:v>
      </x:c>
      <x:c r="R152" s="62" t="str">
        <x:v>CNY</x:v>
      </x:c>
      <x:c r="S152" s="62" t="str">
        <x:v>万元</x:v>
      </x:c>
      <x:c r="T152" s="62" t="str">
        <x:v>费用不含税</x:v>
      </x:c>
      <x:c r="U152" s="62" t="str">
        <x:v>安全运行部</x:v>
      </x:c>
      <x:c r="V152" s="62" t="str">
        <x:v>安全评估日常办公</x:v>
      </x:c>
      <x:c r="W152" s="62" t="str">
        <x:v>安全评估日常办公</x:v>
      </x:c>
      <x:c r="X152" s="62" t="str">
        <x:v>中核运维</x:v>
      </x:c>
      <x:c r="Y152" s="62" t="str">
        <x:v>中核运维</x:v>
      </x:c>
      <x:c r="Z152" s="62" t="str">
        <x:v>17</x:v>
      </x:c>
      <x:c r="AA152" s="62" t="str">
        <x:v>安全评估</x:v>
      </x:c>
      <x:c r="AB152" s="62" t="str">
        <x:v>PRJ-AQ-安全-2025-002</x:v>
      </x:c>
      <x:c r="AC152" s="74" t="n">
        <x:v>45657</x:v>
      </x:c>
      <x:c r="AD152" s="71" t="str">
        <x:v>源记录保留</x:v>
      </x:c>
      <x:c r="AE152" s="71" t="str">
        <x:v>2024年实际执行.xlsx</x:v>
      </x:c>
      <x:c r="AF152" s="71" t="str">
        <x:v>Sheet</x:v>
      </x:c>
      <x:c r="AG152" s="71" t="n">
        <x:v>152</x:v>
      </x:c>
      <x:c r="AH152" s="71" t="str">
        <x:v>2024年实际执行.xlsx/Sheet!152:152</x:v>
      </x:c>
      <x:c r="AI152" s="62" t="str">
        <x:f>IF(F152=MONTH(L152),"OK","FAIL")</x:f>
        <x:v>OK</x:v>
      </x:c>
      <x:c r="AJ152" s="62" t="str">
        <x:f>IF(J152&lt;=L152,"OK","FAIL")</x:f>
        <x:v>OK</x:v>
      </x:c>
      <x:c r="AK152" s="62" t="str">
        <x:f>IF(D152&lt;&gt;"营业收入","OK",IF(AND(P152&lt;0,Q152&gt;0),"OK","FAIL"))</x:f>
        <x:v>OK</x:v>
      </x:c>
      <x:c r="AL152" s="62" t="str">
        <x:f>IF(COUNTIF($A$2:$A$204,A152)=1,"OK","FAIL")</x:f>
        <x:v>OK</x:v>
      </x:c>
    </x:row>
    <x:row r="153">
      <x:c r="A153" s="62" t="str">
        <x:v>DEMO01|2024|DOC1151|10</x:v>
      </x:c>
      <x:c r="B153" s="62" t="str">
        <x:v>SOURCE</x:v>
      </x:c>
      <x:c r="C153" s="62" t="str">
        <x:v>人工成本</x:v>
      </x:c>
      <x:c r="D153" s="62" t="str">
        <x:v>人工成本</x:v>
      </x:c>
      <x:c r="E153" s="62" t="n">
        <x:v>6</x:v>
      </x:c>
      <x:c r="F153" s="62" t="n">
        <x:v>6</x:v>
      </x:c>
      <x:c r="G153" s="62" t="str">
        <x:v>DOC1151</x:v>
      </x:c>
      <x:c r="H153" s="62" t="n">
        <x:v>10</x:v>
      </x:c>
      <x:c r="I153" s="74" t="n">
        <x:v>45473</x:v>
      </x:c>
      <x:c r="J153" s="74" t="n">
        <x:v>45473</x:v>
      </x:c>
      <x:c r="K153" s="74" t="n">
        <x:v>45473</x:v>
      </x:c>
      <x:c r="L153" s="74" t="n">
        <x:v>45473</x:v>
      </x:c>
      <x:c r="M153" s="77" t="n">
        <x:v>6.8</x:v>
      </x:c>
      <x:c r="N153" s="77"/>
      <x:c r="O153" s="78"/>
      <x:c r="P153" s="79" t="n">
        <x:f>M153</x:f>
        <x:v>6.8</x:v>
      </x:c>
      <x:c r="Q153" s="79" t="n">
        <x:f>IF(D153="营业收入",-P153,P153)</x:f>
        <x:v>6.8</x:v>
      </x:c>
      <x:c r="R153" s="62" t="str">
        <x:v>CNY</x:v>
      </x:c>
      <x:c r="S153" s="62" t="str">
        <x:v>万元</x:v>
      </x:c>
      <x:c r="T153" s="62" t="str">
        <x:v>费用不含税</x:v>
      </x:c>
      <x:c r="U153" s="62" t="str">
        <x:v>安全运行部</x:v>
      </x:c>
      <x:c r="V153" s="62" t="str">
        <x:v>安全评估人工成本分摊</x:v>
      </x:c>
      <x:c r="W153" s="62" t="str">
        <x:v>安全评估人工成本分摊</x:v>
      </x:c>
      <x:c r="X153" s="62" t="str">
        <x:v>17</x:v>
      </x:c>
      <x:c r="Y153" s="62" t="str">
        <x:v>17</x:v>
      </x:c>
      <x:c r="Z153" s="62" t="str">
        <x:v>17</x:v>
      </x:c>
      <x:c r="AA153" s="62" t="str">
        <x:v>安全评估</x:v>
      </x:c>
      <x:c r="AB153" s="62" t="str">
        <x:v>PRJ-AQ-安全-2025-002</x:v>
      </x:c>
      <x:c r="AC153" s="74" t="n">
        <x:v>45657</x:v>
      </x:c>
      <x:c r="AD153" s="71" t="str">
        <x:v>源记录保留</x:v>
      </x:c>
      <x:c r="AE153" s="71" t="str">
        <x:v>2024年实际执行.xlsx</x:v>
      </x:c>
      <x:c r="AF153" s="71" t="str">
        <x:v>Sheet</x:v>
      </x:c>
      <x:c r="AG153" s="71" t="n">
        <x:v>153</x:v>
      </x:c>
      <x:c r="AH153" s="71" t="str">
        <x:v>2024年实际执行.xlsx/Sheet!153:153</x:v>
      </x:c>
      <x:c r="AI153" s="62" t="str">
        <x:f>IF(F153=MONTH(L153),"OK","FAIL")</x:f>
        <x:v>OK</x:v>
      </x:c>
      <x:c r="AJ153" s="62" t="str">
        <x:f>IF(J153&lt;=L153,"OK","FAIL")</x:f>
        <x:v>OK</x:v>
      </x:c>
      <x:c r="AK153" s="62" t="str">
        <x:f>IF(D153&lt;&gt;"营业收入","OK",IF(AND(P153&lt;0,Q153&gt;0),"OK","FAIL"))</x:f>
        <x:v>OK</x:v>
      </x:c>
      <x:c r="AL153" s="62" t="str">
        <x:f>IF(COUNTIF($A$2:$A$204,A153)=1,"OK","FAIL")</x:f>
        <x:v>OK</x:v>
      </x:c>
    </x:row>
    <x:row r="154">
      <x:c r="A154" s="62" t="str">
        <x:v>DEMO01|2024|DOC1152|10</x:v>
      </x:c>
      <x:c r="B154" s="62" t="str">
        <x:v>SOURCE</x:v>
      </x:c>
      <x:c r="C154" s="62" t="str">
        <x:v>折旧摊销</x:v>
      </x:c>
      <x:c r="D154" s="62" t="str">
        <x:v>折旧摊销</x:v>
      </x:c>
      <x:c r="E154" s="62" t="n">
        <x:v>12</x:v>
      </x:c>
      <x:c r="F154" s="62" t="n">
        <x:v>12</x:v>
      </x:c>
      <x:c r="G154" s="62" t="str">
        <x:v>DOC1152</x:v>
      </x:c>
      <x:c r="H154" s="62" t="n">
        <x:v>10</x:v>
      </x:c>
      <x:c r="I154" s="74" t="n">
        <x:v>45657</x:v>
      </x:c>
      <x:c r="J154" s="74" t="n">
        <x:v>45657</x:v>
      </x:c>
      <x:c r="K154" s="74" t="n">
        <x:v>45657</x:v>
      </x:c>
      <x:c r="L154" s="74" t="n">
        <x:v>45657</x:v>
      </x:c>
      <x:c r="M154" s="77" t="n">
        <x:v>2</x:v>
      </x:c>
      <x:c r="N154" s="77"/>
      <x:c r="O154" s="78"/>
      <x:c r="P154" s="79" t="n">
        <x:f>M154</x:f>
        <x:v>2</x:v>
      </x:c>
      <x:c r="Q154" s="79" t="n">
        <x:f>IF(D154="营业收入",-P154,P154)</x:f>
        <x:v>2</x:v>
      </x:c>
      <x:c r="R154" s="62" t="str">
        <x:v>CNY</x:v>
      </x:c>
      <x:c r="S154" s="62" t="str">
        <x:v>万元</x:v>
      </x:c>
      <x:c r="T154" s="62" t="str">
        <x:v>费用不含税</x:v>
      </x:c>
      <x:c r="U154" s="62" t="str">
        <x:v>安全运行部</x:v>
      </x:c>
      <x:c r="V154" s="62" t="str">
        <x:v>安全评估折旧摊销分摊</x:v>
      </x:c>
      <x:c r="W154" s="62" t="str">
        <x:v>安全评估折旧摊销分摊</x:v>
      </x:c>
      <x:c r="X154" s="62" t="str">
        <x:v>17</x:v>
      </x:c>
      <x:c r="Y154" s="62" t="str">
        <x:v>17</x:v>
      </x:c>
      <x:c r="Z154" s="62" t="str">
        <x:v>17</x:v>
      </x:c>
      <x:c r="AA154" s="62" t="str">
        <x:v>安全评估</x:v>
      </x:c>
      <x:c r="AB154" s="62" t="str">
        <x:v>PRJ-AQ-安全-2025-002</x:v>
      </x:c>
      <x:c r="AC154" s="74" t="n">
        <x:v>45657</x:v>
      </x:c>
      <x:c r="AD154" s="71" t="str">
        <x:v>源记录保留</x:v>
      </x:c>
      <x:c r="AE154" s="71" t="str">
        <x:v>2024年实际执行.xlsx</x:v>
      </x:c>
      <x:c r="AF154" s="71" t="str">
        <x:v>Sheet</x:v>
      </x:c>
      <x:c r="AG154" s="71" t="n">
        <x:v>154</x:v>
      </x:c>
      <x:c r="AH154" s="71" t="str">
        <x:v>2024年实际执行.xlsx/Sheet!154:154</x:v>
      </x:c>
      <x:c r="AI154" s="62" t="str">
        <x:f>IF(F154=MONTH(L154),"OK","FAIL")</x:f>
        <x:v>OK</x:v>
      </x:c>
      <x:c r="AJ154" s="62" t="str">
        <x:f>IF(J154&lt;=L154,"OK","FAIL")</x:f>
        <x:v>OK</x:v>
      </x:c>
      <x:c r="AK154" s="62" t="str">
        <x:f>IF(D154&lt;&gt;"营业收入","OK",IF(AND(P154&lt;0,Q154&gt;0),"OK","FAIL"))</x:f>
        <x:v>OK</x:v>
      </x:c>
      <x:c r="AL154" s="62" t="str">
        <x:f>IF(COUNTIF($A$2:$A$204,A154)=1,"OK","FAIL")</x:f>
        <x:v>OK</x:v>
      </x:c>
    </x:row>
    <x:row r="155">
      <x:c r="A155" s="62" t="str">
        <x:v>DEMO01|2024|DOC1153|10</x:v>
      </x:c>
      <x:c r="B155" s="62" t="str">
        <x:v>SOURCE</x:v>
      </x:c>
      <x:c r="C155" s="62" t="str">
        <x:v>业务支持费</x:v>
      </x:c>
      <x:c r="D155" s="62" t="str">
        <x:v>业务支持费-其他</x:v>
      </x:c>
      <x:c r="E155" s="62" t="n">
        <x:v>12</x:v>
      </x:c>
      <x:c r="F155" s="62" t="n">
        <x:v>12</x:v>
      </x:c>
      <x:c r="G155" s="62" t="str">
        <x:v>DOC1153</x:v>
      </x:c>
      <x:c r="H155" s="62" t="n">
        <x:v>10</x:v>
      </x:c>
      <x:c r="I155" s="74" t="n">
        <x:v>45657</x:v>
      </x:c>
      <x:c r="J155" s="74" t="n">
        <x:v>45657</x:v>
      </x:c>
      <x:c r="K155" s="74" t="n">
        <x:v>45657</x:v>
      </x:c>
      <x:c r="L155" s="74" t="n">
        <x:v>45657</x:v>
      </x:c>
      <x:c r="M155" s="77" t="n">
        <x:v>6.2125</x:v>
      </x:c>
      <x:c r="N155" s="77"/>
      <x:c r="O155" s="78"/>
      <x:c r="P155" s="79" t="n">
        <x:f>M155</x:f>
        <x:v>6.2125</x:v>
      </x:c>
      <x:c r="Q155" s="79" t="n">
        <x:f>IF(D155="营业收入",-P155,P155)</x:f>
        <x:v>6.2125</x:v>
      </x:c>
      <x:c r="R155" s="62" t="str">
        <x:v>CNY</x:v>
      </x:c>
      <x:c r="S155" s="62" t="str">
        <x:v>万元</x:v>
      </x:c>
      <x:c r="T155" s="62" t="str">
        <x:v>费用不含税</x:v>
      </x:c>
      <x:c r="U155" s="62" t="str">
        <x:v>安全运行部</x:v>
      </x:c>
      <x:c r="V155" s="62" t="str">
        <x:v>计提安全评估_2024年末预提</x:v>
      </x:c>
      <x:c r="W155" s="62" t="str">
        <x:v>计提安全评估_2024年末预提</x:v>
      </x:c>
      <x:c r="X155" s="62" t="str">
        <x:v>中核运维</x:v>
      </x:c>
      <x:c r="Y155" s="62" t="str">
        <x:v>中核运维</x:v>
      </x:c>
      <x:c r="Z155" s="62" t="str">
        <x:v>17</x:v>
      </x:c>
      <x:c r="AA155" s="62" t="str">
        <x:v>安全评估</x:v>
      </x:c>
      <x:c r="AB155" s="62" t="str">
        <x:v>PRJ-AQ-安全-2025-002</x:v>
      </x:c>
      <x:c r="AC155" s="74" t="n">
        <x:v>45657</x:v>
      </x:c>
      <x:c r="AD155" s="71" t="str">
        <x:v>源记录保留</x:v>
      </x:c>
      <x:c r="AE155" s="71" t="str">
        <x:v>2024年实际执行.xlsx</x:v>
      </x:c>
      <x:c r="AF155" s="71" t="str">
        <x:v>Sheet</x:v>
      </x:c>
      <x:c r="AG155" s="71" t="n">
        <x:v>155</x:v>
      </x:c>
      <x:c r="AH155" s="71" t="str">
        <x:v>2024年实际执行.xlsx/Sheet!155:155</x:v>
      </x:c>
      <x:c r="AI155" s="62" t="str">
        <x:f>IF(F155=MONTH(L155),"OK","FAIL")</x:f>
        <x:v>OK</x:v>
      </x:c>
      <x:c r="AJ155" s="62" t="str">
        <x:f>IF(J155&lt;=L155,"OK","FAIL")</x:f>
        <x:v>OK</x:v>
      </x:c>
      <x:c r="AK155" s="62" t="str">
        <x:f>IF(D155&lt;&gt;"营业收入","OK",IF(AND(P155&lt;0,Q155&gt;0),"OK","FAIL"))</x:f>
        <x:v>OK</x:v>
      </x:c>
      <x:c r="AL155" s="62" t="str">
        <x:f>IF(COUNTIF($A$2:$A$204,A155)=1,"OK","FAIL")</x:f>
        <x:v>OK</x:v>
      </x:c>
    </x:row>
    <x:row r="156">
      <x:c r="A156" s="62" t="str">
        <x:v>DEMO01|2024|DOC1154|10</x:v>
      </x:c>
      <x:c r="B156" s="62" t="str">
        <x:v>SOURCE</x:v>
      </x:c>
      <x:c r="C156" s="62" t="str">
        <x:v>营业收入</x:v>
      </x:c>
      <x:c r="D156" s="62" t="str">
        <x:v>营业收入</x:v>
      </x:c>
      <x:c r="E156" s="62" t="n">
        <x:v>6</x:v>
      </x:c>
      <x:c r="F156" s="62" t="n">
        <x:v>6</x:v>
      </x:c>
      <x:c r="G156" s="62" t="str">
        <x:v>DOC1154</x:v>
      </x:c>
      <x:c r="H156" s="62" t="n">
        <x:v>10</x:v>
      </x:c>
      <x:c r="I156" s="74" t="n">
        <x:v>45458</x:v>
      </x:c>
      <x:c r="J156" s="74" t="n">
        <x:v>45458</x:v>
      </x:c>
      <x:c r="K156" s="74" t="n">
        <x:v>45458</x:v>
      </x:c>
      <x:c r="L156" s="74" t="n">
        <x:v>45458</x:v>
      </x:c>
      <x:c r="M156" s="77" t="n">
        <x:v>-20</x:v>
      </x:c>
      <x:c r="N156" s="77"/>
      <x:c r="O156" s="78"/>
      <x:c r="P156" s="79" t="n">
        <x:f>M156</x:f>
        <x:v>-20</x:v>
      </x:c>
      <x:c r="Q156" s="79" t="n">
        <x:f>IF(D156="营业收入",-P156,P156)</x:f>
        <x:v>20</x:v>
      </x:c>
      <x:c r="R156" s="62" t="str">
        <x:v>CNY</x:v>
      </x:c>
      <x:c r="S156" s="62" t="str">
        <x:v>万元</x:v>
      </x:c>
      <x:c r="T156" s="62" t="str">
        <x:v>收益；源负号</x:v>
      </x:c>
      <x:c r="U156" s="62" t="str">
        <x:v>安全运行部</x:v>
      </x:c>
      <x:c r="V156" s="62" t="str">
        <x:v>安全评估收入确认</x:v>
      </x:c>
      <x:c r="W156" s="62" t="str">
        <x:v>安全评估收入确认</x:v>
      </x:c>
      <x:c r="X156" s="62" t="str">
        <x:v>17</x:v>
      </x:c>
      <x:c r="Y156" s="62" t="str">
        <x:v>17</x:v>
      </x:c>
      <x:c r="Z156" s="62" t="str">
        <x:v>17</x:v>
      </x:c>
      <x:c r="AA156" s="62" t="str">
        <x:v>安全评估</x:v>
      </x:c>
      <x:c r="AB156" s="62" t="str">
        <x:v>PRJ-AQ-安全-2025-003</x:v>
      </x:c>
      <x:c r="AC156" s="74" t="n">
        <x:v>45657</x:v>
      </x:c>
      <x:c r="AD156" s="71" t="str">
        <x:v>源记录保留</x:v>
      </x:c>
      <x:c r="AE156" s="71" t="str">
        <x:v>2024年实际执行.xlsx</x:v>
      </x:c>
      <x:c r="AF156" s="71" t="str">
        <x:v>Sheet</x:v>
      </x:c>
      <x:c r="AG156" s="71" t="n">
        <x:v>156</x:v>
      </x:c>
      <x:c r="AH156" s="71" t="str">
        <x:v>2024年实际执行.xlsx/Sheet!156:156</x:v>
      </x:c>
      <x:c r="AI156" s="62" t="str">
        <x:f>IF(F156=MONTH(L156),"OK","FAIL")</x:f>
        <x:v>OK</x:v>
      </x:c>
      <x:c r="AJ156" s="62" t="str">
        <x:f>IF(J156&lt;=L156,"OK","FAIL")</x:f>
        <x:v>OK</x:v>
      </x:c>
      <x:c r="AK156" s="62" t="str">
        <x:f>IF(D156&lt;&gt;"营业收入","OK",IF(AND(P156&lt;0,Q156&gt;0),"OK","FAIL"))</x:f>
        <x:v>OK</x:v>
      </x:c>
      <x:c r="AL156" s="62" t="str">
        <x:f>IF(COUNTIF($A$2:$A$204,A156)=1,"OK","FAIL")</x:f>
        <x:v>OK</x:v>
      </x:c>
    </x:row>
    <x:row r="157">
      <x:c r="A157" s="62" t="str">
        <x:v>DEMO01|2024|DOC1155|10</x:v>
      </x:c>
      <x:c r="B157" s="62" t="str">
        <x:v>SOURCE</x:v>
      </x:c>
      <x:c r="C157" s="62" t="str">
        <x:v>会议费</x:v>
      </x:c>
      <x:c r="D157" s="62" t="str">
        <x:v>会议费</x:v>
      </x:c>
      <x:c r="E157" s="62" t="n">
        <x:v>12</x:v>
      </x:c>
      <x:c r="F157" s="62" t="n">
        <x:v>12</x:v>
      </x:c>
      <x:c r="G157" s="62" t="str">
        <x:v>DOC1155</x:v>
      </x:c>
      <x:c r="H157" s="62" t="n">
        <x:v>10</x:v>
      </x:c>
      <x:c r="I157" s="74" t="n">
        <x:v>45641</x:v>
      </x:c>
      <x:c r="J157" s="74" t="n">
        <x:v>45641</x:v>
      </x:c>
      <x:c r="K157" s="74" t="n">
        <x:v>45641</x:v>
      </x:c>
      <x:c r="L157" s="74" t="n">
        <x:v>45641</x:v>
      </x:c>
      <x:c r="M157" s="77" t="n">
        <x:v>0.461766666666667</x:v>
      </x:c>
      <x:c r="N157" s="77"/>
      <x:c r="O157" s="78"/>
      <x:c r="P157" s="79" t="n">
        <x:f>M157</x:f>
        <x:v>0.461766666666667</x:v>
      </x:c>
      <x:c r="Q157" s="79" t="n">
        <x:f>IF(D157="营业收入",-P157,P157)</x:f>
        <x:v>0.461766666666667</x:v>
      </x:c>
      <x:c r="R157" s="62" t="str">
        <x:v>CNY</x:v>
      </x:c>
      <x:c r="S157" s="62" t="str">
        <x:v>万元</x:v>
      </x:c>
      <x:c r="T157" s="62" t="str">
        <x:v>费用不含税</x:v>
      </x:c>
      <x:c r="U157" s="62" t="str">
        <x:v>安全运行部</x:v>
      </x:c>
      <x:c r="V157" s="62" t="str">
        <x:v>安全评估项目阶段评审会</x:v>
      </x:c>
      <x:c r="W157" s="62" t="str">
        <x:v>安全评估项目阶段评审会</x:v>
      </x:c>
      <x:c r="X157" s="62" t="str">
        <x:v>中核运维</x:v>
      </x:c>
      <x:c r="Y157" s="62" t="str">
        <x:v>中核运维</x:v>
      </x:c>
      <x:c r="Z157" s="62" t="str">
        <x:v>17</x:v>
      </x:c>
      <x:c r="AA157" s="62" t="str">
        <x:v>安全评估</x:v>
      </x:c>
      <x:c r="AB157" s="62" t="str">
        <x:v>PRJ-AQ-安全-2025-003</x:v>
      </x:c>
      <x:c r="AC157" s="74" t="n">
        <x:v>45657</x:v>
      </x:c>
      <x:c r="AD157" s="71" t="str">
        <x:v>源记录保留</x:v>
      </x:c>
      <x:c r="AE157" s="71" t="str">
        <x:v>2024年实际执行.xlsx</x:v>
      </x:c>
      <x:c r="AF157" s="71" t="str">
        <x:v>Sheet</x:v>
      </x:c>
      <x:c r="AG157" s="71" t="n">
        <x:v>157</x:v>
      </x:c>
      <x:c r="AH157" s="71" t="str">
        <x:v>2024年实际执行.xlsx/Sheet!157:157</x:v>
      </x:c>
      <x:c r="AI157" s="62" t="str">
        <x:f>IF(F157=MONTH(L157),"OK","FAIL")</x:f>
        <x:v>OK</x:v>
      </x:c>
      <x:c r="AJ157" s="62" t="str">
        <x:f>IF(J157&lt;=L157,"OK","FAIL")</x:f>
        <x:v>OK</x:v>
      </x:c>
      <x:c r="AK157" s="62" t="str">
        <x:f>IF(D157&lt;&gt;"营业收入","OK",IF(AND(P157&lt;0,Q157&gt;0),"OK","FAIL"))</x:f>
        <x:v>OK</x:v>
      </x:c>
      <x:c r="AL157" s="62" t="str">
        <x:f>IF(COUNTIF($A$2:$A$204,A157)=1,"OK","FAIL")</x:f>
        <x:v>OK</x:v>
      </x:c>
    </x:row>
    <x:row r="158">
      <x:c r="A158" s="62" t="str">
        <x:v>DEMO01|2024|DOC1156|10</x:v>
      </x:c>
      <x:c r="B158" s="62" t="str">
        <x:v>SOURCE</x:v>
      </x:c>
      <x:c r="C158" s="62" t="str">
        <x:v>业务支持费</x:v>
      </x:c>
      <x:c r="D158" s="62" t="str">
        <x:v>业务支持费-技术配置</x:v>
      </x:c>
      <x:c r="E158" s="62" t="n">
        <x:v>9</x:v>
      </x:c>
      <x:c r="F158" s="62" t="n">
        <x:v>9</x:v>
      </x:c>
      <x:c r="G158" s="62" t="str">
        <x:v>DOC1156</x:v>
      </x:c>
      <x:c r="H158" s="62" t="n">
        <x:v>10</x:v>
      </x:c>
      <x:c r="I158" s="74" t="n">
        <x:v>45550</x:v>
      </x:c>
      <x:c r="J158" s="74" t="n">
        <x:v>45550</x:v>
      </x:c>
      <x:c r="K158" s="74" t="n">
        <x:v>45550</x:v>
      </x:c>
      <x:c r="L158" s="74" t="n">
        <x:v>45550</x:v>
      </x:c>
      <x:c r="M158" s="77" t="n">
        <x:v>18.4706666666667</x:v>
      </x:c>
      <x:c r="N158" s="77"/>
      <x:c r="O158" s="78"/>
      <x:c r="P158" s="79" t="n">
        <x:f>M158</x:f>
        <x:v>18.4706666666667</x:v>
      </x:c>
      <x:c r="Q158" s="79" t="n">
        <x:f>IF(D158="营业收入",-P158,P158)</x:f>
        <x:v>18.4706666666667</x:v>
      </x:c>
      <x:c r="R158" s="62" t="str">
        <x:v>CNY</x:v>
      </x:c>
      <x:c r="S158" s="62" t="str">
        <x:v>万元</x:v>
      </x:c>
      <x:c r="T158" s="62" t="str">
        <x:v>费用不含税</x:v>
      </x:c>
      <x:c r="U158" s="62" t="str">
        <x:v>安全运行部</x:v>
      </x:c>
      <x:c r="V158" s="62" t="str">
        <x:v>安全评估技术配置_前期阶段</x:v>
      </x:c>
      <x:c r="W158" s="62" t="str">
        <x:v>安全评估技术配置_前期阶段</x:v>
      </x:c>
      <x:c r="X158" s="62" t="str">
        <x:v>中核运维</x:v>
      </x:c>
      <x:c r="Y158" s="62" t="str">
        <x:v>中核运维</x:v>
      </x:c>
      <x:c r="Z158" s="62" t="str">
        <x:v>17</x:v>
      </x:c>
      <x:c r="AA158" s="62" t="str">
        <x:v>安全评估</x:v>
      </x:c>
      <x:c r="AB158" s="62" t="str">
        <x:v>PRJ-AQ-安全-2025-003</x:v>
      </x:c>
      <x:c r="AC158" s="74" t="n">
        <x:v>45657</x:v>
      </x:c>
      <x:c r="AD158" s="71" t="str">
        <x:v>源记录保留</x:v>
      </x:c>
      <x:c r="AE158" s="71" t="str">
        <x:v>2024年实际执行.xlsx</x:v>
      </x:c>
      <x:c r="AF158" s="71" t="str">
        <x:v>Sheet</x:v>
      </x:c>
      <x:c r="AG158" s="71" t="n">
        <x:v>158</x:v>
      </x:c>
      <x:c r="AH158" s="71" t="str">
        <x:v>2024年实际执行.xlsx/Sheet!158:158</x:v>
      </x:c>
      <x:c r="AI158" s="62" t="str">
        <x:f>IF(F158=MONTH(L158),"OK","FAIL")</x:f>
        <x:v>OK</x:v>
      </x:c>
      <x:c r="AJ158" s="62" t="str">
        <x:f>IF(J158&lt;=L158,"OK","FAIL")</x:f>
        <x:v>OK</x:v>
      </x:c>
      <x:c r="AK158" s="62" t="str">
        <x:f>IF(D158&lt;&gt;"营业收入","OK",IF(AND(P158&lt;0,Q158&gt;0),"OK","FAIL"))</x:f>
        <x:v>OK</x:v>
      </x:c>
      <x:c r="AL158" s="62" t="str">
        <x:f>IF(COUNTIF($A$2:$A$204,A158)=1,"OK","FAIL")</x:f>
        <x:v>OK</x:v>
      </x:c>
    </x:row>
    <x:row r="159">
      <x:c r="A159" s="62" t="str">
        <x:v>DEMO01|2024|DOC1157|10</x:v>
      </x:c>
      <x:c r="B159" s="62" t="str">
        <x:v>SOURCE</x:v>
      </x:c>
      <x:c r="C159" s="62" t="str">
        <x:v>生产物料费</x:v>
      </x:c>
      <x:c r="D159" s="62" t="str">
        <x:v>生产物料费</x:v>
      </x:c>
      <x:c r="E159" s="62" t="n">
        <x:v>4</x:v>
      </x:c>
      <x:c r="F159" s="62" t="n">
        <x:v>4</x:v>
      </x:c>
      <x:c r="G159" s="62" t="str">
        <x:v>DOC1157</x:v>
      </x:c>
      <x:c r="H159" s="62" t="n">
        <x:v>10</x:v>
      </x:c>
      <x:c r="I159" s="74" t="n">
        <x:v>45397</x:v>
      </x:c>
      <x:c r="J159" s="74" t="n">
        <x:v>45397</x:v>
      </x:c>
      <x:c r="K159" s="74" t="n">
        <x:v>45397</x:v>
      </x:c>
      <x:c r="L159" s="74" t="n">
        <x:v>45397</x:v>
      </x:c>
      <x:c r="M159" s="77" t="n">
        <x:v>6.9265</x:v>
      </x:c>
      <x:c r="N159" s="77"/>
      <x:c r="O159" s="78"/>
      <x:c r="P159" s="79" t="n">
        <x:f>M159</x:f>
        <x:v>6.9265</x:v>
      </x:c>
      <x:c r="Q159" s="79" t="n">
        <x:f>IF(D159="营业收入",-P159,P159)</x:f>
        <x:v>6.9265</x:v>
      </x:c>
      <x:c r="R159" s="62" t="str">
        <x:v>CNY</x:v>
      </x:c>
      <x:c r="S159" s="62" t="str">
        <x:v>万元</x:v>
      </x:c>
      <x:c r="T159" s="62" t="str">
        <x:v>费用不含税</x:v>
      </x:c>
      <x:c r="U159" s="62" t="str">
        <x:v>安全运行部</x:v>
      </x:c>
      <x:c r="V159" s="62" t="str">
        <x:v>安全评估现场物料采购</x:v>
      </x:c>
      <x:c r="W159" s="62" t="str">
        <x:v>安全评估现场物料采购</x:v>
      </x:c>
      <x:c r="X159" s="62" t="str">
        <x:v>中核运维</x:v>
      </x:c>
      <x:c r="Y159" s="62" t="str">
        <x:v>中核运维</x:v>
      </x:c>
      <x:c r="Z159" s="62" t="str">
        <x:v>17</x:v>
      </x:c>
      <x:c r="AA159" s="62" t="str">
        <x:v>安全评估</x:v>
      </x:c>
      <x:c r="AB159" s="62" t="str">
        <x:v>PRJ-AQ-安全-2025-003</x:v>
      </x:c>
      <x:c r="AC159" s="74" t="n">
        <x:v>45657</x:v>
      </x:c>
      <x:c r="AD159" s="71" t="str">
        <x:v>源记录保留</x:v>
      </x:c>
      <x:c r="AE159" s="71" t="str">
        <x:v>2024年实际执行.xlsx</x:v>
      </x:c>
      <x:c r="AF159" s="71" t="str">
        <x:v>Sheet</x:v>
      </x:c>
      <x:c r="AG159" s="71" t="n">
        <x:v>159</x:v>
      </x:c>
      <x:c r="AH159" s="71" t="str">
        <x:v>2024年实际执行.xlsx/Sheet!159:159</x:v>
      </x:c>
      <x:c r="AI159" s="62" t="str">
        <x:f>IF(F159=MONTH(L159),"OK","FAIL")</x:f>
        <x:v>OK</x:v>
      </x:c>
      <x:c r="AJ159" s="62" t="str">
        <x:f>IF(J159&lt;=L159,"OK","FAIL")</x:f>
        <x:v>OK</x:v>
      </x:c>
      <x:c r="AK159" s="62" t="str">
        <x:f>IF(D159&lt;&gt;"营业收入","OK",IF(AND(P159&lt;0,Q159&gt;0),"OK","FAIL"))</x:f>
        <x:v>OK</x:v>
      </x:c>
      <x:c r="AL159" s="62" t="str">
        <x:f>IF(COUNTIF($A$2:$A$204,A159)=1,"OK","FAIL")</x:f>
        <x:v>OK</x:v>
      </x:c>
    </x:row>
    <x:row r="160">
      <x:c r="A160" s="62" t="str">
        <x:v>DEMO01|2024|DOC1158|10</x:v>
      </x:c>
      <x:c r="B160" s="62" t="str">
        <x:v>SOURCE</x:v>
      </x:c>
      <x:c r="C160" s="62" t="str">
        <x:v>办公费</x:v>
      </x:c>
      <x:c r="D160" s="62" t="str">
        <x:v>办公费</x:v>
      </x:c>
      <x:c r="E160" s="62" t="n">
        <x:v>11</x:v>
      </x:c>
      <x:c r="F160" s="62" t="n">
        <x:v>11</x:v>
      </x:c>
      <x:c r="G160" s="62" t="str">
        <x:v>DOC1158</x:v>
      </x:c>
      <x:c r="H160" s="62" t="n">
        <x:v>10</x:v>
      </x:c>
      <x:c r="I160" s="74" t="n">
        <x:v>45611</x:v>
      </x:c>
      <x:c r="J160" s="74" t="n">
        <x:v>45611</x:v>
      </x:c>
      <x:c r="K160" s="74" t="n">
        <x:v>45611</x:v>
      </x:c>
      <x:c r="L160" s="74" t="n">
        <x:v>45611</x:v>
      </x:c>
      <x:c r="M160" s="77" t="n">
        <x:v>1.3853</x:v>
      </x:c>
      <x:c r="N160" s="77"/>
      <x:c r="O160" s="78"/>
      <x:c r="P160" s="79" t="n">
        <x:f>M160</x:f>
        <x:v>1.3853</x:v>
      </x:c>
      <x:c r="Q160" s="79" t="n">
        <x:f>IF(D160="营业收入",-P160,P160)</x:f>
        <x:v>1.3853</x:v>
      </x:c>
      <x:c r="R160" s="62" t="str">
        <x:v>CNY</x:v>
      </x:c>
      <x:c r="S160" s="62" t="str">
        <x:v>万元</x:v>
      </x:c>
      <x:c r="T160" s="62" t="str">
        <x:v>费用不含税</x:v>
      </x:c>
      <x:c r="U160" s="62" t="str">
        <x:v>安全运行部</x:v>
      </x:c>
      <x:c r="V160" s="62" t="str">
        <x:v>安全评估日常办公</x:v>
      </x:c>
      <x:c r="W160" s="62" t="str">
        <x:v>安全评估日常办公</x:v>
      </x:c>
      <x:c r="X160" s="62" t="str">
        <x:v>中核运维</x:v>
      </x:c>
      <x:c r="Y160" s="62" t="str">
        <x:v>中核运维</x:v>
      </x:c>
      <x:c r="Z160" s="62" t="str">
        <x:v>17</x:v>
      </x:c>
      <x:c r="AA160" s="62" t="str">
        <x:v>安全评估</x:v>
      </x:c>
      <x:c r="AB160" s="62" t="str">
        <x:v>PRJ-AQ-安全-2025-003</x:v>
      </x:c>
      <x:c r="AC160" s="74" t="n">
        <x:v>45657</x:v>
      </x:c>
      <x:c r="AD160" s="71" t="str">
        <x:v>源记录保留</x:v>
      </x:c>
      <x:c r="AE160" s="71" t="str">
        <x:v>2024年实际执行.xlsx</x:v>
      </x:c>
      <x:c r="AF160" s="71" t="str">
        <x:v>Sheet</x:v>
      </x:c>
      <x:c r="AG160" s="71" t="n">
        <x:v>160</x:v>
      </x:c>
      <x:c r="AH160" s="71" t="str">
        <x:v>2024年实际执行.xlsx/Sheet!160:160</x:v>
      </x:c>
      <x:c r="AI160" s="62" t="str">
        <x:f>IF(F160=MONTH(L160),"OK","FAIL")</x:f>
        <x:v>OK</x:v>
      </x:c>
      <x:c r="AJ160" s="62" t="str">
        <x:f>IF(J160&lt;=L160,"OK","FAIL")</x:f>
        <x:v>OK</x:v>
      </x:c>
      <x:c r="AK160" s="62" t="str">
        <x:f>IF(D160&lt;&gt;"营业收入","OK",IF(AND(P160&lt;0,Q160&gt;0),"OK","FAIL"))</x:f>
        <x:v>OK</x:v>
      </x:c>
      <x:c r="AL160" s="62" t="str">
        <x:f>IF(COUNTIF($A$2:$A$204,A160)=1,"OK","FAIL")</x:f>
        <x:v>OK</x:v>
      </x:c>
    </x:row>
    <x:row r="161">
      <x:c r="A161" s="62" t="str">
        <x:v>DEMO01|2024|DOC1159|10</x:v>
      </x:c>
      <x:c r="B161" s="62" t="str">
        <x:v>SOURCE</x:v>
      </x:c>
      <x:c r="C161" s="62" t="str">
        <x:v>人工成本</x:v>
      </x:c>
      <x:c r="D161" s="62" t="str">
        <x:v>人工成本</x:v>
      </x:c>
      <x:c r="E161" s="62" t="n">
        <x:v>6</x:v>
      </x:c>
      <x:c r="F161" s="62" t="n">
        <x:v>6</x:v>
      </x:c>
      <x:c r="G161" s="62" t="str">
        <x:v>DOC1159</x:v>
      </x:c>
      <x:c r="H161" s="62" t="n">
        <x:v>10</x:v>
      </x:c>
      <x:c r="I161" s="74" t="n">
        <x:v>45473</x:v>
      </x:c>
      <x:c r="J161" s="74" t="n">
        <x:v>45473</x:v>
      </x:c>
      <x:c r="K161" s="74" t="n">
        <x:v>45473</x:v>
      </x:c>
      <x:c r="L161" s="74" t="n">
        <x:v>45473</x:v>
      </x:c>
      <x:c r="M161" s="77" t="n">
        <x:v>6.8</x:v>
      </x:c>
      <x:c r="N161" s="77"/>
      <x:c r="O161" s="78"/>
      <x:c r="P161" s="79" t="n">
        <x:f>M161</x:f>
        <x:v>6.8</x:v>
      </x:c>
      <x:c r="Q161" s="79" t="n">
        <x:f>IF(D161="营业收入",-P161,P161)</x:f>
        <x:v>6.8</x:v>
      </x:c>
      <x:c r="R161" s="62" t="str">
        <x:v>CNY</x:v>
      </x:c>
      <x:c r="S161" s="62" t="str">
        <x:v>万元</x:v>
      </x:c>
      <x:c r="T161" s="62" t="str">
        <x:v>费用不含税</x:v>
      </x:c>
      <x:c r="U161" s="62" t="str">
        <x:v>安全运行部</x:v>
      </x:c>
      <x:c r="V161" s="62" t="str">
        <x:v>安全评估人工成本分摊</x:v>
      </x:c>
      <x:c r="W161" s="62" t="str">
        <x:v>安全评估人工成本分摊</x:v>
      </x:c>
      <x:c r="X161" s="62" t="str">
        <x:v>17</x:v>
      </x:c>
      <x:c r="Y161" s="62" t="str">
        <x:v>17</x:v>
      </x:c>
      <x:c r="Z161" s="62" t="str">
        <x:v>17</x:v>
      </x:c>
      <x:c r="AA161" s="62" t="str">
        <x:v>安全评估</x:v>
      </x:c>
      <x:c r="AB161" s="62" t="str">
        <x:v>PRJ-AQ-安全-2025-003</x:v>
      </x:c>
      <x:c r="AC161" s="74" t="n">
        <x:v>45657</x:v>
      </x:c>
      <x:c r="AD161" s="71" t="str">
        <x:v>源记录保留</x:v>
      </x:c>
      <x:c r="AE161" s="71" t="str">
        <x:v>2024年实际执行.xlsx</x:v>
      </x:c>
      <x:c r="AF161" s="71" t="str">
        <x:v>Sheet</x:v>
      </x:c>
      <x:c r="AG161" s="71" t="n">
        <x:v>161</x:v>
      </x:c>
      <x:c r="AH161" s="71" t="str">
        <x:v>2024年实际执行.xlsx/Sheet!161:161</x:v>
      </x:c>
      <x:c r="AI161" s="62" t="str">
        <x:f>IF(F161=MONTH(L161),"OK","FAIL")</x:f>
        <x:v>OK</x:v>
      </x:c>
      <x:c r="AJ161" s="62" t="str">
        <x:f>IF(J161&lt;=L161,"OK","FAIL")</x:f>
        <x:v>OK</x:v>
      </x:c>
      <x:c r="AK161" s="62" t="str">
        <x:f>IF(D161&lt;&gt;"营业收入","OK",IF(AND(P161&lt;0,Q161&gt;0),"OK","FAIL"))</x:f>
        <x:v>OK</x:v>
      </x:c>
      <x:c r="AL161" s="62" t="str">
        <x:f>IF(COUNTIF($A$2:$A$204,A161)=1,"OK","FAIL")</x:f>
        <x:v>OK</x:v>
      </x:c>
    </x:row>
    <x:row r="162">
      <x:c r="A162" s="62" t="str">
        <x:v>DEMO01|2024|DOC1160|10</x:v>
      </x:c>
      <x:c r="B162" s="62" t="str">
        <x:v>SOURCE</x:v>
      </x:c>
      <x:c r="C162" s="62" t="str">
        <x:v>折旧摊销</x:v>
      </x:c>
      <x:c r="D162" s="62" t="str">
        <x:v>折旧摊销</x:v>
      </x:c>
      <x:c r="E162" s="62" t="n">
        <x:v>12</x:v>
      </x:c>
      <x:c r="F162" s="62" t="n">
        <x:v>12</x:v>
      </x:c>
      <x:c r="G162" s="62" t="str">
        <x:v>DOC1160</x:v>
      </x:c>
      <x:c r="H162" s="62" t="n">
        <x:v>10</x:v>
      </x:c>
      <x:c r="I162" s="74" t="n">
        <x:v>45657</x:v>
      </x:c>
      <x:c r="J162" s="74" t="n">
        <x:v>45657</x:v>
      </x:c>
      <x:c r="K162" s="74" t="n">
        <x:v>45657</x:v>
      </x:c>
      <x:c r="L162" s="74" t="n">
        <x:v>45657</x:v>
      </x:c>
      <x:c r="M162" s="77" t="n">
        <x:v>2</x:v>
      </x:c>
      <x:c r="N162" s="77"/>
      <x:c r="O162" s="78"/>
      <x:c r="P162" s="79" t="n">
        <x:f>M162</x:f>
        <x:v>2</x:v>
      </x:c>
      <x:c r="Q162" s="79" t="n">
        <x:f>IF(D162="营业收入",-P162,P162)</x:f>
        <x:v>2</x:v>
      </x:c>
      <x:c r="R162" s="62" t="str">
        <x:v>CNY</x:v>
      </x:c>
      <x:c r="S162" s="62" t="str">
        <x:v>万元</x:v>
      </x:c>
      <x:c r="T162" s="62" t="str">
        <x:v>费用不含税</x:v>
      </x:c>
      <x:c r="U162" s="62" t="str">
        <x:v>安全运行部</x:v>
      </x:c>
      <x:c r="V162" s="62" t="str">
        <x:v>安全评估折旧摊销分摊</x:v>
      </x:c>
      <x:c r="W162" s="62" t="str">
        <x:v>安全评估折旧摊销分摊</x:v>
      </x:c>
      <x:c r="X162" s="62" t="str">
        <x:v>17</x:v>
      </x:c>
      <x:c r="Y162" s="62" t="str">
        <x:v>17</x:v>
      </x:c>
      <x:c r="Z162" s="62" t="str">
        <x:v>17</x:v>
      </x:c>
      <x:c r="AA162" s="62" t="str">
        <x:v>安全评估</x:v>
      </x:c>
      <x:c r="AB162" s="62" t="str">
        <x:v>PRJ-AQ-安全-2025-003</x:v>
      </x:c>
      <x:c r="AC162" s="74" t="n">
        <x:v>45657</x:v>
      </x:c>
      <x:c r="AD162" s="71" t="str">
        <x:v>源记录保留</x:v>
      </x:c>
      <x:c r="AE162" s="71" t="str">
        <x:v>2024年实际执行.xlsx</x:v>
      </x:c>
      <x:c r="AF162" s="71" t="str">
        <x:v>Sheet</x:v>
      </x:c>
      <x:c r="AG162" s="71" t="n">
        <x:v>162</x:v>
      </x:c>
      <x:c r="AH162" s="71" t="str">
        <x:v>2024年实际执行.xlsx/Sheet!162:162</x:v>
      </x:c>
      <x:c r="AI162" s="62" t="str">
        <x:f>IF(F162=MONTH(L162),"OK","FAIL")</x:f>
        <x:v>OK</x:v>
      </x:c>
      <x:c r="AJ162" s="62" t="str">
        <x:f>IF(J162&lt;=L162,"OK","FAIL")</x:f>
        <x:v>OK</x:v>
      </x:c>
      <x:c r="AK162" s="62" t="str">
        <x:f>IF(D162&lt;&gt;"营业收入","OK",IF(AND(P162&lt;0,Q162&gt;0),"OK","FAIL"))</x:f>
        <x:v>OK</x:v>
      </x:c>
      <x:c r="AL162" s="62" t="str">
        <x:f>IF(COUNTIF($A$2:$A$204,A162)=1,"OK","FAIL")</x:f>
        <x:v>OK</x:v>
      </x:c>
    </x:row>
    <x:row r="163">
      <x:c r="A163" s="62" t="str">
        <x:v>DEMO01|2024|DOC1161|10</x:v>
      </x:c>
      <x:c r="B163" s="62" t="str">
        <x:v>SYNTHETIC_FOR_DEMO</x:v>
      </x:c>
      <x:c r="C163" s="62" t="str">
        <x:v>交通运输费</x:v>
      </x:c>
      <x:c r="D163" s="62" t="str">
        <x:v>交通运输费</x:v>
      </x:c>
      <x:c r="E163" s="62"/>
      <x:c r="F163" s="62" t="n">
        <x:v>7</x:v>
      </x:c>
      <x:c r="G163" s="62" t="str">
        <x:v>DOC1161</x:v>
      </x:c>
      <x:c r="H163" s="62" t="n">
        <x:v>10</x:v>
      </x:c>
      <x:c r="I163" s="74"/>
      <x:c r="J163" s="74" t="n">
        <x:v>45488</x:v>
      </x:c>
      <x:c r="K163" s="74"/>
      <x:c r="L163" s="74" t="n">
        <x:v>45488</x:v>
      </x:c>
      <x:c r="M163" s="77"/>
      <x:c r="N163" s="77" t="n">
        <x:v>3.554</x:v>
      </x:c>
      <x:c r="O163" s="78" t="n">
        <x:v>0.03</x:v>
      </x:c>
      <x:c r="P163" s="79" t="n">
        <x:f>ROUND(N163/(1+O163),4)</x:f>
        <x:v>3.4505</x:v>
      </x:c>
      <x:c r="Q163" s="79" t="n">
        <x:f>IF(D163="营业收入",-P163,P163)</x:f>
        <x:v>3.4505</x:v>
      </x:c>
      <x:c r="R163" s="62" t="str">
        <x:v>CNY</x:v>
      </x:c>
      <x:c r="S163" s="62" t="str">
        <x:v>万元</x:v>
      </x:c>
      <x:c r="T163" s="62" t="str">
        <x:v>费用不含税</x:v>
      </x:c>
      <x:c r="U163" s="62" t="str">
        <x:v>设备管理部</x:v>
      </x:c>
      <x:c r="V163" s="62" t="str">
        <x:v>设备维护材料运输</x:v>
      </x:c>
      <x:c r="W163" s="62" t="str">
        <x:v>设备维护材料运输及市内交通</x:v>
      </x:c>
      <x:c r="X163" s="62" t="str">
        <x:v>中核运维</x:v>
      </x:c>
      <x:c r="Y163" s="62" t="str">
        <x:v>中核运维</x:v>
      </x:c>
      <x:c r="Z163" s="62" t="str">
        <x:v>17</x:v>
      </x:c>
      <x:c r="AA163" s="62" t="str">
        <x:v>设备维护</x:v>
      </x:c>
      <x:c r="AB163" s="62" t="str">
        <x:v>PRJ-SB-设备-2024-001</x:v>
      </x:c>
      <x:c r="AC163" s="74" t="n">
        <x:v>45657</x:v>
      </x:c>
      <x:c r="AD163" s="71" t="str">
        <x:v>SYNTHETIC_FOR_DEMO：按2025同项目交通运输费金额/1.03反推</x:v>
      </x:c>
      <x:c r="AE163" s="71" t="str">
        <x:v>2025年实际执行.xlsx</x:v>
      </x:c>
      <x:c r="AF163" s="71" t="str">
        <x:v>Sheet</x:v>
      </x:c>
      <x:c r="AG163" s="71" t="n">
        <x:v>7</x:v>
      </x:c>
      <x:c r="AH163" s="71" t="str">
        <x:v>2025年实际执行.xlsx/Sheet!7:7</x:v>
      </x:c>
      <x:c r="AI163" s="62" t="str">
        <x:f>IF(F163=MONTH(L163),"OK","FAIL")</x:f>
        <x:v>OK</x:v>
      </x:c>
      <x:c r="AJ163" s="62" t="str">
        <x:f>IF(J163&lt;=L163,"OK","FAIL")</x:f>
        <x:v>OK</x:v>
      </x:c>
      <x:c r="AK163" s="62" t="str">
        <x:f>IF(D163&lt;&gt;"营业收入","OK",IF(AND(P163&lt;0,Q163&gt;0),"OK","FAIL"))</x:f>
        <x:v>OK</x:v>
      </x:c>
      <x:c r="AL163" s="62" t="str">
        <x:f>IF(COUNTIF($A$2:$A$204,A163)=1,"OK","FAIL")</x:f>
        <x:v>OK</x:v>
      </x:c>
    </x:row>
    <x:row r="164">
      <x:c r="A164" s="62" t="str">
        <x:v>DEMO01|2024|DOC1162|10</x:v>
      </x:c>
      <x:c r="B164" s="62" t="str">
        <x:v>SYNTHETIC_FOR_DEMO</x:v>
      </x:c>
      <x:c r="C164" s="62" t="str">
        <x:v>交通运输费</x:v>
      </x:c>
      <x:c r="D164" s="62" t="str">
        <x:v>交通运输费</x:v>
      </x:c>
      <x:c r="E164" s="62"/>
      <x:c r="F164" s="62" t="n">
        <x:v>8</x:v>
      </x:c>
      <x:c r="G164" s="62" t="str">
        <x:v>DOC1162</x:v>
      </x:c>
      <x:c r="H164" s="62" t="n">
        <x:v>10</x:v>
      </x:c>
      <x:c r="I164" s="74"/>
      <x:c r="J164" s="74" t="n">
        <x:v>45519</x:v>
      </x:c>
      <x:c r="K164" s="74"/>
      <x:c r="L164" s="74" t="n">
        <x:v>45519</x:v>
      </x:c>
      <x:c r="M164" s="77"/>
      <x:c r="N164" s="77" t="n">
        <x:v>3.7435</x:v>
      </x:c>
      <x:c r="O164" s="78" t="n">
        <x:v>0.03</x:v>
      </x:c>
      <x:c r="P164" s="79" t="n">
        <x:f>ROUND(N164/(1+O164),4)</x:f>
        <x:v>3.6345</x:v>
      </x:c>
      <x:c r="Q164" s="79" t="n">
        <x:f>IF(D164="营业收入",-P164,P164)</x:f>
        <x:v>3.6345</x:v>
      </x:c>
      <x:c r="R164" s="62" t="str">
        <x:v>CNY</x:v>
      </x:c>
      <x:c r="S164" s="62" t="str">
        <x:v>万元</x:v>
      </x:c>
      <x:c r="T164" s="62" t="str">
        <x:v>费用不含税</x:v>
      </x:c>
      <x:c r="U164" s="62" t="str">
        <x:v>设备管理部</x:v>
      </x:c>
      <x:c r="V164" s="62" t="str">
        <x:v>设备维护材料运输</x:v>
      </x:c>
      <x:c r="W164" s="62" t="str">
        <x:v>设备维护材料运输及市内交通</x:v>
      </x:c>
      <x:c r="X164" s="62" t="str">
        <x:v>北京核工院</x:v>
      </x:c>
      <x:c r="Y164" s="62" t="str">
        <x:v>北京核工院</x:v>
      </x:c>
      <x:c r="Z164" s="62" t="str">
        <x:v>17</x:v>
      </x:c>
      <x:c r="AA164" s="62" t="str">
        <x:v>设备维护</x:v>
      </x:c>
      <x:c r="AB164" s="62" t="str">
        <x:v>PRJ-SB-设备-2025-002</x:v>
      </x:c>
      <x:c r="AC164" s="74" t="n">
        <x:v>45657</x:v>
      </x:c>
      <x:c r="AD164" s="71" t="str">
        <x:v>SYNTHETIC_FOR_DEMO：按2025同项目交通运输费金额/1.03反推</x:v>
      </x:c>
      <x:c r="AE164" s="71" t="str">
        <x:v>2025年实际执行.xlsx</x:v>
      </x:c>
      <x:c r="AF164" s="71" t="str">
        <x:v>Sheet</x:v>
      </x:c>
      <x:c r="AG164" s="71" t="n">
        <x:v>16</x:v>
      </x:c>
      <x:c r="AH164" s="71" t="str">
        <x:v>2025年实际执行.xlsx/Sheet!16:16</x:v>
      </x:c>
      <x:c r="AI164" s="62" t="str">
        <x:f>IF(F164=MONTH(L164),"OK","FAIL")</x:f>
        <x:v>OK</x:v>
      </x:c>
      <x:c r="AJ164" s="62" t="str">
        <x:f>IF(J164&lt;=L164,"OK","FAIL")</x:f>
        <x:v>OK</x:v>
      </x:c>
      <x:c r="AK164" s="62" t="str">
        <x:f>IF(D164&lt;&gt;"营业收入","OK",IF(AND(P164&lt;0,Q164&gt;0),"OK","FAIL"))</x:f>
        <x:v>OK</x:v>
      </x:c>
      <x:c r="AL164" s="62" t="str">
        <x:f>IF(COUNTIF($A$2:$A$204,A164)=1,"OK","FAIL")</x:f>
        <x:v>OK</x:v>
      </x:c>
    </x:row>
    <x:row r="165">
      <x:c r="A165" s="62" t="str">
        <x:v>DEMO01|2024|DOC1163|10</x:v>
      </x:c>
      <x:c r="B165" s="62" t="str">
        <x:v>SYNTHETIC_FOR_DEMO</x:v>
      </x:c>
      <x:c r="C165" s="62" t="str">
        <x:v>交通运输费</x:v>
      </x:c>
      <x:c r="D165" s="62" t="str">
        <x:v>交通运输费</x:v>
      </x:c>
      <x:c r="E165" s="62"/>
      <x:c r="F165" s="62" t="n">
        <x:v>9</x:v>
      </x:c>
      <x:c r="G165" s="62" t="str">
        <x:v>DOC1163</x:v>
      </x:c>
      <x:c r="H165" s="62" t="n">
        <x:v>10</x:v>
      </x:c>
      <x:c r="I165" s="74"/>
      <x:c r="J165" s="74" t="n">
        <x:v>45550</x:v>
      </x:c>
      <x:c r="K165" s="74"/>
      <x:c r="L165" s="74" t="n">
        <x:v>45550</x:v>
      </x:c>
      <x:c r="M165" s="77"/>
      <x:c r="N165" s="77" t="n">
        <x:v>3.6695</x:v>
      </x:c>
      <x:c r="O165" s="78" t="n">
        <x:v>0.03</x:v>
      </x:c>
      <x:c r="P165" s="79" t="n">
        <x:f>ROUND(N165/(1+O165),4)</x:f>
        <x:v>3.5626</x:v>
      </x:c>
      <x:c r="Q165" s="79" t="n">
        <x:f>IF(D165="营业收入",-P165,P165)</x:f>
        <x:v>3.5626</x:v>
      </x:c>
      <x:c r="R165" s="62" t="str">
        <x:v>CNY</x:v>
      </x:c>
      <x:c r="S165" s="62" t="str">
        <x:v>万元</x:v>
      </x:c>
      <x:c r="T165" s="62" t="str">
        <x:v>费用不含税</x:v>
      </x:c>
      <x:c r="U165" s="62" t="str">
        <x:v>设备管理部</x:v>
      </x:c>
      <x:c r="V165" s="62" t="str">
        <x:v>设备维护材料运输</x:v>
      </x:c>
      <x:c r="W165" s="62" t="str">
        <x:v>设备维护材料运输及市内交通</x:v>
      </x:c>
      <x:c r="X165" s="62" t="str">
        <x:v>上海电气</x:v>
      </x:c>
      <x:c r="Y165" s="62" t="str">
        <x:v>上海电气</x:v>
      </x:c>
      <x:c r="Z165" s="62" t="str">
        <x:v>17</x:v>
      </x:c>
      <x:c r="AA165" s="62" t="str">
        <x:v>设备维护</x:v>
      </x:c>
      <x:c r="AB165" s="62" t="str">
        <x:v>PRJ-SB-设备-2025-003</x:v>
      </x:c>
      <x:c r="AC165" s="74" t="n">
        <x:v>45657</x:v>
      </x:c>
      <x:c r="AD165" s="71" t="str">
        <x:v>SYNTHETIC_FOR_DEMO：按2025同项目交通运输费金额/1.03反推</x:v>
      </x:c>
      <x:c r="AE165" s="71" t="str">
        <x:v>2025年实际执行.xlsx</x:v>
      </x:c>
      <x:c r="AF165" s="71" t="str">
        <x:v>Sheet</x:v>
      </x:c>
      <x:c r="AG165" s="71" t="n">
        <x:v>25</x:v>
      </x:c>
      <x:c r="AH165" s="71" t="str">
        <x:v>2025年实际执行.xlsx/Sheet!25:25</x:v>
      </x:c>
      <x:c r="AI165" s="62" t="str">
        <x:f>IF(F165=MONTH(L165),"OK","FAIL")</x:f>
        <x:v>OK</x:v>
      </x:c>
      <x:c r="AJ165" s="62" t="str">
        <x:f>IF(J165&lt;=L165,"OK","FAIL")</x:f>
        <x:v>OK</x:v>
      </x:c>
      <x:c r="AK165" s="62" t="str">
        <x:f>IF(D165&lt;&gt;"营业收入","OK",IF(AND(P165&lt;0,Q165&gt;0),"OK","FAIL"))</x:f>
        <x:v>OK</x:v>
      </x:c>
      <x:c r="AL165" s="62" t="str">
        <x:f>IF(COUNTIF($A$2:$A$204,A165)=1,"OK","FAIL")</x:f>
        <x:v>OK</x:v>
      </x:c>
    </x:row>
    <x:row r="166">
      <x:c r="A166" s="62" t="str">
        <x:v>DEMO01|2024|DOC1164|10</x:v>
      </x:c>
      <x:c r="B166" s="62" t="str">
        <x:v>SYNTHETIC_FOR_DEMO</x:v>
      </x:c>
      <x:c r="C166" s="62" t="str">
        <x:v>交通运输费</x:v>
      </x:c>
      <x:c r="D166" s="62" t="str">
        <x:v>交通运输费</x:v>
      </x:c>
      <x:c r="E166" s="62"/>
      <x:c r="F166" s="62" t="n">
        <x:v>7</x:v>
      </x:c>
      <x:c r="G166" s="62" t="str">
        <x:v>DOC1164</x:v>
      </x:c>
      <x:c r="H166" s="62" t="n">
        <x:v>10</x:v>
      </x:c>
      <x:c r="I166" s="74"/>
      <x:c r="J166" s="74" t="n">
        <x:v>45488</x:v>
      </x:c>
      <x:c r="K166" s="74"/>
      <x:c r="L166" s="74" t="n">
        <x:v>45488</x:v>
      </x:c>
      <x:c r="M166" s="77"/>
      <x:c r="N166" s="77" t="n">
        <x:v>0.717</x:v>
      </x:c>
      <x:c r="O166" s="78" t="n">
        <x:v>0.04</x:v>
      </x:c>
      <x:c r="P166" s="79" t="n">
        <x:f>ROUND(N166/(1+O166),4)</x:f>
        <x:v>0.6894</x:v>
      </x:c>
      <x:c r="Q166" s="79" t="n">
        <x:f>IF(D166="营业收入",-P166,P166)</x:f>
        <x:v>0.6894</x:v>
      </x:c>
      <x:c r="R166" s="62" t="str">
        <x:v>CNY</x:v>
      </x:c>
      <x:c r="S166" s="62" t="str">
        <x:v>万元</x:v>
      </x:c>
      <x:c r="T166" s="62" t="str">
        <x:v>费用不含税</x:v>
      </x:c>
      <x:c r="U166" s="62" t="str">
        <x:v>技术部</x:v>
      </x:c>
      <x:c r="V166" s="62" t="str">
        <x:v>热能动力研究材料运输</x:v>
      </x:c>
      <x:c r="W166" s="62" t="str">
        <x:v>热能动力研究材料运输及市内交通</x:v>
      </x:c>
      <x:c r="X166" s="62" t="str">
        <x:v>中核运维</x:v>
      </x:c>
      <x:c r="Y166" s="62" t="str">
        <x:v>中核运维</x:v>
      </x:c>
      <x:c r="Z166" s="62" t="str">
        <x:v>17</x:v>
      </x:c>
      <x:c r="AA166" s="62" t="str">
        <x:v>热能动力研究</x:v>
      </x:c>
      <x:c r="AB166" s="62" t="str">
        <x:v>PRJ-JS-热能-2024-001</x:v>
      </x:c>
      <x:c r="AC166" s="74" t="n">
        <x:v>45657</x:v>
      </x:c>
      <x:c r="AD166" s="71" t="str">
        <x:v>SYNTHETIC_FOR_DEMO：按2025同项目交通运输费金额/1.04反推</x:v>
      </x:c>
      <x:c r="AE166" s="71" t="str">
        <x:v>2025年实际执行.xlsx</x:v>
      </x:c>
      <x:c r="AF166" s="71" t="str">
        <x:v>Sheet</x:v>
      </x:c>
      <x:c r="AG166" s="71" t="n">
        <x:v>33</x:v>
      </x:c>
      <x:c r="AH166" s="71" t="str">
        <x:v>2025年实际执行.xlsx/Sheet!33:33</x:v>
      </x:c>
      <x:c r="AI166" s="62" t="str">
        <x:f>IF(F166=MONTH(L166),"OK","FAIL")</x:f>
        <x:v>OK</x:v>
      </x:c>
      <x:c r="AJ166" s="62" t="str">
        <x:f>IF(J166&lt;=L166,"OK","FAIL")</x:f>
        <x:v>OK</x:v>
      </x:c>
      <x:c r="AK166" s="62" t="str">
        <x:f>IF(D166&lt;&gt;"营业收入","OK",IF(AND(P166&lt;0,Q166&gt;0),"OK","FAIL"))</x:f>
        <x:v>OK</x:v>
      </x:c>
      <x:c r="AL166" s="62" t="str">
        <x:f>IF(COUNTIF($A$2:$A$204,A166)=1,"OK","FAIL")</x:f>
        <x:v>OK</x:v>
      </x:c>
    </x:row>
    <x:row r="167">
      <x:c r="A167" s="62" t="str">
        <x:v>DEMO01|2024|DOC1165|10</x:v>
      </x:c>
      <x:c r="B167" s="62" t="str">
        <x:v>SYNTHETIC_FOR_DEMO</x:v>
      </x:c>
      <x:c r="C167" s="62" t="str">
        <x:v>交通运输费</x:v>
      </x:c>
      <x:c r="D167" s="62" t="str">
        <x:v>交通运输费</x:v>
      </x:c>
      <x:c r="E167" s="62"/>
      <x:c r="F167" s="62" t="n">
        <x:v>3</x:v>
      </x:c>
      <x:c r="G167" s="62" t="str">
        <x:v>DOC1165</x:v>
      </x:c>
      <x:c r="H167" s="62" t="n">
        <x:v>10</x:v>
      </x:c>
      <x:c r="I167" s="74"/>
      <x:c r="J167" s="74" t="n">
        <x:v>45366</x:v>
      </x:c>
      <x:c r="K167" s="74"/>
      <x:c r="L167" s="74" t="n">
        <x:v>45366</x:v>
      </x:c>
      <x:c r="M167" s="77"/>
      <x:c r="N167" s="77" t="n">
        <x:v>0.761</x:v>
      </x:c>
      <x:c r="O167" s="78" t="n">
        <x:v>0.04</x:v>
      </x:c>
      <x:c r="P167" s="79" t="n">
        <x:f>ROUND(N167/(1+O167),4)</x:f>
        <x:v>0.7317</x:v>
      </x:c>
      <x:c r="Q167" s="79" t="n">
        <x:f>IF(D167="营业收入",-P167,P167)</x:f>
        <x:v>0.7317</x:v>
      </x:c>
      <x:c r="R167" s="62" t="str">
        <x:v>CNY</x:v>
      </x:c>
      <x:c r="S167" s="62" t="str">
        <x:v>万元</x:v>
      </x:c>
      <x:c r="T167" s="62" t="str">
        <x:v>费用不含税</x:v>
      </x:c>
      <x:c r="U167" s="62" t="str">
        <x:v>技术部</x:v>
      </x:c>
      <x:c r="V167" s="62" t="str">
        <x:v>热能动力研究材料运输</x:v>
      </x:c>
      <x:c r="W167" s="62" t="str">
        <x:v>热能动力研究材料运输及市内交通</x:v>
      </x:c>
      <x:c r="X167" s="62" t="str">
        <x:v>中核运维</x:v>
      </x:c>
      <x:c r="Y167" s="62" t="str">
        <x:v>中核运维</x:v>
      </x:c>
      <x:c r="Z167" s="62" t="str">
        <x:v>17</x:v>
      </x:c>
      <x:c r="AA167" s="62" t="str">
        <x:v>热能动力研究</x:v>
      </x:c>
      <x:c r="AB167" s="62" t="str">
        <x:v>PRJ-JS-热能-2025-002</x:v>
      </x:c>
      <x:c r="AC167" s="74" t="n">
        <x:v>45657</x:v>
      </x:c>
      <x:c r="AD167" s="71" t="str">
        <x:v>SYNTHETIC_FOR_DEMO：按2025同项目交通运输费金额/1.04反推</x:v>
      </x:c>
      <x:c r="AE167" s="71" t="str">
        <x:v>2025年实际执行.xlsx</x:v>
      </x:c>
      <x:c r="AF167" s="71" t="str">
        <x:v>Sheet</x:v>
      </x:c>
      <x:c r="AG167" s="71" t="n">
        <x:v>42</x:v>
      </x:c>
      <x:c r="AH167" s="71" t="str">
        <x:v>2025年实际执行.xlsx/Sheet!42:42</x:v>
      </x:c>
      <x:c r="AI167" s="62" t="str">
        <x:f>IF(F167=MONTH(L167),"OK","FAIL")</x:f>
        <x:v>OK</x:v>
      </x:c>
      <x:c r="AJ167" s="62" t="str">
        <x:f>IF(J167&lt;=L167,"OK","FAIL")</x:f>
        <x:v>OK</x:v>
      </x:c>
      <x:c r="AK167" s="62" t="str">
        <x:f>IF(D167&lt;&gt;"营业收入","OK",IF(AND(P167&lt;0,Q167&gt;0),"OK","FAIL"))</x:f>
        <x:v>OK</x:v>
      </x:c>
      <x:c r="AL167" s="62" t="str">
        <x:f>IF(COUNTIF($A$2:$A$204,A167)=1,"OK","FAIL")</x:f>
        <x:v>OK</x:v>
      </x:c>
    </x:row>
    <x:row r="168">
      <x:c r="A168" s="62" t="str">
        <x:v>DEMO01|2024|DOC1166|10</x:v>
      </x:c>
      <x:c r="B168" s="62" t="str">
        <x:v>SYNTHETIC_FOR_DEMO</x:v>
      </x:c>
      <x:c r="C168" s="62" t="str">
        <x:v>交通运输费</x:v>
      </x:c>
      <x:c r="D168" s="62" t="str">
        <x:v>交通运输费</x:v>
      </x:c>
      <x:c r="E168" s="62"/>
      <x:c r="F168" s="62" t="n">
        <x:v>5</x:v>
      </x:c>
      <x:c r="G168" s="62" t="str">
        <x:v>DOC1166</x:v>
      </x:c>
      <x:c r="H168" s="62" t="n">
        <x:v>10</x:v>
      </x:c>
      <x:c r="I168" s="74"/>
      <x:c r="J168" s="74" t="n">
        <x:v>45427</x:v>
      </x:c>
      <x:c r="K168" s="74"/>
      <x:c r="L168" s="74" t="n">
        <x:v>45427</x:v>
      </x:c>
      <x:c r="M168" s="77"/>
      <x:c r="N168" s="77" t="n">
        <x:v>0.7385</x:v>
      </x:c>
      <x:c r="O168" s="78" t="n">
        <x:v>0.04</x:v>
      </x:c>
      <x:c r="P168" s="79" t="n">
        <x:f>ROUND(N168/(1+O168),4)</x:f>
        <x:v>0.7101</x:v>
      </x:c>
      <x:c r="Q168" s="79" t="n">
        <x:f>IF(D168="营业收入",-P168,P168)</x:f>
        <x:v>0.7101</x:v>
      </x:c>
      <x:c r="R168" s="62" t="str">
        <x:v>CNY</x:v>
      </x:c>
      <x:c r="S168" s="62" t="str">
        <x:v>万元</x:v>
      </x:c>
      <x:c r="T168" s="62" t="str">
        <x:v>费用不含税</x:v>
      </x:c>
      <x:c r="U168" s="62" t="str">
        <x:v>技术部</x:v>
      </x:c>
      <x:c r="V168" s="62" t="str">
        <x:v>热能动力研究材料运输</x:v>
      </x:c>
      <x:c r="W168" s="62" t="str">
        <x:v>热能动力研究材料运输及市内交通</x:v>
      </x:c>
      <x:c r="X168" s="62" t="str">
        <x:v>北京核工院</x:v>
      </x:c>
      <x:c r="Y168" s="62" t="str">
        <x:v>北京核工院</x:v>
      </x:c>
      <x:c r="Z168" s="62" t="str">
        <x:v>17</x:v>
      </x:c>
      <x:c r="AA168" s="62" t="str">
        <x:v>热能动力研究</x:v>
      </x:c>
      <x:c r="AB168" s="62" t="str">
        <x:v>PRJ-JS-热能-2025-003</x:v>
      </x:c>
      <x:c r="AC168" s="74" t="n">
        <x:v>45657</x:v>
      </x:c>
      <x:c r="AD168" s="71" t="str">
        <x:v>SYNTHETIC_FOR_DEMO：按2025同项目交通运输费金额/1.04反推</x:v>
      </x:c>
      <x:c r="AE168" s="71" t="str">
        <x:v>2025年实际执行.xlsx</x:v>
      </x:c>
      <x:c r="AF168" s="71" t="str">
        <x:v>Sheet</x:v>
      </x:c>
      <x:c r="AG168" s="71" t="n">
        <x:v>51</x:v>
      </x:c>
      <x:c r="AH168" s="71" t="str">
        <x:v>2025年实际执行.xlsx/Sheet!51:51</x:v>
      </x:c>
      <x:c r="AI168" s="62" t="str">
        <x:f>IF(F168=MONTH(L168),"OK","FAIL")</x:f>
        <x:v>OK</x:v>
      </x:c>
      <x:c r="AJ168" s="62" t="str">
        <x:f>IF(J168&lt;=L168,"OK","FAIL")</x:f>
        <x:v>OK</x:v>
      </x:c>
      <x:c r="AK168" s="62" t="str">
        <x:f>IF(D168&lt;&gt;"营业收入","OK",IF(AND(P168&lt;0,Q168&gt;0),"OK","FAIL"))</x:f>
        <x:v>OK</x:v>
      </x:c>
      <x:c r="AL168" s="62" t="str">
        <x:f>IF(COUNTIF($A$2:$A$204,A168)=1,"OK","FAIL")</x:f>
        <x:v>OK</x:v>
      </x:c>
    </x:row>
    <x:row r="169">
      <x:c r="A169" s="62" t="str">
        <x:v>DEMO01|2024|DOC1167|10</x:v>
      </x:c>
      <x:c r="B169" s="62" t="str">
        <x:v>SYNTHETIC_FOR_DEMO</x:v>
      </x:c>
      <x:c r="C169" s="62" t="str">
        <x:v>交通运输费</x:v>
      </x:c>
      <x:c r="D169" s="62" t="str">
        <x:v>交通运输费</x:v>
      </x:c>
      <x:c r="E169" s="62"/>
      <x:c r="F169" s="62" t="n">
        <x:v>11</x:v>
      </x:c>
      <x:c r="G169" s="62" t="str">
        <x:v>DOC1167</x:v>
      </x:c>
      <x:c r="H169" s="62" t="n">
        <x:v>10</x:v>
      </x:c>
      <x:c r="I169" s="74"/>
      <x:c r="J169" s="74" t="n">
        <x:v>45611</x:v>
      </x:c>
      <x:c r="K169" s="74"/>
      <x:c r="L169" s="74" t="n">
        <x:v>45611</x:v>
      </x:c>
      <x:c r="M169" s="77"/>
      <x:c r="N169" s="77" t="n">
        <x:v>0.838</x:v>
      </x:c>
      <x:c r="O169" s="78" t="n">
        <x:v>0.04</x:v>
      </x:c>
      <x:c r="P169" s="79" t="n">
        <x:f>ROUND(N169/(1+O169),4)</x:f>
        <x:v>0.8058</x:v>
      </x:c>
      <x:c r="Q169" s="79" t="n">
        <x:f>IF(D169="营业收入",-P169,P169)</x:f>
        <x:v>0.8058</x:v>
      </x:c>
      <x:c r="R169" s="62" t="str">
        <x:v>CNY</x:v>
      </x:c>
      <x:c r="S169" s="62" t="str">
        <x:v>万元</x:v>
      </x:c>
      <x:c r="T169" s="62" t="str">
        <x:v>费用不含税</x:v>
      </x:c>
      <x:c r="U169" s="62" t="str">
        <x:v>技术部</x:v>
      </x:c>
      <x:c r="V169" s="62" t="str">
        <x:v>经验反馈改进材料运输</x:v>
      </x:c>
      <x:c r="W169" s="62" t="str">
        <x:v>经验反馈改进材料运输及市内交通</x:v>
      </x:c>
      <x:c r="X169" s="62" t="str">
        <x:v>华能服务</x:v>
      </x:c>
      <x:c r="Y169" s="62" t="str">
        <x:v>华能服务</x:v>
      </x:c>
      <x:c r="Z169" s="62" t="str">
        <x:v>17</x:v>
      </x:c>
      <x:c r="AA169" s="62" t="str">
        <x:v>经验反馈改进</x:v>
      </x:c>
      <x:c r="AB169" s="62" t="str">
        <x:v>PRJ-JS-经验-2024-001</x:v>
      </x:c>
      <x:c r="AC169" s="74" t="n">
        <x:v>45657</x:v>
      </x:c>
      <x:c r="AD169" s="71" t="str">
        <x:v>SYNTHETIC_FOR_DEMO：按2025同项目交通运输费金额/1.04反推</x:v>
      </x:c>
      <x:c r="AE169" s="71" t="str">
        <x:v>2025年实际执行.xlsx</x:v>
      </x:c>
      <x:c r="AF169" s="71" t="str">
        <x:v>Sheet</x:v>
      </x:c>
      <x:c r="AG169" s="71" t="n">
        <x:v>59</x:v>
      </x:c>
      <x:c r="AH169" s="71" t="str">
        <x:v>2025年实际执行.xlsx/Sheet!59:59</x:v>
      </x:c>
      <x:c r="AI169" s="62" t="str">
        <x:f>IF(F169=MONTH(L169),"OK","FAIL")</x:f>
        <x:v>OK</x:v>
      </x:c>
      <x:c r="AJ169" s="62" t="str">
        <x:f>IF(J169&lt;=L169,"OK","FAIL")</x:f>
        <x:v>OK</x:v>
      </x:c>
      <x:c r="AK169" s="62" t="str">
        <x:f>IF(D169&lt;&gt;"营业收入","OK",IF(AND(P169&lt;0,Q169&gt;0),"OK","FAIL"))</x:f>
        <x:v>OK</x:v>
      </x:c>
      <x:c r="AL169" s="62" t="str">
        <x:f>IF(COUNTIF($A$2:$A$204,A169)=1,"OK","FAIL")</x:f>
        <x:v>OK</x:v>
      </x:c>
    </x:row>
    <x:row r="170">
      <x:c r="A170" s="62" t="str">
        <x:v>DEMO01|2024|DOC1168|10</x:v>
      </x:c>
      <x:c r="B170" s="62" t="str">
        <x:v>SYNTHETIC_FOR_DEMO</x:v>
      </x:c>
      <x:c r="C170" s="62" t="str">
        <x:v>交通运输费</x:v>
      </x:c>
      <x:c r="D170" s="62" t="str">
        <x:v>交通运输费</x:v>
      </x:c>
      <x:c r="E170" s="62"/>
      <x:c r="F170" s="62" t="n">
        <x:v>12</x:v>
      </x:c>
      <x:c r="G170" s="62" t="str">
        <x:v>DOC1168</x:v>
      </x:c>
      <x:c r="H170" s="62" t="n">
        <x:v>10</x:v>
      </x:c>
      <x:c r="I170" s="74"/>
      <x:c r="J170" s="74" t="n">
        <x:v>45641</x:v>
      </x:c>
      <x:c r="K170" s="74"/>
      <x:c r="L170" s="74" t="n">
        <x:v>45641</x:v>
      </x:c>
      <x:c r="M170" s="77"/>
      <x:c r="N170" s="77" t="n">
        <x:v>0.8115</x:v>
      </x:c>
      <x:c r="O170" s="78" t="n">
        <x:v>0.04</x:v>
      </x:c>
      <x:c r="P170" s="79" t="n">
        <x:f>ROUND(N170/(1+O170),4)</x:f>
        <x:v>0.7803</x:v>
      </x:c>
      <x:c r="Q170" s="79" t="n">
        <x:f>IF(D170="营业收入",-P170,P170)</x:f>
        <x:v>0.7803</x:v>
      </x:c>
      <x:c r="R170" s="62" t="str">
        <x:v>CNY</x:v>
      </x:c>
      <x:c r="S170" s="62" t="str">
        <x:v>万元</x:v>
      </x:c>
      <x:c r="T170" s="62" t="str">
        <x:v>费用不含税</x:v>
      </x:c>
      <x:c r="U170" s="62" t="str">
        <x:v>技术部</x:v>
      </x:c>
      <x:c r="V170" s="62" t="str">
        <x:v>经验反馈改进材料运输</x:v>
      </x:c>
      <x:c r="W170" s="62" t="str">
        <x:v>经验反馈改进材料运输及市内交通</x:v>
      </x:c>
      <x:c r="X170" s="62" t="str">
        <x:v>华能服务</x:v>
      </x:c>
      <x:c r="Y170" s="62" t="str">
        <x:v>华能服务</x:v>
      </x:c>
      <x:c r="Z170" s="62" t="str">
        <x:v>17</x:v>
      </x:c>
      <x:c r="AA170" s="62" t="str">
        <x:v>经验反馈改进</x:v>
      </x:c>
      <x:c r="AB170" s="62" t="str">
        <x:v>PRJ-JS-经验-2025-002</x:v>
      </x:c>
      <x:c r="AC170" s="74" t="n">
        <x:v>45657</x:v>
      </x:c>
      <x:c r="AD170" s="71" t="str">
        <x:v>SYNTHETIC_FOR_DEMO：按2025同项目交通运输费金额/1.04反推</x:v>
      </x:c>
      <x:c r="AE170" s="71" t="str">
        <x:v>2025年实际执行.xlsx</x:v>
      </x:c>
      <x:c r="AF170" s="71" t="str">
        <x:v>Sheet</x:v>
      </x:c>
      <x:c r="AG170" s="71" t="n">
        <x:v>68</x:v>
      </x:c>
      <x:c r="AH170" s="71" t="str">
        <x:v>2025年实际执行.xlsx/Sheet!68:68</x:v>
      </x:c>
      <x:c r="AI170" s="62" t="str">
        <x:f>IF(F170=MONTH(L170),"OK","FAIL")</x:f>
        <x:v>OK</x:v>
      </x:c>
      <x:c r="AJ170" s="62" t="str">
        <x:f>IF(J170&lt;=L170,"OK","FAIL")</x:f>
        <x:v>OK</x:v>
      </x:c>
      <x:c r="AK170" s="62" t="str">
        <x:f>IF(D170&lt;&gt;"营业收入","OK",IF(AND(P170&lt;0,Q170&gt;0),"OK","FAIL"))</x:f>
        <x:v>OK</x:v>
      </x:c>
      <x:c r="AL170" s="62" t="str">
        <x:f>IF(COUNTIF($A$2:$A$204,A170)=1,"OK","FAIL")</x:f>
        <x:v>OK</x:v>
      </x:c>
    </x:row>
    <x:row r="171">
      <x:c r="A171" s="62" t="str">
        <x:v>DEMO01|2024|DOC1169|10</x:v>
      </x:c>
      <x:c r="B171" s="62" t="str">
        <x:v>SYNTHETIC_FOR_DEMO</x:v>
      </x:c>
      <x:c r="C171" s="62" t="str">
        <x:v>交通运输费</x:v>
      </x:c>
      <x:c r="D171" s="62" t="str">
        <x:v>交通运输费</x:v>
      </x:c>
      <x:c r="E171" s="62"/>
      <x:c r="F171" s="62" t="n">
        <x:v>4</x:v>
      </x:c>
      <x:c r="G171" s="62" t="str">
        <x:v>DOC1169</x:v>
      </x:c>
      <x:c r="H171" s="62" t="n">
        <x:v>10</x:v>
      </x:c>
      <x:c r="I171" s="74"/>
      <x:c r="J171" s="74" t="n">
        <x:v>45397</x:v>
      </x:c>
      <x:c r="K171" s="74"/>
      <x:c r="L171" s="74" t="n">
        <x:v>45397</x:v>
      </x:c>
      <x:c r="M171" s="77"/>
      <x:c r="N171" s="77" t="n">
        <x:v>0.76</x:v>
      </x:c>
      <x:c r="O171" s="78" t="n">
        <x:v>0.04</x:v>
      </x:c>
      <x:c r="P171" s="79" t="n">
        <x:f>ROUND(N171/(1+O171),4)</x:f>
        <x:v>0.7308</x:v>
      </x:c>
      <x:c r="Q171" s="79" t="n">
        <x:f>IF(D171="营业收入",-P171,P171)</x:f>
        <x:v>0.7308</x:v>
      </x:c>
      <x:c r="R171" s="62" t="str">
        <x:v>CNY</x:v>
      </x:c>
      <x:c r="S171" s="62" t="str">
        <x:v>万元</x:v>
      </x:c>
      <x:c r="T171" s="62" t="str">
        <x:v>费用不含税</x:v>
      </x:c>
      <x:c r="U171" s="62" t="str">
        <x:v>技术部</x:v>
      </x:c>
      <x:c r="V171" s="62" t="str">
        <x:v>经验反馈改进材料运输</x:v>
      </x:c>
      <x:c r="W171" s="62" t="str">
        <x:v>经验反馈改进材料运输及市内交通</x:v>
      </x:c>
      <x:c r="X171" s="62" t="str">
        <x:v>国电智深</x:v>
      </x:c>
      <x:c r="Y171" s="62" t="str">
        <x:v>国电智深</x:v>
      </x:c>
      <x:c r="Z171" s="62" t="str">
        <x:v>17</x:v>
      </x:c>
      <x:c r="AA171" s="62" t="str">
        <x:v>经验反馈改进</x:v>
      </x:c>
      <x:c r="AB171" s="62" t="str">
        <x:v>PRJ-JS-经验-2025-003</x:v>
      </x:c>
      <x:c r="AC171" s="74" t="n">
        <x:v>45657</x:v>
      </x:c>
      <x:c r="AD171" s="71" t="str">
        <x:v>SYNTHETIC_FOR_DEMO：按2025同项目交通运输费金额/1.04反推</x:v>
      </x:c>
      <x:c r="AE171" s="71" t="str">
        <x:v>2025年实际执行.xlsx</x:v>
      </x:c>
      <x:c r="AF171" s="71" t="str">
        <x:v>Sheet</x:v>
      </x:c>
      <x:c r="AG171" s="71" t="n">
        <x:v>77</x:v>
      </x:c>
      <x:c r="AH171" s="71" t="str">
        <x:v>2025年实际执行.xlsx/Sheet!77:77</x:v>
      </x:c>
      <x:c r="AI171" s="62" t="str">
        <x:f>IF(F171=MONTH(L171),"OK","FAIL")</x:f>
        <x:v>OK</x:v>
      </x:c>
      <x:c r="AJ171" s="62" t="str">
        <x:f>IF(J171&lt;=L171,"OK","FAIL")</x:f>
        <x:v>OK</x:v>
      </x:c>
      <x:c r="AK171" s="62" t="str">
        <x:f>IF(D171&lt;&gt;"营业收入","OK",IF(AND(P171&lt;0,Q171&gt;0),"OK","FAIL"))</x:f>
        <x:v>OK</x:v>
      </x:c>
      <x:c r="AL171" s="62" t="str">
        <x:f>IF(COUNTIF($A$2:$A$204,A171)=1,"OK","FAIL")</x:f>
        <x:v>OK</x:v>
      </x:c>
    </x:row>
    <x:row r="172">
      <x:c r="A172" s="62" t="str">
        <x:v>DEMO01|2024|DOC1170|10</x:v>
      </x:c>
      <x:c r="B172" s="62" t="str">
        <x:v>SYNTHETIC_FOR_DEMO</x:v>
      </x:c>
      <x:c r="C172" s="62" t="str">
        <x:v>交通运输费</x:v>
      </x:c>
      <x:c r="D172" s="62" t="str">
        <x:v>交通运输费</x:v>
      </x:c>
      <x:c r="E172" s="62"/>
      <x:c r="F172" s="62" t="n">
        <x:v>1</x:v>
      </x:c>
      <x:c r="G172" s="62" t="str">
        <x:v>DOC1170</x:v>
      </x:c>
      <x:c r="H172" s="62" t="n">
        <x:v>10</x:v>
      </x:c>
      <x:c r="I172" s="74"/>
      <x:c r="J172" s="74" t="n">
        <x:v>45306</x:v>
      </x:c>
      <x:c r="K172" s="74"/>
      <x:c r="L172" s="74" t="n">
        <x:v>45306</x:v>
      </x:c>
      <x:c r="M172" s="77"/>
      <x:c r="N172" s="77" t="n">
        <x:v>0.7235</x:v>
      </x:c>
      <x:c r="O172" s="78" t="n">
        <x:v>0.04</x:v>
      </x:c>
      <x:c r="P172" s="79" t="n">
        <x:f>ROUND(N172/(1+O172),4)</x:f>
        <x:v>0.6957</x:v>
      </x:c>
      <x:c r="Q172" s="79" t="n">
        <x:f>IF(D172="营业收入",-P172,P172)</x:f>
        <x:v>0.6957</x:v>
      </x:c>
      <x:c r="R172" s="62" t="str">
        <x:v>CNY</x:v>
      </x:c>
      <x:c r="S172" s="62" t="str">
        <x:v>万元</x:v>
      </x:c>
      <x:c r="T172" s="62" t="str">
        <x:v>费用不含税</x:v>
      </x:c>
      <x:c r="U172" s="62" t="str">
        <x:v>技术部</x:v>
      </x:c>
      <x:c r="V172" s="62" t="str">
        <x:v>新技术应用材料运输</x:v>
      </x:c>
      <x:c r="W172" s="62" t="str">
        <x:v>新技术应用材料运输及市内交通</x:v>
      </x:c>
      <x:c r="X172" s="62" t="str">
        <x:v>苏州热工</x:v>
      </x:c>
      <x:c r="Y172" s="62" t="str">
        <x:v>苏州热工</x:v>
      </x:c>
      <x:c r="Z172" s="62" t="str">
        <x:v>17</x:v>
      </x:c>
      <x:c r="AA172" s="62" t="str">
        <x:v>新技术应用</x:v>
      </x:c>
      <x:c r="AB172" s="62" t="str">
        <x:v>PRJ-JS-新技-2024-001</x:v>
      </x:c>
      <x:c r="AC172" s="74" t="n">
        <x:v>45657</x:v>
      </x:c>
      <x:c r="AD172" s="71" t="str">
        <x:v>SYNTHETIC_FOR_DEMO：按2025同项目交通运输费金额/1.04反推</x:v>
      </x:c>
      <x:c r="AE172" s="71" t="str">
        <x:v>2025年实际执行.xlsx</x:v>
      </x:c>
      <x:c r="AF172" s="71" t="str">
        <x:v>Sheet</x:v>
      </x:c>
      <x:c r="AG172" s="71" t="n">
        <x:v>85</x:v>
      </x:c>
      <x:c r="AH172" s="71" t="str">
        <x:v>2025年实际执行.xlsx/Sheet!85:85</x:v>
      </x:c>
      <x:c r="AI172" s="62" t="str">
        <x:f>IF(F172=MONTH(L172),"OK","FAIL")</x:f>
        <x:v>OK</x:v>
      </x:c>
      <x:c r="AJ172" s="62" t="str">
        <x:f>IF(J172&lt;=L172,"OK","FAIL")</x:f>
        <x:v>OK</x:v>
      </x:c>
      <x:c r="AK172" s="62" t="str">
        <x:f>IF(D172&lt;&gt;"营业收入","OK",IF(AND(P172&lt;0,Q172&gt;0),"OK","FAIL"))</x:f>
        <x:v>OK</x:v>
      </x:c>
      <x:c r="AL172" s="62" t="str">
        <x:f>IF(COUNTIF($A$2:$A$204,A172)=1,"OK","FAIL")</x:f>
        <x:v>OK</x:v>
      </x:c>
    </x:row>
    <x:row r="173">
      <x:c r="A173" s="62" t="str">
        <x:v>DEMO01|2024|DOC1171|10</x:v>
      </x:c>
      <x:c r="B173" s="62" t="str">
        <x:v>SYNTHETIC_FOR_DEMO</x:v>
      </x:c>
      <x:c r="C173" s="62" t="str">
        <x:v>交通运输费</x:v>
      </x:c>
      <x:c r="D173" s="62" t="str">
        <x:v>交通运输费</x:v>
      </x:c>
      <x:c r="E173" s="62"/>
      <x:c r="F173" s="62" t="n">
        <x:v>4</x:v>
      </x:c>
      <x:c r="G173" s="62" t="str">
        <x:v>DOC1171</x:v>
      </x:c>
      <x:c r="H173" s="62" t="n">
        <x:v>10</x:v>
      </x:c>
      <x:c r="I173" s="74"/>
      <x:c r="J173" s="74" t="n">
        <x:v>45397</x:v>
      </x:c>
      <x:c r="K173" s="74"/>
      <x:c r="L173" s="74" t="n">
        <x:v>45397</x:v>
      </x:c>
      <x:c r="M173" s="77"/>
      <x:c r="N173" s="77" t="n">
        <x:v>0.867</x:v>
      </x:c>
      <x:c r="O173" s="78" t="n">
        <x:v>0.04</x:v>
      </x:c>
      <x:c r="P173" s="79" t="n">
        <x:f>ROUND(N173/(1+O173),4)</x:f>
        <x:v>0.8337</x:v>
      </x:c>
      <x:c r="Q173" s="79" t="n">
        <x:f>IF(D173="营业收入",-P173,P173)</x:f>
        <x:v>0.8337</x:v>
      </x:c>
      <x:c r="R173" s="62" t="str">
        <x:v>CNY</x:v>
      </x:c>
      <x:c r="S173" s="62" t="str">
        <x:v>万元</x:v>
      </x:c>
      <x:c r="T173" s="62" t="str">
        <x:v>费用不含税</x:v>
      </x:c>
      <x:c r="U173" s="62" t="str">
        <x:v>技术部</x:v>
      </x:c>
      <x:c r="V173" s="62" t="str">
        <x:v>新技术应用材料运输</x:v>
      </x:c>
      <x:c r="W173" s="62" t="str">
        <x:v>新技术应用材料运输及市内交通</x:v>
      </x:c>
      <x:c r="X173" s="62" t="str">
        <x:v>北京核工院</x:v>
      </x:c>
      <x:c r="Y173" s="62" t="str">
        <x:v>北京核工院</x:v>
      </x:c>
      <x:c r="Z173" s="62" t="str">
        <x:v>17</x:v>
      </x:c>
      <x:c r="AA173" s="62" t="str">
        <x:v>新技术应用</x:v>
      </x:c>
      <x:c r="AB173" s="62" t="str">
        <x:v>PRJ-JS-新技-2025-002</x:v>
      </x:c>
      <x:c r="AC173" s="74" t="n">
        <x:v>45657</x:v>
      </x:c>
      <x:c r="AD173" s="71" t="str">
        <x:v>SYNTHETIC_FOR_DEMO：按2025同项目交通运输费金额/1.04反推</x:v>
      </x:c>
      <x:c r="AE173" s="71" t="str">
        <x:v>2025年实际执行.xlsx</x:v>
      </x:c>
      <x:c r="AF173" s="71" t="str">
        <x:v>Sheet</x:v>
      </x:c>
      <x:c r="AG173" s="71" t="n">
        <x:v>94</x:v>
      </x:c>
      <x:c r="AH173" s="71" t="str">
        <x:v>2025年实际执行.xlsx/Sheet!94:94</x:v>
      </x:c>
      <x:c r="AI173" s="62" t="str">
        <x:f>IF(F173=MONTH(L173),"OK","FAIL")</x:f>
        <x:v>OK</x:v>
      </x:c>
      <x:c r="AJ173" s="62" t="str">
        <x:f>IF(J173&lt;=L173,"OK","FAIL")</x:f>
        <x:v>OK</x:v>
      </x:c>
      <x:c r="AK173" s="62" t="str">
        <x:f>IF(D173&lt;&gt;"营业收入","OK",IF(AND(P173&lt;0,Q173&gt;0),"OK","FAIL"))</x:f>
        <x:v>OK</x:v>
      </x:c>
      <x:c r="AL173" s="62" t="str">
        <x:f>IF(COUNTIF($A$2:$A$204,A173)=1,"OK","FAIL")</x:f>
        <x:v>OK</x:v>
      </x:c>
    </x:row>
    <x:row r="174">
      <x:c r="A174" s="62" t="str">
        <x:v>DEMO01|2024|DOC1172|10</x:v>
      </x:c>
      <x:c r="B174" s="62" t="str">
        <x:v>SYNTHETIC_FOR_DEMO</x:v>
      </x:c>
      <x:c r="C174" s="62" t="str">
        <x:v>交通运输费</x:v>
      </x:c>
      <x:c r="D174" s="62" t="str">
        <x:v>交通运输费</x:v>
      </x:c>
      <x:c r="E174" s="62"/>
      <x:c r="F174" s="62" t="n">
        <x:v>8</x:v>
      </x:c>
      <x:c r="G174" s="62" t="str">
        <x:v>DOC1172</x:v>
      </x:c>
      <x:c r="H174" s="62" t="n">
        <x:v>10</x:v>
      </x:c>
      <x:c r="I174" s="74"/>
      <x:c r="J174" s="74" t="n">
        <x:v>45519</x:v>
      </x:c>
      <x:c r="K174" s="74"/>
      <x:c r="L174" s="74" t="n">
        <x:v>45519</x:v>
      </x:c>
      <x:c r="M174" s="77"/>
      <x:c r="N174" s="77" t="n">
        <x:v>0.668</x:v>
      </x:c>
      <x:c r="O174" s="78" t="n">
        <x:v>0.04</x:v>
      </x:c>
      <x:c r="P174" s="79" t="n">
        <x:f>ROUND(N174/(1+O174),4)</x:f>
        <x:v>0.6423</x:v>
      </x:c>
      <x:c r="Q174" s="79" t="n">
        <x:f>IF(D174="营业收入",-P174,P174)</x:f>
        <x:v>0.6423</x:v>
      </x:c>
      <x:c r="R174" s="62" t="str">
        <x:v>CNY</x:v>
      </x:c>
      <x:c r="S174" s="62" t="str">
        <x:v>万元</x:v>
      </x:c>
      <x:c r="T174" s="62" t="str">
        <x:v>费用不含税</x:v>
      </x:c>
      <x:c r="U174" s="62" t="str">
        <x:v>技术部</x:v>
      </x:c>
      <x:c r="V174" s="62" t="str">
        <x:v>新技术应用材料运输</x:v>
      </x:c>
      <x:c r="W174" s="62" t="str">
        <x:v>新技术应用材料运输及市内交通</x:v>
      </x:c>
      <x:c r="X174" s="62" t="str">
        <x:v>苏州热工</x:v>
      </x:c>
      <x:c r="Y174" s="62" t="str">
        <x:v>苏州热工</x:v>
      </x:c>
      <x:c r="Z174" s="62" t="str">
        <x:v>17</x:v>
      </x:c>
      <x:c r="AA174" s="62" t="str">
        <x:v>新技术应用</x:v>
      </x:c>
      <x:c r="AB174" s="62" t="str">
        <x:v>PRJ-JS-新技-2025-003</x:v>
      </x:c>
      <x:c r="AC174" s="74" t="n">
        <x:v>45657</x:v>
      </x:c>
      <x:c r="AD174" s="71" t="str">
        <x:v>SYNTHETIC_FOR_DEMO：按2025同项目交通运输费金额/1.04反推</x:v>
      </x:c>
      <x:c r="AE174" s="71" t="str">
        <x:v>2025年实际执行.xlsx</x:v>
      </x:c>
      <x:c r="AF174" s="71" t="str">
        <x:v>Sheet</x:v>
      </x:c>
      <x:c r="AG174" s="71" t="n">
        <x:v>103</x:v>
      </x:c>
      <x:c r="AH174" s="71" t="str">
        <x:v>2025年实际执行.xlsx/Sheet!103:103</x:v>
      </x:c>
      <x:c r="AI174" s="62" t="str">
        <x:f>IF(F174=MONTH(L174),"OK","FAIL")</x:f>
        <x:v>OK</x:v>
      </x:c>
      <x:c r="AJ174" s="62" t="str">
        <x:f>IF(J174&lt;=L174,"OK","FAIL")</x:f>
        <x:v>OK</x:v>
      </x:c>
      <x:c r="AK174" s="62" t="str">
        <x:f>IF(D174&lt;&gt;"营业收入","OK",IF(AND(P174&lt;0,Q174&gt;0),"OK","FAIL"))</x:f>
        <x:v>OK</x:v>
      </x:c>
      <x:c r="AL174" s="62" t="str">
        <x:f>IF(COUNTIF($A$2:$A$204,A174)=1,"OK","FAIL")</x:f>
        <x:v>OK</x:v>
      </x:c>
    </x:row>
    <x:row r="175">
      <x:c r="A175" s="62" t="str">
        <x:v>DEMO01|2024|DOC1173|10</x:v>
      </x:c>
      <x:c r="B175" s="62" t="str">
        <x:v>SYNTHETIC_FOR_DEMO</x:v>
      </x:c>
      <x:c r="C175" s="62" t="str">
        <x:v>交通运输费</x:v>
      </x:c>
      <x:c r="D175" s="62" t="str">
        <x:v>交通运输费</x:v>
      </x:c>
      <x:c r="E175" s="62"/>
      <x:c r="F175" s="62" t="n">
        <x:v>7</x:v>
      </x:c>
      <x:c r="G175" s="62" t="str">
        <x:v>DOC1173</x:v>
      </x:c>
      <x:c r="H175" s="62" t="n">
        <x:v>10</x:v>
      </x:c>
      <x:c r="I175" s="74"/>
      <x:c r="J175" s="74" t="n">
        <x:v>45488</x:v>
      </x:c>
      <x:c r="K175" s="74"/>
      <x:c r="L175" s="74" t="n">
        <x:v>45488</x:v>
      </x:c>
      <x:c r="M175" s="77"/>
      <x:c r="N175" s="77" t="n">
        <x:v>0.799</x:v>
      </x:c>
      <x:c r="O175" s="78" t="n">
        <x:v>0.05</x:v>
      </x:c>
      <x:c r="P175" s="79" t="n">
        <x:f>ROUND(N175/(1+O175),4)</x:f>
        <x:v>0.761</x:v>
      </x:c>
      <x:c r="Q175" s="79" t="n">
        <x:f>IF(D175="营业收入",-P175,P175)</x:f>
        <x:v>0.761</x:v>
      </x:c>
      <x:c r="R175" s="62" t="str">
        <x:v>CNY</x:v>
      </x:c>
      <x:c r="S175" s="62" t="str">
        <x:v>万元</x:v>
      </x:c>
      <x:c r="T175" s="62" t="str">
        <x:v>费用不含税</x:v>
      </x:c>
      <x:c r="U175" s="62" t="str">
        <x:v>安全运行部</x:v>
      </x:c>
      <x:c r="V175" s="62" t="str">
        <x:v>概率安全分析材料运输</x:v>
      </x:c>
      <x:c r="W175" s="62" t="str">
        <x:v>概率安全分析材料运输及市内交通</x:v>
      </x:c>
      <x:c r="X175" s="62" t="str">
        <x:v>上海电气</x:v>
      </x:c>
      <x:c r="Y175" s="62" t="str">
        <x:v>上海电气</x:v>
      </x:c>
      <x:c r="Z175" s="62" t="str">
        <x:v>17</x:v>
      </x:c>
      <x:c r="AA175" s="62" t="str">
        <x:v>概率安全分析</x:v>
      </x:c>
      <x:c r="AB175" s="62" t="str">
        <x:v>PRJ-AQ-概率-2024-001</x:v>
      </x:c>
      <x:c r="AC175" s="74" t="n">
        <x:v>45657</x:v>
      </x:c>
      <x:c r="AD175" s="71" t="str">
        <x:v>SYNTHETIC_FOR_DEMO：按2025同项目交通运输费金额/1.05反推</x:v>
      </x:c>
      <x:c r="AE175" s="71" t="str">
        <x:v>2025年实际执行.xlsx</x:v>
      </x:c>
      <x:c r="AF175" s="71" t="str">
        <x:v>Sheet</x:v>
      </x:c>
      <x:c r="AG175" s="71" t="n">
        <x:v>111</x:v>
      </x:c>
      <x:c r="AH175" s="71" t="str">
        <x:v>2025年实际执行.xlsx/Sheet!111:111</x:v>
      </x:c>
      <x:c r="AI175" s="62" t="str">
        <x:f>IF(F175=MONTH(L175),"OK","FAIL")</x:f>
        <x:v>OK</x:v>
      </x:c>
      <x:c r="AJ175" s="62" t="str">
        <x:f>IF(J175&lt;=L175,"OK","FAIL")</x:f>
        <x:v>OK</x:v>
      </x:c>
      <x:c r="AK175" s="62" t="str">
        <x:f>IF(D175&lt;&gt;"营业收入","OK",IF(AND(P175&lt;0,Q175&gt;0),"OK","FAIL"))</x:f>
        <x:v>OK</x:v>
      </x:c>
      <x:c r="AL175" s="62" t="str">
        <x:f>IF(COUNTIF($A$2:$A$204,A175)=1,"OK","FAIL")</x:f>
        <x:v>OK</x:v>
      </x:c>
    </x:row>
    <x:row r="176">
      <x:c r="A176" s="62" t="str">
        <x:v>DEMO01|2024|DOC1174|10</x:v>
      </x:c>
      <x:c r="B176" s="62" t="str">
        <x:v>SYNTHETIC_FOR_DEMO</x:v>
      </x:c>
      <x:c r="C176" s="62" t="str">
        <x:v>交通运输费</x:v>
      </x:c>
      <x:c r="D176" s="62" t="str">
        <x:v>交通运输费</x:v>
      </x:c>
      <x:c r="E176" s="62"/>
      <x:c r="F176" s="62" t="n">
        <x:v>9</x:v>
      </x:c>
      <x:c r="G176" s="62" t="str">
        <x:v>DOC1174</x:v>
      </x:c>
      <x:c r="H176" s="62" t="n">
        <x:v>10</x:v>
      </x:c>
      <x:c r="I176" s="74"/>
      <x:c r="J176" s="74" t="n">
        <x:v>45550</x:v>
      </x:c>
      <x:c r="K176" s="74"/>
      <x:c r="L176" s="74" t="n">
        <x:v>45550</x:v>
      </x:c>
      <x:c r="M176" s="77"/>
      <x:c r="N176" s="77" t="n">
        <x:v>0.9665</x:v>
      </x:c>
      <x:c r="O176" s="78" t="n">
        <x:v>0.05</x:v>
      </x:c>
      <x:c r="P176" s="79" t="n">
        <x:f>ROUND(N176/(1+O176),4)</x:f>
        <x:v>0.9205</x:v>
      </x:c>
      <x:c r="Q176" s="79" t="n">
        <x:f>IF(D176="营业收入",-P176,P176)</x:f>
        <x:v>0.9205</x:v>
      </x:c>
      <x:c r="R176" s="62" t="str">
        <x:v>CNY</x:v>
      </x:c>
      <x:c r="S176" s="62" t="str">
        <x:v>万元</x:v>
      </x:c>
      <x:c r="T176" s="62" t="str">
        <x:v>费用不含税</x:v>
      </x:c>
      <x:c r="U176" s="62" t="str">
        <x:v>安全运行部</x:v>
      </x:c>
      <x:c r="V176" s="62" t="str">
        <x:v>概率安全分析材料运输</x:v>
      </x:c>
      <x:c r="W176" s="62" t="str">
        <x:v>概率安全分析材料运输及市内交通</x:v>
      </x:c>
      <x:c r="X176" s="62" t="str">
        <x:v>苏州热工</x:v>
      </x:c>
      <x:c r="Y176" s="62" t="str">
        <x:v>苏州热工</x:v>
      </x:c>
      <x:c r="Z176" s="62" t="str">
        <x:v>17</x:v>
      </x:c>
      <x:c r="AA176" s="62" t="str">
        <x:v>概率安全分析</x:v>
      </x:c>
      <x:c r="AB176" s="62" t="str">
        <x:v>PRJ-AQ-概率-2025-002</x:v>
      </x:c>
      <x:c r="AC176" s="74" t="n">
        <x:v>45657</x:v>
      </x:c>
      <x:c r="AD176" s="71" t="str">
        <x:v>SYNTHETIC_FOR_DEMO：按2025同项目交通运输费金额/1.05反推</x:v>
      </x:c>
      <x:c r="AE176" s="71" t="str">
        <x:v>2025年实际执行.xlsx</x:v>
      </x:c>
      <x:c r="AF176" s="71" t="str">
        <x:v>Sheet</x:v>
      </x:c>
      <x:c r="AG176" s="71" t="n">
        <x:v>120</x:v>
      </x:c>
      <x:c r="AH176" s="71" t="str">
        <x:v>2025年实际执行.xlsx/Sheet!120:120</x:v>
      </x:c>
      <x:c r="AI176" s="62" t="str">
        <x:f>IF(F176=MONTH(L176),"OK","FAIL")</x:f>
        <x:v>OK</x:v>
      </x:c>
      <x:c r="AJ176" s="62" t="str">
        <x:f>IF(J176&lt;=L176,"OK","FAIL")</x:f>
        <x:v>OK</x:v>
      </x:c>
      <x:c r="AK176" s="62" t="str">
        <x:f>IF(D176&lt;&gt;"营业收入","OK",IF(AND(P176&lt;0,Q176&gt;0),"OK","FAIL"))</x:f>
        <x:v>OK</x:v>
      </x:c>
      <x:c r="AL176" s="62" t="str">
        <x:f>IF(COUNTIF($A$2:$A$204,A176)=1,"OK","FAIL")</x:f>
        <x:v>OK</x:v>
      </x:c>
    </x:row>
    <x:row r="177">
      <x:c r="A177" s="62" t="str">
        <x:v>DEMO01|2024|DOC1175|10</x:v>
      </x:c>
      <x:c r="B177" s="62" t="str">
        <x:v>SYNTHETIC_FOR_DEMO</x:v>
      </x:c>
      <x:c r="C177" s="62" t="str">
        <x:v>交通运输费</x:v>
      </x:c>
      <x:c r="D177" s="62" t="str">
        <x:v>交通运输费</x:v>
      </x:c>
      <x:c r="E177" s="62"/>
      <x:c r="F177" s="62" t="n">
        <x:v>9</x:v>
      </x:c>
      <x:c r="G177" s="62" t="str">
        <x:v>DOC1175</x:v>
      </x:c>
      <x:c r="H177" s="62" t="n">
        <x:v>10</x:v>
      </x:c>
      <x:c r="I177" s="74"/>
      <x:c r="J177" s="74" t="n">
        <x:v>45550</x:v>
      </x:c>
      <x:c r="K177" s="74"/>
      <x:c r="L177" s="74" t="n">
        <x:v>45550</x:v>
      </x:c>
      <x:c r="M177" s="77"/>
      <x:c r="N177" s="77" t="n">
        <x:v>0.797</x:v>
      </x:c>
      <x:c r="O177" s="78" t="n">
        <x:v>0.05</x:v>
      </x:c>
      <x:c r="P177" s="79" t="n">
        <x:f>ROUND(N177/(1+O177),4)</x:f>
        <x:v>0.759</x:v>
      </x:c>
      <x:c r="Q177" s="79" t="n">
        <x:f>IF(D177="营业收入",-P177,P177)</x:f>
        <x:v>0.759</x:v>
      </x:c>
      <x:c r="R177" s="62" t="str">
        <x:v>CNY</x:v>
      </x:c>
      <x:c r="S177" s="62" t="str">
        <x:v>万元</x:v>
      </x:c>
      <x:c r="T177" s="62" t="str">
        <x:v>费用不含税</x:v>
      </x:c>
      <x:c r="U177" s="62" t="str">
        <x:v>安全运行部</x:v>
      </x:c>
      <x:c r="V177" s="62" t="str">
        <x:v>概率安全分析材料运输</x:v>
      </x:c>
      <x:c r="W177" s="62" t="str">
        <x:v>概率安全分析材料运输及市内交通</x:v>
      </x:c>
      <x:c r="X177" s="62" t="str">
        <x:v>国电智深</x:v>
      </x:c>
      <x:c r="Y177" s="62" t="str">
        <x:v>国电智深</x:v>
      </x:c>
      <x:c r="Z177" s="62" t="str">
        <x:v>17</x:v>
      </x:c>
      <x:c r="AA177" s="62" t="str">
        <x:v>概率安全分析</x:v>
      </x:c>
      <x:c r="AB177" s="62" t="str">
        <x:v>PRJ-AQ-概率-2025-003</x:v>
      </x:c>
      <x:c r="AC177" s="74" t="n">
        <x:v>45657</x:v>
      </x:c>
      <x:c r="AD177" s="71" t="str">
        <x:v>SYNTHETIC_FOR_DEMO：按2025同项目交通运输费金额/1.05反推</x:v>
      </x:c>
      <x:c r="AE177" s="71" t="str">
        <x:v>2025年实际执行.xlsx</x:v>
      </x:c>
      <x:c r="AF177" s="71" t="str">
        <x:v>Sheet</x:v>
      </x:c>
      <x:c r="AG177" s="71" t="n">
        <x:v>129</x:v>
      </x:c>
      <x:c r="AH177" s="71" t="str">
        <x:v>2025年实际执行.xlsx/Sheet!129:129</x:v>
      </x:c>
      <x:c r="AI177" s="62" t="str">
        <x:f>IF(F177=MONTH(L177),"OK","FAIL")</x:f>
        <x:v>OK</x:v>
      </x:c>
      <x:c r="AJ177" s="62" t="str">
        <x:f>IF(J177&lt;=L177,"OK","FAIL")</x:f>
        <x:v>OK</x:v>
      </x:c>
      <x:c r="AK177" s="62" t="str">
        <x:f>IF(D177&lt;&gt;"营业收入","OK",IF(AND(P177&lt;0,Q177&gt;0),"OK","FAIL"))</x:f>
        <x:v>OK</x:v>
      </x:c>
      <x:c r="AL177" s="62" t="str">
        <x:f>IF(COUNTIF($A$2:$A$204,A177)=1,"OK","FAIL")</x:f>
        <x:v>OK</x:v>
      </x:c>
    </x:row>
    <x:row r="178">
      <x:c r="A178" s="62" t="str">
        <x:v>DEMO01|2024|DOC1176|10</x:v>
      </x:c>
      <x:c r="B178" s="62" t="str">
        <x:v>SYNTHETIC_FOR_DEMO</x:v>
      </x:c>
      <x:c r="C178" s="62" t="str">
        <x:v>交通运输费</x:v>
      </x:c>
      <x:c r="D178" s="62" t="str">
        <x:v>交通运输费</x:v>
      </x:c>
      <x:c r="E178" s="62"/>
      <x:c r="F178" s="62" t="n">
        <x:v>12</x:v>
      </x:c>
      <x:c r="G178" s="62" t="str">
        <x:v>DOC1176</x:v>
      </x:c>
      <x:c r="H178" s="62" t="n">
        <x:v>10</x:v>
      </x:c>
      <x:c r="I178" s="74"/>
      <x:c r="J178" s="74" t="n">
        <x:v>45641</x:v>
      </x:c>
      <x:c r="K178" s="74"/>
      <x:c r="L178" s="74" t="n">
        <x:v>45641</x:v>
      </x:c>
      <x:c r="M178" s="77"/>
      <x:c r="N178" s="77" t="n">
        <x:v>0.7795</x:v>
      </x:c>
      <x:c r="O178" s="78" t="n">
        <x:v>0.05</x:v>
      </x:c>
      <x:c r="P178" s="79" t="n">
        <x:f>ROUND(N178/(1+O178),4)</x:f>
        <x:v>0.7424</x:v>
      </x:c>
      <x:c r="Q178" s="79" t="n">
        <x:f>IF(D178="营业收入",-P178,P178)</x:f>
        <x:v>0.7424</x:v>
      </x:c>
      <x:c r="R178" s="62" t="str">
        <x:v>CNY</x:v>
      </x:c>
      <x:c r="S178" s="62" t="str">
        <x:v>万元</x:v>
      </x:c>
      <x:c r="T178" s="62" t="str">
        <x:v>费用不含税</x:v>
      </x:c>
      <x:c r="U178" s="62" t="str">
        <x:v>安全运行部</x:v>
      </x:c>
      <x:c r="V178" s="62" t="str">
        <x:v>灾害防护材料运输</x:v>
      </x:c>
      <x:c r="W178" s="62" t="str">
        <x:v>灾害防护材料运输及市内交通</x:v>
      </x:c>
      <x:c r="X178" s="62" t="str">
        <x:v>国电智深</x:v>
      </x:c>
      <x:c r="Y178" s="62" t="str">
        <x:v>国电智深</x:v>
      </x:c>
      <x:c r="Z178" s="62" t="str">
        <x:v>17</x:v>
      </x:c>
      <x:c r="AA178" s="62" t="str">
        <x:v>灾害防护</x:v>
      </x:c>
      <x:c r="AB178" s="62" t="str">
        <x:v>PRJ-AQ-灾害-2024-001</x:v>
      </x:c>
      <x:c r="AC178" s="74" t="n">
        <x:v>45657</x:v>
      </x:c>
      <x:c r="AD178" s="71" t="str">
        <x:v>SYNTHETIC_FOR_DEMO：按2025同项目交通运输费金额/1.05反推</x:v>
      </x:c>
      <x:c r="AE178" s="71" t="str">
        <x:v>2025年实际执行.xlsx</x:v>
      </x:c>
      <x:c r="AF178" s="71" t="str">
        <x:v>Sheet</x:v>
      </x:c>
      <x:c r="AG178" s="71" t="n">
        <x:v>137</x:v>
      </x:c>
      <x:c r="AH178" s="71" t="str">
        <x:v>2025年实际执行.xlsx/Sheet!137:137</x:v>
      </x:c>
      <x:c r="AI178" s="62" t="str">
        <x:f>IF(F178=MONTH(L178),"OK","FAIL")</x:f>
        <x:v>OK</x:v>
      </x:c>
      <x:c r="AJ178" s="62" t="str">
        <x:f>IF(J178&lt;=L178,"OK","FAIL")</x:f>
        <x:v>OK</x:v>
      </x:c>
      <x:c r="AK178" s="62" t="str">
        <x:f>IF(D178&lt;&gt;"营业收入","OK",IF(AND(P178&lt;0,Q178&gt;0),"OK","FAIL"))</x:f>
        <x:v>OK</x:v>
      </x:c>
      <x:c r="AL178" s="62" t="str">
        <x:f>IF(COUNTIF($A$2:$A$204,A178)=1,"OK","FAIL")</x:f>
        <x:v>OK</x:v>
      </x:c>
    </x:row>
    <x:row r="179">
      <x:c r="A179" s="62" t="str">
        <x:v>DEMO01|2024|DOC1177|10</x:v>
      </x:c>
      <x:c r="B179" s="62" t="str">
        <x:v>SYNTHETIC_FOR_DEMO</x:v>
      </x:c>
      <x:c r="C179" s="62" t="str">
        <x:v>交通运输费</x:v>
      </x:c>
      <x:c r="D179" s="62" t="str">
        <x:v>交通运输费</x:v>
      </x:c>
      <x:c r="E179" s="62"/>
      <x:c r="F179" s="62" t="n">
        <x:v>5</x:v>
      </x:c>
      <x:c r="G179" s="62" t="str">
        <x:v>DOC1177</x:v>
      </x:c>
      <x:c r="H179" s="62" t="n">
        <x:v>10</x:v>
      </x:c>
      <x:c r="I179" s="74"/>
      <x:c r="J179" s="74" t="n">
        <x:v>45427</x:v>
      </x:c>
      <x:c r="K179" s="74"/>
      <x:c r="L179" s="74" t="n">
        <x:v>45427</x:v>
      </x:c>
      <x:c r="M179" s="77"/>
      <x:c r="N179" s="77" t="n">
        <x:v>0.799</x:v>
      </x:c>
      <x:c r="O179" s="78" t="n">
        <x:v>0.05</x:v>
      </x:c>
      <x:c r="P179" s="79" t="n">
        <x:f>ROUND(N179/(1+O179),4)</x:f>
        <x:v>0.761</x:v>
      </x:c>
      <x:c r="Q179" s="79" t="n">
        <x:f>IF(D179="营业收入",-P179,P179)</x:f>
        <x:v>0.761</x:v>
      </x:c>
      <x:c r="R179" s="62" t="str">
        <x:v>CNY</x:v>
      </x:c>
      <x:c r="S179" s="62" t="str">
        <x:v>万元</x:v>
      </x:c>
      <x:c r="T179" s="62" t="str">
        <x:v>费用不含税</x:v>
      </x:c>
      <x:c r="U179" s="62" t="str">
        <x:v>安全运行部</x:v>
      </x:c>
      <x:c r="V179" s="62" t="str">
        <x:v>灾害防护材料运输</x:v>
      </x:c>
      <x:c r="W179" s="62" t="str">
        <x:v>灾害防护材料运输及市内交通</x:v>
      </x:c>
      <x:c r="X179" s="62" t="str">
        <x:v>国电智深</x:v>
      </x:c>
      <x:c r="Y179" s="62" t="str">
        <x:v>国电智深</x:v>
      </x:c>
      <x:c r="Z179" s="62" t="str">
        <x:v>17</x:v>
      </x:c>
      <x:c r="AA179" s="62" t="str">
        <x:v>灾害防护</x:v>
      </x:c>
      <x:c r="AB179" s="62" t="str">
        <x:v>PRJ-AQ-灾害-2025-002</x:v>
      </x:c>
      <x:c r="AC179" s="74" t="n">
        <x:v>45657</x:v>
      </x:c>
      <x:c r="AD179" s="71" t="str">
        <x:v>SYNTHETIC_FOR_DEMO：按2025同项目交通运输费金额/1.05反推</x:v>
      </x:c>
      <x:c r="AE179" s="71" t="str">
        <x:v>2025年实际执行.xlsx</x:v>
      </x:c>
      <x:c r="AF179" s="71" t="str">
        <x:v>Sheet</x:v>
      </x:c>
      <x:c r="AG179" s="71" t="n">
        <x:v>146</x:v>
      </x:c>
      <x:c r="AH179" s="71" t="str">
        <x:v>2025年实际执行.xlsx/Sheet!146:146</x:v>
      </x:c>
      <x:c r="AI179" s="62" t="str">
        <x:f>IF(F179=MONTH(L179),"OK","FAIL")</x:f>
        <x:v>OK</x:v>
      </x:c>
      <x:c r="AJ179" s="62" t="str">
        <x:f>IF(J179&lt;=L179,"OK","FAIL")</x:f>
        <x:v>OK</x:v>
      </x:c>
      <x:c r="AK179" s="62" t="str">
        <x:f>IF(D179&lt;&gt;"营业收入","OK",IF(AND(P179&lt;0,Q179&gt;0),"OK","FAIL"))</x:f>
        <x:v>OK</x:v>
      </x:c>
      <x:c r="AL179" s="62" t="str">
        <x:f>IF(COUNTIF($A$2:$A$204,A179)=1,"OK","FAIL")</x:f>
        <x:v>OK</x:v>
      </x:c>
    </x:row>
    <x:row r="180">
      <x:c r="A180" s="62" t="str">
        <x:v>DEMO01|2024|DOC1178|10</x:v>
      </x:c>
      <x:c r="B180" s="62" t="str">
        <x:v>SYNTHETIC_FOR_DEMO</x:v>
      </x:c>
      <x:c r="C180" s="62" t="str">
        <x:v>交通运输费</x:v>
      </x:c>
      <x:c r="D180" s="62" t="str">
        <x:v>交通运输费</x:v>
      </x:c>
      <x:c r="E180" s="62"/>
      <x:c r="F180" s="62" t="n">
        <x:v>8</x:v>
      </x:c>
      <x:c r="G180" s="62" t="str">
        <x:v>DOC1178</x:v>
      </x:c>
      <x:c r="H180" s="62" t="n">
        <x:v>10</x:v>
      </x:c>
      <x:c r="I180" s="74"/>
      <x:c r="J180" s="74" t="n">
        <x:v>45519</x:v>
      </x:c>
      <x:c r="K180" s="74"/>
      <x:c r="L180" s="74" t="n">
        <x:v>45519</x:v>
      </x:c>
      <x:c r="M180" s="77"/>
      <x:c r="N180" s="77" t="n">
        <x:v>0.9415</x:v>
      </x:c>
      <x:c r="O180" s="78" t="n">
        <x:v>0.05</x:v>
      </x:c>
      <x:c r="P180" s="79" t="n">
        <x:f>ROUND(N180/(1+O180),4)</x:f>
        <x:v>0.8967</x:v>
      </x:c>
      <x:c r="Q180" s="79" t="n">
        <x:f>IF(D180="营业收入",-P180,P180)</x:f>
        <x:v>0.8967</x:v>
      </x:c>
      <x:c r="R180" s="62" t="str">
        <x:v>CNY</x:v>
      </x:c>
      <x:c r="S180" s="62" t="str">
        <x:v>万元</x:v>
      </x:c>
      <x:c r="T180" s="62" t="str">
        <x:v>费用不含税</x:v>
      </x:c>
      <x:c r="U180" s="62" t="str">
        <x:v>安全运行部</x:v>
      </x:c>
      <x:c r="V180" s="62" t="str">
        <x:v>灾害防护材料运输</x:v>
      </x:c>
      <x:c r="W180" s="62" t="str">
        <x:v>灾害防护材料运输及市内交通</x:v>
      </x:c>
      <x:c r="X180" s="62" t="str">
        <x:v>国电智深</x:v>
      </x:c>
      <x:c r="Y180" s="62" t="str">
        <x:v>国电智深</x:v>
      </x:c>
      <x:c r="Z180" s="62" t="str">
        <x:v>17</x:v>
      </x:c>
      <x:c r="AA180" s="62" t="str">
        <x:v>灾害防护</x:v>
      </x:c>
      <x:c r="AB180" s="62" t="str">
        <x:v>PRJ-AQ-灾害-2025-003</x:v>
      </x:c>
      <x:c r="AC180" s="74" t="n">
        <x:v>45657</x:v>
      </x:c>
      <x:c r="AD180" s="71" t="str">
        <x:v>SYNTHETIC_FOR_DEMO：按2025同项目交通运输费金额/1.05反推</x:v>
      </x:c>
      <x:c r="AE180" s="71" t="str">
        <x:v>2025年实际执行.xlsx</x:v>
      </x:c>
      <x:c r="AF180" s="71" t="str">
        <x:v>Sheet</x:v>
      </x:c>
      <x:c r="AG180" s="71" t="n">
        <x:v>155</x:v>
      </x:c>
      <x:c r="AH180" s="71" t="str">
        <x:v>2025年实际执行.xlsx/Sheet!155:155</x:v>
      </x:c>
      <x:c r="AI180" s="62" t="str">
        <x:f>IF(F180=MONTH(L180),"OK","FAIL")</x:f>
        <x:v>OK</x:v>
      </x:c>
      <x:c r="AJ180" s="62" t="str">
        <x:f>IF(J180&lt;=L180,"OK","FAIL")</x:f>
        <x:v>OK</x:v>
      </x:c>
      <x:c r="AK180" s="62" t="str">
        <x:f>IF(D180&lt;&gt;"营业收入","OK",IF(AND(P180&lt;0,Q180&gt;0),"OK","FAIL"))</x:f>
        <x:v>OK</x:v>
      </x:c>
      <x:c r="AL180" s="62" t="str">
        <x:f>IF(COUNTIF($A$2:$A$204,A180)=1,"OK","FAIL")</x:f>
        <x:v>OK</x:v>
      </x:c>
    </x:row>
    <x:row r="181">
      <x:c r="A181" s="62" t="str">
        <x:v>DEMO01|2024|DOC1179|10</x:v>
      </x:c>
      <x:c r="B181" s="62" t="str">
        <x:v>SYNTHETIC_FOR_DEMO</x:v>
      </x:c>
      <x:c r="C181" s="62" t="str">
        <x:v>交通运输费</x:v>
      </x:c>
      <x:c r="D181" s="62" t="str">
        <x:v>交通运输费</x:v>
      </x:c>
      <x:c r="E181" s="62"/>
      <x:c r="F181" s="62" t="n">
        <x:v>7</x:v>
      </x:c>
      <x:c r="G181" s="62" t="str">
        <x:v>DOC1179</x:v>
      </x:c>
      <x:c r="H181" s="62" t="n">
        <x:v>10</x:v>
      </x:c>
      <x:c r="I181" s="74"/>
      <x:c r="J181" s="74" t="n">
        <x:v>45488</x:v>
      </x:c>
      <x:c r="K181" s="74"/>
      <x:c r="L181" s="74" t="n">
        <x:v>45488</x:v>
      </x:c>
      <x:c r="M181" s="77"/>
      <x:c r="N181" s="77" t="n">
        <x:v>0.872</x:v>
      </x:c>
      <x:c r="O181" s="78" t="n">
        <x:v>0.05</x:v>
      </x:c>
      <x:c r="P181" s="79" t="n">
        <x:f>ROUND(N181/(1+O181),4)</x:f>
        <x:v>0.8305</x:v>
      </x:c>
      <x:c r="Q181" s="79" t="n">
        <x:f>IF(D181="营业收入",-P181,P181)</x:f>
        <x:v>0.8305</x:v>
      </x:c>
      <x:c r="R181" s="62" t="str">
        <x:v>CNY</x:v>
      </x:c>
      <x:c r="S181" s="62" t="str">
        <x:v>万元</x:v>
      </x:c>
      <x:c r="T181" s="62" t="str">
        <x:v>费用不含税</x:v>
      </x:c>
      <x:c r="U181" s="62" t="str">
        <x:v>安全运行部</x:v>
      </x:c>
      <x:c r="V181" s="62" t="str">
        <x:v>安全评估材料运输</x:v>
      </x:c>
      <x:c r="W181" s="62" t="str">
        <x:v>安全评估材料运输及市内交通</x:v>
      </x:c>
      <x:c r="X181" s="62" t="str">
        <x:v>国电智深</x:v>
      </x:c>
      <x:c r="Y181" s="62" t="str">
        <x:v>国电智深</x:v>
      </x:c>
      <x:c r="Z181" s="62" t="str">
        <x:v>17</x:v>
      </x:c>
      <x:c r="AA181" s="62" t="str">
        <x:v>安全评估</x:v>
      </x:c>
      <x:c r="AB181" s="62" t="str">
        <x:v>PRJ-AQ-安全-2024-001</x:v>
      </x:c>
      <x:c r="AC181" s="74" t="n">
        <x:v>45657</x:v>
      </x:c>
      <x:c r="AD181" s="71" t="str">
        <x:v>SYNTHETIC_FOR_DEMO：按2025同项目交通运输费金额/1.05反推</x:v>
      </x:c>
      <x:c r="AE181" s="71" t="str">
        <x:v>2025年实际执行.xlsx</x:v>
      </x:c>
      <x:c r="AF181" s="71" t="str">
        <x:v>Sheet</x:v>
      </x:c>
      <x:c r="AG181" s="71" t="n">
        <x:v>163</x:v>
      </x:c>
      <x:c r="AH181" s="71" t="str">
        <x:v>2025年实际执行.xlsx/Sheet!163:163</x:v>
      </x:c>
      <x:c r="AI181" s="62" t="str">
        <x:f>IF(F181=MONTH(L181),"OK","FAIL")</x:f>
        <x:v>OK</x:v>
      </x:c>
      <x:c r="AJ181" s="62" t="str">
        <x:f>IF(J181&lt;=L181,"OK","FAIL")</x:f>
        <x:v>OK</x:v>
      </x:c>
      <x:c r="AK181" s="62" t="str">
        <x:f>IF(D181&lt;&gt;"营业收入","OK",IF(AND(P181&lt;0,Q181&gt;0),"OK","FAIL"))</x:f>
        <x:v>OK</x:v>
      </x:c>
      <x:c r="AL181" s="62" t="str">
        <x:f>IF(COUNTIF($A$2:$A$204,A181)=1,"OK","FAIL")</x:f>
        <x:v>OK</x:v>
      </x:c>
    </x:row>
    <x:row r="182">
      <x:c r="A182" s="62" t="str">
        <x:v>DEMO01|2024|DOC1180|10</x:v>
      </x:c>
      <x:c r="B182" s="62" t="str">
        <x:v>SYNTHETIC_FOR_DEMO</x:v>
      </x:c>
      <x:c r="C182" s="62" t="str">
        <x:v>交通运输费</x:v>
      </x:c>
      <x:c r="D182" s="62" t="str">
        <x:v>交通运输费</x:v>
      </x:c>
      <x:c r="E182" s="62"/>
      <x:c r="F182" s="62" t="n">
        <x:v>11</x:v>
      </x:c>
      <x:c r="G182" s="62" t="str">
        <x:v>DOC1180</x:v>
      </x:c>
      <x:c r="H182" s="62" t="n">
        <x:v>10</x:v>
      </x:c>
      <x:c r="I182" s="74"/>
      <x:c r="J182" s="74" t="n">
        <x:v>45611</x:v>
      </x:c>
      <x:c r="K182" s="74"/>
      <x:c r="L182" s="74" t="n">
        <x:v>45611</x:v>
      </x:c>
      <x:c r="M182" s="77"/>
      <x:c r="N182" s="77" t="n">
        <x:v>0.8875</x:v>
      </x:c>
      <x:c r="O182" s="78" t="n">
        <x:v>0.05</x:v>
      </x:c>
      <x:c r="P182" s="79" t="n">
        <x:f>ROUND(N182/(1+O182),4)</x:f>
        <x:v>0.8452</x:v>
      </x:c>
      <x:c r="Q182" s="79" t="n">
        <x:f>IF(D182="营业收入",-P182,P182)</x:f>
        <x:v>0.8452</x:v>
      </x:c>
      <x:c r="R182" s="62" t="str">
        <x:v>CNY</x:v>
      </x:c>
      <x:c r="S182" s="62" t="str">
        <x:v>万元</x:v>
      </x:c>
      <x:c r="T182" s="62" t="str">
        <x:v>费用不含税</x:v>
      </x:c>
      <x:c r="U182" s="62" t="str">
        <x:v>安全运行部</x:v>
      </x:c>
      <x:c r="V182" s="62" t="str">
        <x:v>安全评估材料运输</x:v>
      </x:c>
      <x:c r="W182" s="62" t="str">
        <x:v>安全评估材料运输及市内交通</x:v>
      </x:c>
      <x:c r="X182" s="62" t="str">
        <x:v>中核运维</x:v>
      </x:c>
      <x:c r="Y182" s="62" t="str">
        <x:v>中核运维</x:v>
      </x:c>
      <x:c r="Z182" s="62" t="str">
        <x:v>17</x:v>
      </x:c>
      <x:c r="AA182" s="62" t="str">
        <x:v>安全评估</x:v>
      </x:c>
      <x:c r="AB182" s="62" t="str">
        <x:v>PRJ-AQ-安全-2025-002</x:v>
      </x:c>
      <x:c r="AC182" s="74" t="n">
        <x:v>45657</x:v>
      </x:c>
      <x:c r="AD182" s="71" t="str">
        <x:v>SYNTHETIC_FOR_DEMO：按2025同项目交通运输费金额/1.05反推</x:v>
      </x:c>
      <x:c r="AE182" s="71" t="str">
        <x:v>2025年实际执行.xlsx</x:v>
      </x:c>
      <x:c r="AF182" s="71" t="str">
        <x:v>Sheet</x:v>
      </x:c>
      <x:c r="AG182" s="71" t="n">
        <x:v>172</x:v>
      </x:c>
      <x:c r="AH182" s="71" t="str">
        <x:v>2025年实际执行.xlsx/Sheet!172:172</x:v>
      </x:c>
      <x:c r="AI182" s="62" t="str">
        <x:f>IF(F182=MONTH(L182),"OK","FAIL")</x:f>
        <x:v>OK</x:v>
      </x:c>
      <x:c r="AJ182" s="62" t="str">
        <x:f>IF(J182&lt;=L182,"OK","FAIL")</x:f>
        <x:v>OK</x:v>
      </x:c>
      <x:c r="AK182" s="62" t="str">
        <x:f>IF(D182&lt;&gt;"营业收入","OK",IF(AND(P182&lt;0,Q182&gt;0),"OK","FAIL"))</x:f>
        <x:v>OK</x:v>
      </x:c>
      <x:c r="AL182" s="62" t="str">
        <x:f>IF(COUNTIF($A$2:$A$204,A182)=1,"OK","FAIL")</x:f>
        <x:v>OK</x:v>
      </x:c>
    </x:row>
    <x:row r="183">
      <x:c r="A183" s="62" t="str">
        <x:v>DEMO01|2024|DOC1181|10</x:v>
      </x:c>
      <x:c r="B183" s="62" t="str">
        <x:v>SYNTHETIC_FOR_DEMO</x:v>
      </x:c>
      <x:c r="C183" s="62" t="str">
        <x:v>交通运输费</x:v>
      </x:c>
      <x:c r="D183" s="62" t="str">
        <x:v>交通运输费</x:v>
      </x:c>
      <x:c r="E183" s="62"/>
      <x:c r="F183" s="62" t="n">
        <x:v>4</x:v>
      </x:c>
      <x:c r="G183" s="62" t="str">
        <x:v>DOC1181</x:v>
      </x:c>
      <x:c r="H183" s="62" t="n">
        <x:v>10</x:v>
      </x:c>
      <x:c r="I183" s="74"/>
      <x:c r="J183" s="74" t="n">
        <x:v>45397</x:v>
      </x:c>
      <x:c r="K183" s="74"/>
      <x:c r="L183" s="74" t="n">
        <x:v>45397</x:v>
      </x:c>
      <x:c r="M183" s="77"/>
      <x:c r="N183" s="77" t="n">
        <x:v>0.9895</x:v>
      </x:c>
      <x:c r="O183" s="78" t="n">
        <x:v>0.05</x:v>
      </x:c>
      <x:c r="P183" s="79" t="n">
        <x:f>ROUND(N183/(1+O183),4)</x:f>
        <x:v>0.9424</x:v>
      </x:c>
      <x:c r="Q183" s="79" t="n">
        <x:f>IF(D183="营业收入",-P183,P183)</x:f>
        <x:v>0.9424</x:v>
      </x:c>
      <x:c r="R183" s="62" t="str">
        <x:v>CNY</x:v>
      </x:c>
      <x:c r="S183" s="62" t="str">
        <x:v>万元</x:v>
      </x:c>
      <x:c r="T183" s="62" t="str">
        <x:v>费用不含税</x:v>
      </x:c>
      <x:c r="U183" s="62" t="str">
        <x:v>安全运行部</x:v>
      </x:c>
      <x:c r="V183" s="62" t="str">
        <x:v>安全评估材料运输</x:v>
      </x:c>
      <x:c r="W183" s="62" t="str">
        <x:v>安全评估材料运输及市内交通</x:v>
      </x:c>
      <x:c r="X183" s="62" t="str">
        <x:v>中核运维</x:v>
      </x:c>
      <x:c r="Y183" s="62" t="str">
        <x:v>中核运维</x:v>
      </x:c>
      <x:c r="Z183" s="62" t="str">
        <x:v>17</x:v>
      </x:c>
      <x:c r="AA183" s="62" t="str">
        <x:v>安全评估</x:v>
      </x:c>
      <x:c r="AB183" s="62" t="str">
        <x:v>PRJ-AQ-安全-2025-003</x:v>
      </x:c>
      <x:c r="AC183" s="74" t="n">
        <x:v>45657</x:v>
      </x:c>
      <x:c r="AD183" s="71" t="str">
        <x:v>SYNTHETIC_FOR_DEMO：按2025同项目交通运输费金额/1.05反推</x:v>
      </x:c>
      <x:c r="AE183" s="71" t="str">
        <x:v>2025年实际执行.xlsx</x:v>
      </x:c>
      <x:c r="AF183" s="71" t="str">
        <x:v>Sheet</x:v>
      </x:c>
      <x:c r="AG183" s="71" t="n">
        <x:v>181</x:v>
      </x:c>
      <x:c r="AH183" s="71" t="str">
        <x:v>2025年实际执行.xlsx/Sheet!181:181</x:v>
      </x:c>
      <x:c r="AI183" s="62" t="str">
        <x:f>IF(F183=MONTH(L183),"OK","FAIL")</x:f>
        <x:v>OK</x:v>
      </x:c>
      <x:c r="AJ183" s="62" t="str">
        <x:f>IF(J183&lt;=L183,"OK","FAIL")</x:f>
        <x:v>OK</x:v>
      </x:c>
      <x:c r="AK183" s="62" t="str">
        <x:f>IF(D183&lt;&gt;"营业收入","OK",IF(AND(P183&lt;0,Q183&gt;0),"OK","FAIL"))</x:f>
        <x:v>OK</x:v>
      </x:c>
      <x:c r="AL183" s="62" t="str">
        <x:f>IF(COUNTIF($A$2:$A$204,A183)=1,"OK","FAIL")</x:f>
        <x:v>OK</x:v>
      </x:c>
    </x:row>
    <x:row r="184">
      <x:c r="A184" s="62" t="str">
        <x:v>DEMO01|2024|DOC1182|10</x:v>
      </x:c>
      <x:c r="B184" s="62" t="str">
        <x:v>SYNTHETIC_FOR_DEMO</x:v>
      </x:c>
      <x:c r="C184" s="62" t="str">
        <x:v>差旅费</x:v>
      </x:c>
      <x:c r="D184" s="62" t="str">
        <x:v>差旅费</x:v>
      </x:c>
      <x:c r="E184" s="62"/>
      <x:c r="F184" s="62" t="n">
        <x:v>7</x:v>
      </x:c>
      <x:c r="G184" s="62" t="str">
        <x:v>DOC1182</x:v>
      </x:c>
      <x:c r="H184" s="62" t="n">
        <x:v>10</x:v>
      </x:c>
      <x:c r="I184" s="74"/>
      <x:c r="J184" s="74" t="n">
        <x:v>45488</x:v>
      </x:c>
      <x:c r="K184" s="74"/>
      <x:c r="L184" s="74" t="n">
        <x:v>45488</x:v>
      </x:c>
      <x:c r="M184" s="77"/>
      <x:c r="N184" s="77" t="n">
        <x:v>3.554</x:v>
      </x:c>
      <x:c r="O184" s="78" t="n">
        <x:v>0.06</x:v>
      </x:c>
      <x:c r="P184" s="79" t="n">
        <x:f>ROUND(N184/(1+O184),4)</x:f>
        <x:v>3.3528</x:v>
      </x:c>
      <x:c r="Q184" s="79" t="n">
        <x:f>IF(D184="营业收入",-P184,P184)</x:f>
        <x:v>3.3528</x:v>
      </x:c>
      <x:c r="R184" s="62" t="str">
        <x:v>CNY</x:v>
      </x:c>
      <x:c r="S184" s="62" t="str">
        <x:v>万元</x:v>
      </x:c>
      <x:c r="T184" s="62" t="str">
        <x:v>费用不含税</x:v>
      </x:c>
      <x:c r="U184" s="62" t="str">
        <x:v>设备管理部</x:v>
      </x:c>
      <x:c r="V184" s="62" t="str">
        <x:v>设备维护材料运输</x:v>
      </x:c>
      <x:c r="W184" s="62" t="str">
        <x:v>设备维护项目差旅报销</x:v>
      </x:c>
      <x:c r="X184" s="62" t="str">
        <x:v>中核运维</x:v>
      </x:c>
      <x:c r="Y184" s="62" t="str">
        <x:v>中核运维</x:v>
      </x:c>
      <x:c r="Z184" s="62" t="str">
        <x:v>17</x:v>
      </x:c>
      <x:c r="AA184" s="62" t="str">
        <x:v>设备维护</x:v>
      </x:c>
      <x:c r="AB184" s="62" t="str">
        <x:v>PRJ-SB-设备-2024-001</x:v>
      </x:c>
      <x:c r="AC184" s="74" t="n">
        <x:v>45657</x:v>
      </x:c>
      <x:c r="AD184" s="71" t="str">
        <x:v>SYNTHETIC_FOR_DEMO：按2025同项目差旅费金额/1.06反推</x:v>
      </x:c>
      <x:c r="AE184" s="71" t="str">
        <x:v>2025年实际执行.xlsx</x:v>
      </x:c>
      <x:c r="AF184" s="71" t="str">
        <x:v>Sheet</x:v>
      </x:c>
      <x:c r="AG184" s="71" t="n">
        <x:v>184</x:v>
      </x:c>
      <x:c r="AH184" s="71" t="str">
        <x:v>2025年实际执行.xlsx/Sheet!184:184</x:v>
      </x:c>
      <x:c r="AI184" s="62" t="str">
        <x:f>IF(F184=MONTH(L184),"OK","FAIL")</x:f>
        <x:v>OK</x:v>
      </x:c>
      <x:c r="AJ184" s="62" t="str">
        <x:f>IF(J184&lt;=L184,"OK","FAIL")</x:f>
        <x:v>OK</x:v>
      </x:c>
      <x:c r="AK184" s="62" t="str">
        <x:f>IF(D184&lt;&gt;"营业收入","OK",IF(AND(P184&lt;0,Q184&gt;0),"OK","FAIL"))</x:f>
        <x:v>OK</x:v>
      </x:c>
      <x:c r="AL184" s="62" t="str">
        <x:f>IF(COUNTIF($A$2:$A$204,A184)=1,"OK","FAIL")</x:f>
        <x:v>OK</x:v>
      </x:c>
    </x:row>
    <x:row r="185">
      <x:c r="A185" s="62" t="str">
        <x:v>DEMO01|2024|DOC1183|10</x:v>
      </x:c>
      <x:c r="B185" s="62" t="str">
        <x:v>SYNTHETIC_FOR_DEMO</x:v>
      </x:c>
      <x:c r="C185" s="62" t="str">
        <x:v>差旅费</x:v>
      </x:c>
      <x:c r="D185" s="62" t="str">
        <x:v>差旅费</x:v>
      </x:c>
      <x:c r="E185" s="62"/>
      <x:c r="F185" s="62" t="n">
        <x:v>8</x:v>
      </x:c>
      <x:c r="G185" s="62" t="str">
        <x:v>DOC1183</x:v>
      </x:c>
      <x:c r="H185" s="62" t="n">
        <x:v>10</x:v>
      </x:c>
      <x:c r="I185" s="74"/>
      <x:c r="J185" s="74" t="n">
        <x:v>45519</x:v>
      </x:c>
      <x:c r="K185" s="74"/>
      <x:c r="L185" s="74" t="n">
        <x:v>45519</x:v>
      </x:c>
      <x:c r="M185" s="77"/>
      <x:c r="N185" s="77" t="n">
        <x:v>6</x:v>
      </x:c>
      <x:c r="O185" s="78" t="n">
        <x:v>0.06</x:v>
      </x:c>
      <x:c r="P185" s="79" t="n">
        <x:f>ROUND(N185/(1+O185),4)</x:f>
        <x:v>5.6604</x:v>
      </x:c>
      <x:c r="Q185" s="79" t="n">
        <x:f>IF(D185="营业收入",-P185,P185)</x:f>
        <x:v>5.6604</x:v>
      </x:c>
      <x:c r="R185" s="62" t="str">
        <x:v>CNY</x:v>
      </x:c>
      <x:c r="S185" s="62" t="str">
        <x:v>万元</x:v>
      </x:c>
      <x:c r="T185" s="62" t="str">
        <x:v>费用不含税</x:v>
      </x:c>
      <x:c r="U185" s="62" t="str">
        <x:v>设备管理部</x:v>
      </x:c>
      <x:c r="V185" s="62" t="str">
        <x:v>设备维护材料运输</x:v>
      </x:c>
      <x:c r="W185" s="62" t="str">
        <x:v>设备维护项目差旅报销</x:v>
      </x:c>
      <x:c r="X185" s="62" t="str">
        <x:v>北京核工院</x:v>
      </x:c>
      <x:c r="Y185" s="62" t="str">
        <x:v>北京核工院</x:v>
      </x:c>
      <x:c r="Z185" s="62" t="str">
        <x:v>17</x:v>
      </x:c>
      <x:c r="AA185" s="62" t="str">
        <x:v>设备维护</x:v>
      </x:c>
      <x:c r="AB185" s="62" t="str">
        <x:v>PRJ-SB-设备-2025-002</x:v>
      </x:c>
      <x:c r="AC185" s="74" t="n">
        <x:v>45657</x:v>
      </x:c>
      <x:c r="AD185" s="71" t="str">
        <x:v>SYNTHETIC_FOR_DEMO：按2025同项目差旅费金额/1.06反推</x:v>
      </x:c>
      <x:c r="AE185" s="71" t="str">
        <x:v>2025年实际执行.xlsx</x:v>
      </x:c>
      <x:c r="AF185" s="71" t="str">
        <x:v>Sheet</x:v>
      </x:c>
      <x:c r="AG185" s="71" t="n">
        <x:v>185</x:v>
      </x:c>
      <x:c r="AH185" s="71" t="str">
        <x:v>2025年实际执行.xlsx/Sheet!185:185</x:v>
      </x:c>
      <x:c r="AI185" s="62" t="str">
        <x:f>IF(F185=MONTH(L185),"OK","FAIL")</x:f>
        <x:v>OK</x:v>
      </x:c>
      <x:c r="AJ185" s="62" t="str">
        <x:f>IF(J185&lt;=L185,"OK","FAIL")</x:f>
        <x:v>OK</x:v>
      </x:c>
      <x:c r="AK185" s="62" t="str">
        <x:f>IF(D185&lt;&gt;"营业收入","OK",IF(AND(P185&lt;0,Q185&gt;0),"OK","FAIL"))</x:f>
        <x:v>OK</x:v>
      </x:c>
      <x:c r="AL185" s="62" t="str">
        <x:f>IF(COUNTIF($A$2:$A$204,A185)=1,"OK","FAIL")</x:f>
        <x:v>OK</x:v>
      </x:c>
    </x:row>
    <x:row r="186">
      <x:c r="A186" s="62" t="str">
        <x:v>DEMO01|2024|DOC1184|10</x:v>
      </x:c>
      <x:c r="B186" s="62" t="str">
        <x:v>SYNTHETIC_FOR_DEMO</x:v>
      </x:c>
      <x:c r="C186" s="62" t="str">
        <x:v>差旅费</x:v>
      </x:c>
      <x:c r="D186" s="62" t="str">
        <x:v>差旅费</x:v>
      </x:c>
      <x:c r="E186" s="62"/>
      <x:c r="F186" s="62" t="n">
        <x:v>9</x:v>
      </x:c>
      <x:c r="G186" s="62" t="str">
        <x:v>DOC1184</x:v>
      </x:c>
      <x:c r="H186" s="62" t="n">
        <x:v>10</x:v>
      </x:c>
      <x:c r="I186" s="74"/>
      <x:c r="J186" s="74" t="n">
        <x:v>45550</x:v>
      </x:c>
      <x:c r="K186" s="74"/>
      <x:c r="L186" s="74" t="n">
        <x:v>45550</x:v>
      </x:c>
      <x:c r="M186" s="77"/>
      <x:c r="N186" s="77" t="n">
        <x:v>8</x:v>
      </x:c>
      <x:c r="O186" s="78" t="n">
        <x:v>0.06</x:v>
      </x:c>
      <x:c r="P186" s="79" t="n">
        <x:f>ROUND(N186/(1+O186),4)</x:f>
        <x:v>7.5472</x:v>
      </x:c>
      <x:c r="Q186" s="79" t="n">
        <x:f>IF(D186="营业收入",-P186,P186)</x:f>
        <x:v>7.5472</x:v>
      </x:c>
      <x:c r="R186" s="62" t="str">
        <x:v>CNY</x:v>
      </x:c>
      <x:c r="S186" s="62" t="str">
        <x:v>万元</x:v>
      </x:c>
      <x:c r="T186" s="62" t="str">
        <x:v>费用不含税</x:v>
      </x:c>
      <x:c r="U186" s="62" t="str">
        <x:v>设备管理部</x:v>
      </x:c>
      <x:c r="V186" s="62" t="str">
        <x:v>设备维护材料运输</x:v>
      </x:c>
      <x:c r="W186" s="62" t="str">
        <x:v>设备维护项目差旅报销</x:v>
      </x:c>
      <x:c r="X186" s="62" t="str">
        <x:v>上海电气</x:v>
      </x:c>
      <x:c r="Y186" s="62" t="str">
        <x:v>上海电气</x:v>
      </x:c>
      <x:c r="Z186" s="62" t="str">
        <x:v>17</x:v>
      </x:c>
      <x:c r="AA186" s="62" t="str">
        <x:v>设备维护</x:v>
      </x:c>
      <x:c r="AB186" s="62" t="str">
        <x:v>PRJ-SB-设备-2025-003</x:v>
      </x:c>
      <x:c r="AC186" s="74" t="n">
        <x:v>45657</x:v>
      </x:c>
      <x:c r="AD186" s="71" t="str">
        <x:v>SYNTHETIC_FOR_DEMO：按2025同项目差旅费金额/1.06反推</x:v>
      </x:c>
      <x:c r="AE186" s="71" t="str">
        <x:v>2025年实际执行.xlsx</x:v>
      </x:c>
      <x:c r="AF186" s="71" t="str">
        <x:v>Sheet</x:v>
      </x:c>
      <x:c r="AG186" s="71" t="n">
        <x:v>186</x:v>
      </x:c>
      <x:c r="AH186" s="71" t="str">
        <x:v>2025年实际执行.xlsx/Sheet!186:186</x:v>
      </x:c>
      <x:c r="AI186" s="62" t="str">
        <x:f>IF(F186=MONTH(L186),"OK","FAIL")</x:f>
        <x:v>OK</x:v>
      </x:c>
      <x:c r="AJ186" s="62" t="str">
        <x:f>IF(J186&lt;=L186,"OK","FAIL")</x:f>
        <x:v>OK</x:v>
      </x:c>
      <x:c r="AK186" s="62" t="str">
        <x:f>IF(D186&lt;&gt;"营业收入","OK",IF(AND(P186&lt;0,Q186&gt;0),"OK","FAIL"))</x:f>
        <x:v>OK</x:v>
      </x:c>
      <x:c r="AL186" s="62" t="str">
        <x:f>IF(COUNTIF($A$2:$A$204,A186)=1,"OK","FAIL")</x:f>
        <x:v>OK</x:v>
      </x:c>
    </x:row>
    <x:row r="187">
      <x:c r="A187" s="62" t="str">
        <x:v>DEMO01|2024|DOC1185|10</x:v>
      </x:c>
      <x:c r="B187" s="62" t="str">
        <x:v>SYNTHETIC_FOR_DEMO</x:v>
      </x:c>
      <x:c r="C187" s="62" t="str">
        <x:v>差旅费</x:v>
      </x:c>
      <x:c r="D187" s="62" t="str">
        <x:v>差旅费</x:v>
      </x:c>
      <x:c r="E187" s="62"/>
      <x:c r="F187" s="62" t="n">
        <x:v>7</x:v>
      </x:c>
      <x:c r="G187" s="62" t="str">
        <x:v>DOC1185</x:v>
      </x:c>
      <x:c r="H187" s="62" t="n">
        <x:v>10</x:v>
      </x:c>
      <x:c r="I187" s="74"/>
      <x:c r="J187" s="74" t="n">
        <x:v>45488</x:v>
      </x:c>
      <x:c r="K187" s="74"/>
      <x:c r="L187" s="74" t="n">
        <x:v>45488</x:v>
      </x:c>
      <x:c r="M187" s="77"/>
      <x:c r="N187" s="77" t="n">
        <x:v>3</x:v>
      </x:c>
      <x:c r="O187" s="78" t="n">
        <x:v>0.08</x:v>
      </x:c>
      <x:c r="P187" s="79" t="n">
        <x:f>ROUND(N187/(1+O187),4)</x:f>
        <x:v>2.7778</x:v>
      </x:c>
      <x:c r="Q187" s="79" t="n">
        <x:f>IF(D187="营业收入",-P187,P187)</x:f>
        <x:v>2.7778</x:v>
      </x:c>
      <x:c r="R187" s="62" t="str">
        <x:v>CNY</x:v>
      </x:c>
      <x:c r="S187" s="62" t="str">
        <x:v>万元</x:v>
      </x:c>
      <x:c r="T187" s="62" t="str">
        <x:v>费用不含税</x:v>
      </x:c>
      <x:c r="U187" s="62" t="str">
        <x:v>技术部</x:v>
      </x:c>
      <x:c r="V187" s="62" t="str">
        <x:v>热能动力研究材料运输</x:v>
      </x:c>
      <x:c r="W187" s="62" t="str">
        <x:v>热能动力研究项目差旅报销</x:v>
      </x:c>
      <x:c r="X187" s="62" t="str">
        <x:v>中核运维</x:v>
      </x:c>
      <x:c r="Y187" s="62" t="str">
        <x:v>中核运维</x:v>
      </x:c>
      <x:c r="Z187" s="62" t="str">
        <x:v>17</x:v>
      </x:c>
      <x:c r="AA187" s="62" t="str">
        <x:v>热能动力研究</x:v>
      </x:c>
      <x:c r="AB187" s="62" t="str">
        <x:v>PRJ-JS-热能-2024-001</x:v>
      </x:c>
      <x:c r="AC187" s="74" t="n">
        <x:v>45657</x:v>
      </x:c>
      <x:c r="AD187" s="71" t="str">
        <x:v>SYNTHETIC_FOR_DEMO：按2025同项目差旅费金额/1.08反推</x:v>
      </x:c>
      <x:c r="AE187" s="71" t="str">
        <x:v>2025年实际执行.xlsx</x:v>
      </x:c>
      <x:c r="AF187" s="71" t="str">
        <x:v>Sheet</x:v>
      </x:c>
      <x:c r="AG187" s="71" t="n">
        <x:v>187</x:v>
      </x:c>
      <x:c r="AH187" s="71" t="str">
        <x:v>2025年实际执行.xlsx/Sheet!187:187</x:v>
      </x:c>
      <x:c r="AI187" s="62" t="str">
        <x:f>IF(F187=MONTH(L187),"OK","FAIL")</x:f>
        <x:v>OK</x:v>
      </x:c>
      <x:c r="AJ187" s="62" t="str">
        <x:f>IF(J187&lt;=L187,"OK","FAIL")</x:f>
        <x:v>OK</x:v>
      </x:c>
      <x:c r="AK187" s="62" t="str">
        <x:f>IF(D187&lt;&gt;"营业收入","OK",IF(AND(P187&lt;0,Q187&gt;0),"OK","FAIL"))</x:f>
        <x:v>OK</x:v>
      </x:c>
      <x:c r="AL187" s="62" t="str">
        <x:f>IF(COUNTIF($A$2:$A$204,A187)=1,"OK","FAIL")</x:f>
        <x:v>OK</x:v>
      </x:c>
    </x:row>
    <x:row r="188">
      <x:c r="A188" s="62" t="str">
        <x:v>DEMO01|2024|DOC1186|10</x:v>
      </x:c>
      <x:c r="B188" s="62" t="str">
        <x:v>SYNTHETIC_FOR_DEMO</x:v>
      </x:c>
      <x:c r="C188" s="62" t="str">
        <x:v>差旅费</x:v>
      </x:c>
      <x:c r="D188" s="62" t="str">
        <x:v>差旅费</x:v>
      </x:c>
      <x:c r="E188" s="62"/>
      <x:c r="F188" s="62" t="n">
        <x:v>3</x:v>
      </x:c>
      <x:c r="G188" s="62" t="str">
        <x:v>DOC1186</x:v>
      </x:c>
      <x:c r="H188" s="62" t="n">
        <x:v>10</x:v>
      </x:c>
      <x:c r="I188" s="74"/>
      <x:c r="J188" s="74" t="n">
        <x:v>45366</x:v>
      </x:c>
      <x:c r="K188" s="74"/>
      <x:c r="L188" s="74" t="n">
        <x:v>45366</x:v>
      </x:c>
      <x:c r="M188" s="77"/>
      <x:c r="N188" s="77" t="n">
        <x:v>6</x:v>
      </x:c>
      <x:c r="O188" s="78" t="n">
        <x:v>0.08</x:v>
      </x:c>
      <x:c r="P188" s="79" t="n">
        <x:f>ROUND(N188/(1+O188),4)</x:f>
        <x:v>5.5556</x:v>
      </x:c>
      <x:c r="Q188" s="79" t="n">
        <x:f>IF(D188="营业收入",-P188,P188)</x:f>
        <x:v>5.5556</x:v>
      </x:c>
      <x:c r="R188" s="62" t="str">
        <x:v>CNY</x:v>
      </x:c>
      <x:c r="S188" s="62" t="str">
        <x:v>万元</x:v>
      </x:c>
      <x:c r="T188" s="62" t="str">
        <x:v>费用不含税</x:v>
      </x:c>
      <x:c r="U188" s="62" t="str">
        <x:v>技术部</x:v>
      </x:c>
      <x:c r="V188" s="62" t="str">
        <x:v>热能动力研究材料运输</x:v>
      </x:c>
      <x:c r="W188" s="62" t="str">
        <x:v>热能动力研究项目差旅报销</x:v>
      </x:c>
      <x:c r="X188" s="62" t="str">
        <x:v>中核运维</x:v>
      </x:c>
      <x:c r="Y188" s="62" t="str">
        <x:v>中核运维</x:v>
      </x:c>
      <x:c r="Z188" s="62" t="str">
        <x:v>17</x:v>
      </x:c>
      <x:c r="AA188" s="62" t="str">
        <x:v>热能动力研究</x:v>
      </x:c>
      <x:c r="AB188" s="62" t="str">
        <x:v>PRJ-JS-热能-2025-002</x:v>
      </x:c>
      <x:c r="AC188" s="74" t="n">
        <x:v>45657</x:v>
      </x:c>
      <x:c r="AD188" s="71" t="str">
        <x:v>SYNTHETIC_FOR_DEMO：按2025同项目差旅费金额/1.08反推</x:v>
      </x:c>
      <x:c r="AE188" s="71" t="str">
        <x:v>2025年实际执行.xlsx</x:v>
      </x:c>
      <x:c r="AF188" s="71" t="str">
        <x:v>Sheet</x:v>
      </x:c>
      <x:c r="AG188" s="71" t="n">
        <x:v>188</x:v>
      </x:c>
      <x:c r="AH188" s="71" t="str">
        <x:v>2025年实际执行.xlsx/Sheet!188:188</x:v>
      </x:c>
      <x:c r="AI188" s="62" t="str">
        <x:f>IF(F188=MONTH(L188),"OK","FAIL")</x:f>
        <x:v>OK</x:v>
      </x:c>
      <x:c r="AJ188" s="62" t="str">
        <x:f>IF(J188&lt;=L188,"OK","FAIL")</x:f>
        <x:v>OK</x:v>
      </x:c>
      <x:c r="AK188" s="62" t="str">
        <x:f>IF(D188&lt;&gt;"营业收入","OK",IF(AND(P188&lt;0,Q188&gt;0),"OK","FAIL"))</x:f>
        <x:v>OK</x:v>
      </x:c>
      <x:c r="AL188" s="62" t="str">
        <x:f>IF(COUNTIF($A$2:$A$204,A188)=1,"OK","FAIL")</x:f>
        <x:v>OK</x:v>
      </x:c>
    </x:row>
    <x:row r="189">
      <x:c r="A189" s="62" t="str">
        <x:v>DEMO01|2024|DOC1187|10</x:v>
      </x:c>
      <x:c r="B189" s="62" t="str">
        <x:v>SYNTHETIC_FOR_DEMO</x:v>
      </x:c>
      <x:c r="C189" s="62" t="str">
        <x:v>差旅费</x:v>
      </x:c>
      <x:c r="D189" s="62" t="str">
        <x:v>差旅费</x:v>
      </x:c>
      <x:c r="E189" s="62"/>
      <x:c r="F189" s="62" t="n">
        <x:v>5</x:v>
      </x:c>
      <x:c r="G189" s="62" t="str">
        <x:v>DOC1187</x:v>
      </x:c>
      <x:c r="H189" s="62" t="n">
        <x:v>10</x:v>
      </x:c>
      <x:c r="I189" s="74"/>
      <x:c r="J189" s="74" t="n">
        <x:v>45427</x:v>
      </x:c>
      <x:c r="K189" s="74"/>
      <x:c r="L189" s="74" t="n">
        <x:v>45427</x:v>
      </x:c>
      <x:c r="M189" s="77"/>
      <x:c r="N189" s="77" t="n">
        <x:v>1</x:v>
      </x:c>
      <x:c r="O189" s="78" t="n">
        <x:v>0.08</x:v>
      </x:c>
      <x:c r="P189" s="79" t="n">
        <x:f>ROUND(N189/(1+O189),4)</x:f>
        <x:v>0.9259</x:v>
      </x:c>
      <x:c r="Q189" s="79" t="n">
        <x:f>IF(D189="营业收入",-P189,P189)</x:f>
        <x:v>0.9259</x:v>
      </x:c>
      <x:c r="R189" s="62" t="str">
        <x:v>CNY</x:v>
      </x:c>
      <x:c r="S189" s="62" t="str">
        <x:v>万元</x:v>
      </x:c>
      <x:c r="T189" s="62" t="str">
        <x:v>费用不含税</x:v>
      </x:c>
      <x:c r="U189" s="62" t="str">
        <x:v>技术部</x:v>
      </x:c>
      <x:c r="V189" s="62" t="str">
        <x:v>热能动力研究材料运输</x:v>
      </x:c>
      <x:c r="W189" s="62" t="str">
        <x:v>热能动力研究项目差旅报销</x:v>
      </x:c>
      <x:c r="X189" s="62" t="str">
        <x:v>北京核工院</x:v>
      </x:c>
      <x:c r="Y189" s="62" t="str">
        <x:v>北京核工院</x:v>
      </x:c>
      <x:c r="Z189" s="62" t="str">
        <x:v>17</x:v>
      </x:c>
      <x:c r="AA189" s="62" t="str">
        <x:v>热能动力研究</x:v>
      </x:c>
      <x:c r="AB189" s="62" t="str">
        <x:v>PRJ-JS-热能-2025-003</x:v>
      </x:c>
      <x:c r="AC189" s="74" t="n">
        <x:v>45657</x:v>
      </x:c>
      <x:c r="AD189" s="71" t="str">
        <x:v>SYNTHETIC_FOR_DEMO：按2025同项目差旅费金额/1.08反推</x:v>
      </x:c>
      <x:c r="AE189" s="71" t="str">
        <x:v>2025年实际执行.xlsx</x:v>
      </x:c>
      <x:c r="AF189" s="71" t="str">
        <x:v>Sheet</x:v>
      </x:c>
      <x:c r="AG189" s="71" t="n">
        <x:v>189</x:v>
      </x:c>
      <x:c r="AH189" s="71" t="str">
        <x:v>2025年实际执行.xlsx/Sheet!189:189</x:v>
      </x:c>
      <x:c r="AI189" s="62" t="str">
        <x:f>IF(F189=MONTH(L189),"OK","FAIL")</x:f>
        <x:v>OK</x:v>
      </x:c>
      <x:c r="AJ189" s="62" t="str">
        <x:f>IF(J189&lt;=L189,"OK","FAIL")</x:f>
        <x:v>OK</x:v>
      </x:c>
      <x:c r="AK189" s="62" t="str">
        <x:f>IF(D189&lt;&gt;"营业收入","OK",IF(AND(P189&lt;0,Q189&gt;0),"OK","FAIL"))</x:f>
        <x:v>OK</x:v>
      </x:c>
      <x:c r="AL189" s="62" t="str">
        <x:f>IF(COUNTIF($A$2:$A$204,A189)=1,"OK","FAIL")</x:f>
        <x:v>OK</x:v>
      </x:c>
    </x:row>
    <x:row r="190">
      <x:c r="A190" s="62" t="str">
        <x:v>DEMO01|2024|DOC1188|10</x:v>
      </x:c>
      <x:c r="B190" s="62" t="str">
        <x:v>SYNTHETIC_FOR_DEMO</x:v>
      </x:c>
      <x:c r="C190" s="62" t="str">
        <x:v>差旅费</x:v>
      </x:c>
      <x:c r="D190" s="62" t="str">
        <x:v>差旅费</x:v>
      </x:c>
      <x:c r="E190" s="62"/>
      <x:c r="F190" s="62" t="n">
        <x:v>11</x:v>
      </x:c>
      <x:c r="G190" s="62" t="str">
        <x:v>DOC1188</x:v>
      </x:c>
      <x:c r="H190" s="62" t="n">
        <x:v>10</x:v>
      </x:c>
      <x:c r="I190" s="74"/>
      <x:c r="J190" s="74" t="n">
        <x:v>45611</x:v>
      </x:c>
      <x:c r="K190" s="74"/>
      <x:c r="L190" s="74" t="n">
        <x:v>45611</x:v>
      </x:c>
      <x:c r="M190" s="77"/>
      <x:c r="N190" s="77" t="n">
        <x:v>9</x:v>
      </x:c>
      <x:c r="O190" s="78" t="n">
        <x:v>0.08</x:v>
      </x:c>
      <x:c r="P190" s="79" t="n">
        <x:f>ROUND(N190/(1+O190),4)</x:f>
        <x:v>8.3333</x:v>
      </x:c>
      <x:c r="Q190" s="79" t="n">
        <x:f>IF(D190="营业收入",-P190,P190)</x:f>
        <x:v>8.3333</x:v>
      </x:c>
      <x:c r="R190" s="62" t="str">
        <x:v>CNY</x:v>
      </x:c>
      <x:c r="S190" s="62" t="str">
        <x:v>万元</x:v>
      </x:c>
      <x:c r="T190" s="62" t="str">
        <x:v>费用不含税</x:v>
      </x:c>
      <x:c r="U190" s="62" t="str">
        <x:v>技术部</x:v>
      </x:c>
      <x:c r="V190" s="62" t="str">
        <x:v>经验反馈改进材料运输</x:v>
      </x:c>
      <x:c r="W190" s="62" t="str">
        <x:v>经验反馈改进项目差旅报销</x:v>
      </x:c>
      <x:c r="X190" s="62" t="str">
        <x:v>华能服务</x:v>
      </x:c>
      <x:c r="Y190" s="62" t="str">
        <x:v>华能服务</x:v>
      </x:c>
      <x:c r="Z190" s="62" t="str">
        <x:v>17</x:v>
      </x:c>
      <x:c r="AA190" s="62" t="str">
        <x:v>经验反馈改进</x:v>
      </x:c>
      <x:c r="AB190" s="62" t="str">
        <x:v>PRJ-JS-经验-2024-001</x:v>
      </x:c>
      <x:c r="AC190" s="74" t="n">
        <x:v>45657</x:v>
      </x:c>
      <x:c r="AD190" s="71" t="str">
        <x:v>SYNTHETIC_FOR_DEMO：按2025同项目差旅费金额/1.08反推</x:v>
      </x:c>
      <x:c r="AE190" s="71" t="str">
        <x:v>2025年实际执行.xlsx</x:v>
      </x:c>
      <x:c r="AF190" s="71" t="str">
        <x:v>Sheet</x:v>
      </x:c>
      <x:c r="AG190" s="71" t="n">
        <x:v>190</x:v>
      </x:c>
      <x:c r="AH190" s="71" t="str">
        <x:v>2025年实际执行.xlsx/Sheet!190:190</x:v>
      </x:c>
      <x:c r="AI190" s="62" t="str">
        <x:f>IF(F190=MONTH(L190),"OK","FAIL")</x:f>
        <x:v>OK</x:v>
      </x:c>
      <x:c r="AJ190" s="62" t="str">
        <x:f>IF(J190&lt;=L190,"OK","FAIL")</x:f>
        <x:v>OK</x:v>
      </x:c>
      <x:c r="AK190" s="62" t="str">
        <x:f>IF(D190&lt;&gt;"营业收入","OK",IF(AND(P190&lt;0,Q190&gt;0),"OK","FAIL"))</x:f>
        <x:v>OK</x:v>
      </x:c>
      <x:c r="AL190" s="62" t="str">
        <x:f>IF(COUNTIF($A$2:$A$204,A190)=1,"OK","FAIL")</x:f>
        <x:v>OK</x:v>
      </x:c>
    </x:row>
    <x:row r="191">
      <x:c r="A191" s="62" t="str">
        <x:v>DEMO01|2024|DOC1189|10</x:v>
      </x:c>
      <x:c r="B191" s="62" t="str">
        <x:v>SYNTHETIC_FOR_DEMO</x:v>
      </x:c>
      <x:c r="C191" s="62" t="str">
        <x:v>差旅费</x:v>
      </x:c>
      <x:c r="D191" s="62" t="str">
        <x:v>差旅费</x:v>
      </x:c>
      <x:c r="E191" s="62"/>
      <x:c r="F191" s="62" t="n">
        <x:v>12</x:v>
      </x:c>
      <x:c r="G191" s="62" t="str">
        <x:v>DOC1189</x:v>
      </x:c>
      <x:c r="H191" s="62" t="n">
        <x:v>10</x:v>
      </x:c>
      <x:c r="I191" s="74"/>
      <x:c r="J191" s="74" t="n">
        <x:v>45641</x:v>
      </x:c>
      <x:c r="K191" s="74"/>
      <x:c r="L191" s="74" t="n">
        <x:v>45641</x:v>
      </x:c>
      <x:c r="M191" s="77"/>
      <x:c r="N191" s="77" t="n">
        <x:v>5</x:v>
      </x:c>
      <x:c r="O191" s="78" t="n">
        <x:v>0.08</x:v>
      </x:c>
      <x:c r="P191" s="79" t="n">
        <x:f>ROUND(N191/(1+O191),4)</x:f>
        <x:v>4.6296</x:v>
      </x:c>
      <x:c r="Q191" s="79" t="n">
        <x:f>IF(D191="营业收入",-P191,P191)</x:f>
        <x:v>4.6296</x:v>
      </x:c>
      <x:c r="R191" s="62" t="str">
        <x:v>CNY</x:v>
      </x:c>
      <x:c r="S191" s="62" t="str">
        <x:v>万元</x:v>
      </x:c>
      <x:c r="T191" s="62" t="str">
        <x:v>费用不含税</x:v>
      </x:c>
      <x:c r="U191" s="62" t="str">
        <x:v>技术部</x:v>
      </x:c>
      <x:c r="V191" s="62" t="str">
        <x:v>经验反馈改进材料运输</x:v>
      </x:c>
      <x:c r="W191" s="62" t="str">
        <x:v>经验反馈改进项目差旅报销</x:v>
      </x:c>
      <x:c r="X191" s="62" t="str">
        <x:v>华能服务</x:v>
      </x:c>
      <x:c r="Y191" s="62" t="str">
        <x:v>华能服务</x:v>
      </x:c>
      <x:c r="Z191" s="62" t="str">
        <x:v>17</x:v>
      </x:c>
      <x:c r="AA191" s="62" t="str">
        <x:v>经验反馈改进</x:v>
      </x:c>
      <x:c r="AB191" s="62" t="str">
        <x:v>PRJ-JS-经验-2025-002</x:v>
      </x:c>
      <x:c r="AC191" s="74" t="n">
        <x:v>45657</x:v>
      </x:c>
      <x:c r="AD191" s="71" t="str">
        <x:v>SYNTHETIC_FOR_DEMO：按2025同项目差旅费金额/1.08反推</x:v>
      </x:c>
      <x:c r="AE191" s="71" t="str">
        <x:v>2025年实际执行.xlsx</x:v>
      </x:c>
      <x:c r="AF191" s="71" t="str">
        <x:v>Sheet</x:v>
      </x:c>
      <x:c r="AG191" s="71" t="n">
        <x:v>191</x:v>
      </x:c>
      <x:c r="AH191" s="71" t="str">
        <x:v>2025年实际执行.xlsx/Sheet!191:191</x:v>
      </x:c>
      <x:c r="AI191" s="62" t="str">
        <x:f>IF(F191=MONTH(L191),"OK","FAIL")</x:f>
        <x:v>OK</x:v>
      </x:c>
      <x:c r="AJ191" s="62" t="str">
        <x:f>IF(J191&lt;=L191,"OK","FAIL")</x:f>
        <x:v>OK</x:v>
      </x:c>
      <x:c r="AK191" s="62" t="str">
        <x:f>IF(D191&lt;&gt;"营业收入","OK",IF(AND(P191&lt;0,Q191&gt;0),"OK","FAIL"))</x:f>
        <x:v>OK</x:v>
      </x:c>
      <x:c r="AL191" s="62" t="str">
        <x:f>IF(COUNTIF($A$2:$A$204,A191)=1,"OK","FAIL")</x:f>
        <x:v>OK</x:v>
      </x:c>
    </x:row>
    <x:row r="192">
      <x:c r="A192" s="62" t="str">
        <x:v>DEMO01|2024|DOC1190|10</x:v>
      </x:c>
      <x:c r="B192" s="62" t="str">
        <x:v>SYNTHETIC_FOR_DEMO</x:v>
      </x:c>
      <x:c r="C192" s="62" t="str">
        <x:v>差旅费</x:v>
      </x:c>
      <x:c r="D192" s="62" t="str">
        <x:v>差旅费</x:v>
      </x:c>
      <x:c r="E192" s="62"/>
      <x:c r="F192" s="62" t="n">
        <x:v>4</x:v>
      </x:c>
      <x:c r="G192" s="62" t="str">
        <x:v>DOC1190</x:v>
      </x:c>
      <x:c r="H192" s="62" t="n">
        <x:v>10</x:v>
      </x:c>
      <x:c r="I192" s="74"/>
      <x:c r="J192" s="74" t="n">
        <x:v>45397</x:v>
      </x:c>
      <x:c r="K192" s="74"/>
      <x:c r="L192" s="74" t="n">
        <x:v>45397</x:v>
      </x:c>
      <x:c r="M192" s="77"/>
      <x:c r="N192" s="77" t="n">
        <x:v>3</x:v>
      </x:c>
      <x:c r="O192" s="78" t="n">
        <x:v>0.08</x:v>
      </x:c>
      <x:c r="P192" s="79" t="n">
        <x:f>ROUND(N192/(1+O192),4)</x:f>
        <x:v>2.7778</x:v>
      </x:c>
      <x:c r="Q192" s="79" t="n">
        <x:f>IF(D192="营业收入",-P192,P192)</x:f>
        <x:v>2.7778</x:v>
      </x:c>
      <x:c r="R192" s="62" t="str">
        <x:v>CNY</x:v>
      </x:c>
      <x:c r="S192" s="62" t="str">
        <x:v>万元</x:v>
      </x:c>
      <x:c r="T192" s="62" t="str">
        <x:v>费用不含税</x:v>
      </x:c>
      <x:c r="U192" s="62" t="str">
        <x:v>技术部</x:v>
      </x:c>
      <x:c r="V192" s="62" t="str">
        <x:v>经验反馈改进材料运输</x:v>
      </x:c>
      <x:c r="W192" s="62" t="str">
        <x:v>经验反馈改进项目差旅报销</x:v>
      </x:c>
      <x:c r="X192" s="62" t="str">
        <x:v>国电智深</x:v>
      </x:c>
      <x:c r="Y192" s="62" t="str">
        <x:v>国电智深</x:v>
      </x:c>
      <x:c r="Z192" s="62" t="str">
        <x:v>17</x:v>
      </x:c>
      <x:c r="AA192" s="62" t="str">
        <x:v>经验反馈改进</x:v>
      </x:c>
      <x:c r="AB192" s="62" t="str">
        <x:v>PRJ-JS-经验-2025-003</x:v>
      </x:c>
      <x:c r="AC192" s="74" t="n">
        <x:v>45657</x:v>
      </x:c>
      <x:c r="AD192" s="71" t="str">
        <x:v>SYNTHETIC_FOR_DEMO：按2025同项目差旅费金额/1.08反推</x:v>
      </x:c>
      <x:c r="AE192" s="71" t="str">
        <x:v>2025年实际执行.xlsx</x:v>
      </x:c>
      <x:c r="AF192" s="71" t="str">
        <x:v>Sheet</x:v>
      </x:c>
      <x:c r="AG192" s="71" t="n">
        <x:v>192</x:v>
      </x:c>
      <x:c r="AH192" s="71" t="str">
        <x:v>2025年实际执行.xlsx/Sheet!192:192</x:v>
      </x:c>
      <x:c r="AI192" s="62" t="str">
        <x:f>IF(F192=MONTH(L192),"OK","FAIL")</x:f>
        <x:v>OK</x:v>
      </x:c>
      <x:c r="AJ192" s="62" t="str">
        <x:f>IF(J192&lt;=L192,"OK","FAIL")</x:f>
        <x:v>OK</x:v>
      </x:c>
      <x:c r="AK192" s="62" t="str">
        <x:f>IF(D192&lt;&gt;"营业收入","OK",IF(AND(P192&lt;0,Q192&gt;0),"OK","FAIL"))</x:f>
        <x:v>OK</x:v>
      </x:c>
      <x:c r="AL192" s="62" t="str">
        <x:f>IF(COUNTIF($A$2:$A$204,A192)=1,"OK","FAIL")</x:f>
        <x:v>OK</x:v>
      </x:c>
    </x:row>
    <x:row r="193">
      <x:c r="A193" s="62" t="str">
        <x:v>DEMO01|2024|DOC1191|10</x:v>
      </x:c>
      <x:c r="B193" s="62" t="str">
        <x:v>SYNTHETIC_FOR_DEMO</x:v>
      </x:c>
      <x:c r="C193" s="62" t="str">
        <x:v>差旅费</x:v>
      </x:c>
      <x:c r="D193" s="62" t="str">
        <x:v>差旅费</x:v>
      </x:c>
      <x:c r="E193" s="62"/>
      <x:c r="F193" s="62" t="n">
        <x:v>1</x:v>
      </x:c>
      <x:c r="G193" s="62" t="str">
        <x:v>DOC1191</x:v>
      </x:c>
      <x:c r="H193" s="62" t="n">
        <x:v>10</x:v>
      </x:c>
      <x:c r="I193" s="74"/>
      <x:c r="J193" s="74" t="n">
        <x:v>45306</x:v>
      </x:c>
      <x:c r="K193" s="74"/>
      <x:c r="L193" s="74" t="n">
        <x:v>45306</x:v>
      </x:c>
      <x:c r="M193" s="77"/>
      <x:c r="N193" s="77" t="n">
        <x:v>2</x:v>
      </x:c>
      <x:c r="O193" s="78" t="n">
        <x:v>0.08</x:v>
      </x:c>
      <x:c r="P193" s="79" t="n">
        <x:f>ROUND(N193/(1+O193),4)</x:f>
        <x:v>1.8519</x:v>
      </x:c>
      <x:c r="Q193" s="79" t="n">
        <x:f>IF(D193="营业收入",-P193,P193)</x:f>
        <x:v>1.8519</x:v>
      </x:c>
      <x:c r="R193" s="62" t="str">
        <x:v>CNY</x:v>
      </x:c>
      <x:c r="S193" s="62" t="str">
        <x:v>万元</x:v>
      </x:c>
      <x:c r="T193" s="62" t="str">
        <x:v>费用不含税</x:v>
      </x:c>
      <x:c r="U193" s="62" t="str">
        <x:v>技术部</x:v>
      </x:c>
      <x:c r="V193" s="62" t="str">
        <x:v>新技术应用材料运输</x:v>
      </x:c>
      <x:c r="W193" s="62" t="str">
        <x:v>新技术应用项目差旅报销</x:v>
      </x:c>
      <x:c r="X193" s="62" t="str">
        <x:v>苏州热工</x:v>
      </x:c>
      <x:c r="Y193" s="62" t="str">
        <x:v>苏州热工</x:v>
      </x:c>
      <x:c r="Z193" s="62" t="str">
        <x:v>17</x:v>
      </x:c>
      <x:c r="AA193" s="62" t="str">
        <x:v>新技术应用</x:v>
      </x:c>
      <x:c r="AB193" s="62" t="str">
        <x:v>PRJ-JS-新技-2024-001</x:v>
      </x:c>
      <x:c r="AC193" s="74" t="n">
        <x:v>45657</x:v>
      </x:c>
      <x:c r="AD193" s="71" t="str">
        <x:v>SYNTHETIC_FOR_DEMO：按2025同项目差旅费金额/1.08反推</x:v>
      </x:c>
      <x:c r="AE193" s="71" t="str">
        <x:v>2025年实际执行.xlsx</x:v>
      </x:c>
      <x:c r="AF193" s="71" t="str">
        <x:v>Sheet</x:v>
      </x:c>
      <x:c r="AG193" s="71" t="n">
        <x:v>193</x:v>
      </x:c>
      <x:c r="AH193" s="71" t="str">
        <x:v>2025年实际执行.xlsx/Sheet!193:193</x:v>
      </x:c>
      <x:c r="AI193" s="62" t="str">
        <x:f>IF(F193=MONTH(L193),"OK","FAIL")</x:f>
        <x:v>OK</x:v>
      </x:c>
      <x:c r="AJ193" s="62" t="str">
        <x:f>IF(J193&lt;=L193,"OK","FAIL")</x:f>
        <x:v>OK</x:v>
      </x:c>
      <x:c r="AK193" s="62" t="str">
        <x:f>IF(D193&lt;&gt;"营业收入","OK",IF(AND(P193&lt;0,Q193&gt;0),"OK","FAIL"))</x:f>
        <x:v>OK</x:v>
      </x:c>
      <x:c r="AL193" s="62" t="str">
        <x:f>IF(COUNTIF($A$2:$A$204,A193)=1,"OK","FAIL")</x:f>
        <x:v>OK</x:v>
      </x:c>
    </x:row>
    <x:row r="194">
      <x:c r="A194" s="62" t="str">
        <x:v>DEMO01|2024|DOC1192|10</x:v>
      </x:c>
      <x:c r="B194" s="62" t="str">
        <x:v>SYNTHETIC_FOR_DEMO</x:v>
      </x:c>
      <x:c r="C194" s="62" t="str">
        <x:v>差旅费</x:v>
      </x:c>
      <x:c r="D194" s="62" t="str">
        <x:v>差旅费</x:v>
      </x:c>
      <x:c r="E194" s="62"/>
      <x:c r="F194" s="62" t="n">
        <x:v>4</x:v>
      </x:c>
      <x:c r="G194" s="62" t="str">
        <x:v>DOC1192</x:v>
      </x:c>
      <x:c r="H194" s="62" t="n">
        <x:v>10</x:v>
      </x:c>
      <x:c r="I194" s="74"/>
      <x:c r="J194" s="74" t="n">
        <x:v>45397</x:v>
      </x:c>
      <x:c r="K194" s="74"/>
      <x:c r="L194" s="74" t="n">
        <x:v>45397</x:v>
      </x:c>
      <x:c r="M194" s="77"/>
      <x:c r="N194" s="77" t="n">
        <x:v>3.554</x:v>
      </x:c>
      <x:c r="O194" s="78" t="n">
        <x:v>0.08</x:v>
      </x:c>
      <x:c r="P194" s="79" t="n">
        <x:f>ROUND(N194/(1+O194),4)</x:f>
        <x:v>3.2907</x:v>
      </x:c>
      <x:c r="Q194" s="79" t="n">
        <x:f>IF(D194="营业收入",-P194,P194)</x:f>
        <x:v>3.2907</x:v>
      </x:c>
      <x:c r="R194" s="62" t="str">
        <x:v>CNY</x:v>
      </x:c>
      <x:c r="S194" s="62" t="str">
        <x:v>万元</x:v>
      </x:c>
      <x:c r="T194" s="62" t="str">
        <x:v>费用不含税</x:v>
      </x:c>
      <x:c r="U194" s="62" t="str">
        <x:v>技术部</x:v>
      </x:c>
      <x:c r="V194" s="62" t="str">
        <x:v>新技术应用材料运输</x:v>
      </x:c>
      <x:c r="W194" s="62" t="str">
        <x:v>新技术应用项目差旅报销</x:v>
      </x:c>
      <x:c r="X194" s="62" t="str">
        <x:v>北京核工院</x:v>
      </x:c>
      <x:c r="Y194" s="62" t="str">
        <x:v>北京核工院</x:v>
      </x:c>
      <x:c r="Z194" s="62" t="str">
        <x:v>17</x:v>
      </x:c>
      <x:c r="AA194" s="62" t="str">
        <x:v>新技术应用</x:v>
      </x:c>
      <x:c r="AB194" s="62" t="str">
        <x:v>PRJ-JS-新技-2025-002</x:v>
      </x:c>
      <x:c r="AC194" s="74" t="n">
        <x:v>45657</x:v>
      </x:c>
      <x:c r="AD194" s="71" t="str">
        <x:v>SYNTHETIC_FOR_DEMO：按2025同项目差旅费金额/1.08反推</x:v>
      </x:c>
      <x:c r="AE194" s="71" t="str">
        <x:v>2025年实际执行.xlsx</x:v>
      </x:c>
      <x:c r="AF194" s="71" t="str">
        <x:v>Sheet</x:v>
      </x:c>
      <x:c r="AG194" s="71" t="n">
        <x:v>194</x:v>
      </x:c>
      <x:c r="AH194" s="71" t="str">
        <x:v>2025年实际执行.xlsx/Sheet!194:194</x:v>
      </x:c>
      <x:c r="AI194" s="62" t="str">
        <x:f>IF(F194=MONTH(L194),"OK","FAIL")</x:f>
        <x:v>OK</x:v>
      </x:c>
      <x:c r="AJ194" s="62" t="str">
        <x:f>IF(J194&lt;=L194,"OK","FAIL")</x:f>
        <x:v>OK</x:v>
      </x:c>
      <x:c r="AK194" s="62" t="str">
        <x:f>IF(D194&lt;&gt;"营业收入","OK",IF(AND(P194&lt;0,Q194&gt;0),"OK","FAIL"))</x:f>
        <x:v>OK</x:v>
      </x:c>
      <x:c r="AL194" s="62" t="str">
        <x:f>IF(COUNTIF($A$2:$A$204,A194)=1,"OK","FAIL")</x:f>
        <x:v>OK</x:v>
      </x:c>
    </x:row>
    <x:row r="195">
      <x:c r="A195" s="62" t="str">
        <x:v>DEMO01|2024|DOC1193|10</x:v>
      </x:c>
      <x:c r="B195" s="62" t="str">
        <x:v>SYNTHETIC_FOR_DEMO</x:v>
      </x:c>
      <x:c r="C195" s="62" t="str">
        <x:v>差旅费</x:v>
      </x:c>
      <x:c r="D195" s="62" t="str">
        <x:v>差旅费</x:v>
      </x:c>
      <x:c r="E195" s="62"/>
      <x:c r="F195" s="62" t="n">
        <x:v>8</x:v>
      </x:c>
      <x:c r="G195" s="62" t="str">
        <x:v>DOC1193</x:v>
      </x:c>
      <x:c r="H195" s="62" t="n">
        <x:v>10</x:v>
      </x:c>
      <x:c r="I195" s="74"/>
      <x:c r="J195" s="74" t="n">
        <x:v>45519</x:v>
      </x:c>
      <x:c r="K195" s="74"/>
      <x:c r="L195" s="74" t="n">
        <x:v>45519</x:v>
      </x:c>
      <x:c r="M195" s="77"/>
      <x:c r="N195" s="77" t="n">
        <x:v>3.554</x:v>
      </x:c>
      <x:c r="O195" s="78" t="n">
        <x:v>0.08</x:v>
      </x:c>
      <x:c r="P195" s="79" t="n">
        <x:f>ROUND(N195/(1+O195),4)</x:f>
        <x:v>3.2907</x:v>
      </x:c>
      <x:c r="Q195" s="79" t="n">
        <x:f>IF(D195="营业收入",-P195,P195)</x:f>
        <x:v>3.2907</x:v>
      </x:c>
      <x:c r="R195" s="62" t="str">
        <x:v>CNY</x:v>
      </x:c>
      <x:c r="S195" s="62" t="str">
        <x:v>万元</x:v>
      </x:c>
      <x:c r="T195" s="62" t="str">
        <x:v>费用不含税</x:v>
      </x:c>
      <x:c r="U195" s="62" t="str">
        <x:v>技术部</x:v>
      </x:c>
      <x:c r="V195" s="62" t="str">
        <x:v>新技术应用材料运输</x:v>
      </x:c>
      <x:c r="W195" s="62" t="str">
        <x:v>新技术应用项目差旅报销</x:v>
      </x:c>
      <x:c r="X195" s="62" t="str">
        <x:v>苏州热工</x:v>
      </x:c>
      <x:c r="Y195" s="62" t="str">
        <x:v>苏州热工</x:v>
      </x:c>
      <x:c r="Z195" s="62" t="str">
        <x:v>17</x:v>
      </x:c>
      <x:c r="AA195" s="62" t="str">
        <x:v>新技术应用</x:v>
      </x:c>
      <x:c r="AB195" s="62" t="str">
        <x:v>PRJ-JS-新技-2025-003</x:v>
      </x:c>
      <x:c r="AC195" s="74" t="n">
        <x:v>45657</x:v>
      </x:c>
      <x:c r="AD195" s="71" t="str">
        <x:v>SYNTHETIC_FOR_DEMO：按2025同项目差旅费金额/1.08反推</x:v>
      </x:c>
      <x:c r="AE195" s="71" t="str">
        <x:v>2025年实际执行.xlsx</x:v>
      </x:c>
      <x:c r="AF195" s="71" t="str">
        <x:v>Sheet</x:v>
      </x:c>
      <x:c r="AG195" s="71" t="n">
        <x:v>195</x:v>
      </x:c>
      <x:c r="AH195" s="71" t="str">
        <x:v>2025年实际执行.xlsx/Sheet!195:195</x:v>
      </x:c>
      <x:c r="AI195" s="62" t="str">
        <x:f>IF(F195=MONTH(L195),"OK","FAIL")</x:f>
        <x:v>OK</x:v>
      </x:c>
      <x:c r="AJ195" s="62" t="str">
        <x:f>IF(J195&lt;=L195,"OK","FAIL")</x:f>
        <x:v>OK</x:v>
      </x:c>
      <x:c r="AK195" s="62" t="str">
        <x:f>IF(D195&lt;&gt;"营业收入","OK",IF(AND(P195&lt;0,Q195&gt;0),"OK","FAIL"))</x:f>
        <x:v>OK</x:v>
      </x:c>
      <x:c r="AL195" s="62" t="str">
        <x:f>IF(COUNTIF($A$2:$A$204,A195)=1,"OK","FAIL")</x:f>
        <x:v>OK</x:v>
      </x:c>
    </x:row>
    <x:row r="196">
      <x:c r="A196" s="62" t="str">
        <x:v>DEMO01|2024|DOC1194|10</x:v>
      </x:c>
      <x:c r="B196" s="62" t="str">
        <x:v>SYNTHETIC_FOR_DEMO</x:v>
      </x:c>
      <x:c r="C196" s="62" t="str">
        <x:v>差旅费</x:v>
      </x:c>
      <x:c r="D196" s="62" t="str">
        <x:v>差旅费</x:v>
      </x:c>
      <x:c r="E196" s="62"/>
      <x:c r="F196" s="62" t="n">
        <x:v>7</x:v>
      </x:c>
      <x:c r="G196" s="62" t="str">
        <x:v>DOC1194</x:v>
      </x:c>
      <x:c r="H196" s="62" t="n">
        <x:v>10</x:v>
      </x:c>
      <x:c r="I196" s="74"/>
      <x:c r="J196" s="74" t="n">
        <x:v>45488</x:v>
      </x:c>
      <x:c r="K196" s="74"/>
      <x:c r="L196" s="74" t="n">
        <x:v>45488</x:v>
      </x:c>
      <x:c r="M196" s="77"/>
      <x:c r="N196" s="77" t="n">
        <x:v>3.554</x:v>
      </x:c>
      <x:c r="O196" s="78" t="n">
        <x:v>0.1</x:v>
      </x:c>
      <x:c r="P196" s="79" t="n">
        <x:f>ROUND(N196/(1+O196),4)</x:f>
        <x:v>3.2309</x:v>
      </x:c>
      <x:c r="Q196" s="79" t="n">
        <x:f>IF(D196="营业收入",-P196,P196)</x:f>
        <x:v>3.2309</x:v>
      </x:c>
      <x:c r="R196" s="62" t="str">
        <x:v>CNY</x:v>
      </x:c>
      <x:c r="S196" s="62" t="str">
        <x:v>万元</x:v>
      </x:c>
      <x:c r="T196" s="62" t="str">
        <x:v>费用不含税</x:v>
      </x:c>
      <x:c r="U196" s="62" t="str">
        <x:v>安全运行部</x:v>
      </x:c>
      <x:c r="V196" s="62" t="str">
        <x:v>概率安全分析材料运输</x:v>
      </x:c>
      <x:c r="W196" s="62" t="str">
        <x:v>概率安全分析项目差旅报销</x:v>
      </x:c>
      <x:c r="X196" s="62" t="str">
        <x:v>上海电气</x:v>
      </x:c>
      <x:c r="Y196" s="62" t="str">
        <x:v>上海电气</x:v>
      </x:c>
      <x:c r="Z196" s="62" t="str">
        <x:v>17</x:v>
      </x:c>
      <x:c r="AA196" s="62" t="str">
        <x:v>概率安全分析</x:v>
      </x:c>
      <x:c r="AB196" s="62" t="str">
        <x:v>PRJ-AQ-概率-2024-001</x:v>
      </x:c>
      <x:c r="AC196" s="74" t="n">
        <x:v>45657</x:v>
      </x:c>
      <x:c r="AD196" s="71" t="str">
        <x:v>SYNTHETIC_FOR_DEMO：按2025同项目差旅费金额/1.1反推</x:v>
      </x:c>
      <x:c r="AE196" s="71" t="str">
        <x:v>2025年实际执行.xlsx</x:v>
      </x:c>
      <x:c r="AF196" s="71" t="str">
        <x:v>Sheet</x:v>
      </x:c>
      <x:c r="AG196" s="71" t="n">
        <x:v>196</x:v>
      </x:c>
      <x:c r="AH196" s="71" t="str">
        <x:v>2025年实际执行.xlsx/Sheet!196:196</x:v>
      </x:c>
      <x:c r="AI196" s="62" t="str">
        <x:f>IF(F196=MONTH(L196),"OK","FAIL")</x:f>
        <x:v>OK</x:v>
      </x:c>
      <x:c r="AJ196" s="62" t="str">
        <x:f>IF(J196&lt;=L196,"OK","FAIL")</x:f>
        <x:v>OK</x:v>
      </x:c>
      <x:c r="AK196" s="62" t="str">
        <x:f>IF(D196&lt;&gt;"营业收入","OK",IF(AND(P196&lt;0,Q196&gt;0),"OK","FAIL"))</x:f>
        <x:v>OK</x:v>
      </x:c>
      <x:c r="AL196" s="62" t="str">
        <x:f>IF(COUNTIF($A$2:$A$204,A196)=1,"OK","FAIL")</x:f>
        <x:v>OK</x:v>
      </x:c>
    </x:row>
    <x:row r="197">
      <x:c r="A197" s="62" t="str">
        <x:v>DEMO01|2024|DOC1195|10</x:v>
      </x:c>
      <x:c r="B197" s="62" t="str">
        <x:v>SYNTHETIC_FOR_DEMO</x:v>
      </x:c>
      <x:c r="C197" s="62" t="str">
        <x:v>差旅费</x:v>
      </x:c>
      <x:c r="D197" s="62" t="str">
        <x:v>差旅费</x:v>
      </x:c>
      <x:c r="E197" s="62"/>
      <x:c r="F197" s="62" t="n">
        <x:v>9</x:v>
      </x:c>
      <x:c r="G197" s="62" t="str">
        <x:v>DOC1195</x:v>
      </x:c>
      <x:c r="H197" s="62" t="n">
        <x:v>10</x:v>
      </x:c>
      <x:c r="I197" s="74"/>
      <x:c r="J197" s="74" t="n">
        <x:v>45550</x:v>
      </x:c>
      <x:c r="K197" s="74"/>
      <x:c r="L197" s="74" t="n">
        <x:v>45550</x:v>
      </x:c>
      <x:c r="M197" s="77"/>
      <x:c r="N197" s="77" t="n">
        <x:v>4</x:v>
      </x:c>
      <x:c r="O197" s="78" t="n">
        <x:v>0.1</x:v>
      </x:c>
      <x:c r="P197" s="79" t="n">
        <x:f>ROUND(N197/(1+O197),4)</x:f>
        <x:v>3.6364</x:v>
      </x:c>
      <x:c r="Q197" s="79" t="n">
        <x:f>IF(D197="营业收入",-P197,P197)</x:f>
        <x:v>3.6364</x:v>
      </x:c>
      <x:c r="R197" s="62" t="str">
        <x:v>CNY</x:v>
      </x:c>
      <x:c r="S197" s="62" t="str">
        <x:v>万元</x:v>
      </x:c>
      <x:c r="T197" s="62" t="str">
        <x:v>费用不含税</x:v>
      </x:c>
      <x:c r="U197" s="62" t="str">
        <x:v>安全运行部</x:v>
      </x:c>
      <x:c r="V197" s="62" t="str">
        <x:v>概率安全分析材料运输</x:v>
      </x:c>
      <x:c r="W197" s="62" t="str">
        <x:v>概率安全分析项目差旅报销</x:v>
      </x:c>
      <x:c r="X197" s="62" t="str">
        <x:v>苏州热工</x:v>
      </x:c>
      <x:c r="Y197" s="62" t="str">
        <x:v>苏州热工</x:v>
      </x:c>
      <x:c r="Z197" s="62" t="str">
        <x:v>17</x:v>
      </x:c>
      <x:c r="AA197" s="62" t="str">
        <x:v>概率安全分析</x:v>
      </x:c>
      <x:c r="AB197" s="62" t="str">
        <x:v>PRJ-AQ-概率-2025-002</x:v>
      </x:c>
      <x:c r="AC197" s="74" t="n">
        <x:v>45657</x:v>
      </x:c>
      <x:c r="AD197" s="71" t="str">
        <x:v>SYNTHETIC_FOR_DEMO：按2025同项目差旅费金额/1.1反推</x:v>
      </x:c>
      <x:c r="AE197" s="71" t="str">
        <x:v>2025年实际执行.xlsx</x:v>
      </x:c>
      <x:c r="AF197" s="71" t="str">
        <x:v>Sheet</x:v>
      </x:c>
      <x:c r="AG197" s="71" t="n">
        <x:v>197</x:v>
      </x:c>
      <x:c r="AH197" s="71" t="str">
        <x:v>2025年实际执行.xlsx/Sheet!197:197</x:v>
      </x:c>
      <x:c r="AI197" s="62" t="str">
        <x:f>IF(F197=MONTH(L197),"OK","FAIL")</x:f>
        <x:v>OK</x:v>
      </x:c>
      <x:c r="AJ197" s="62" t="str">
        <x:f>IF(J197&lt;=L197,"OK","FAIL")</x:f>
        <x:v>OK</x:v>
      </x:c>
      <x:c r="AK197" s="62" t="str">
        <x:f>IF(D197&lt;&gt;"营业收入","OK",IF(AND(P197&lt;0,Q197&gt;0),"OK","FAIL"))</x:f>
        <x:v>OK</x:v>
      </x:c>
      <x:c r="AL197" s="62" t="str">
        <x:f>IF(COUNTIF($A$2:$A$204,A197)=1,"OK","FAIL")</x:f>
        <x:v>OK</x:v>
      </x:c>
    </x:row>
    <x:row r="198">
      <x:c r="A198" s="62" t="str">
        <x:v>DEMO01|2024|DOC1196|10</x:v>
      </x:c>
      <x:c r="B198" s="62" t="str">
        <x:v>SYNTHETIC_FOR_DEMO</x:v>
      </x:c>
      <x:c r="C198" s="62" t="str">
        <x:v>差旅费</x:v>
      </x:c>
      <x:c r="D198" s="62" t="str">
        <x:v>差旅费</x:v>
      </x:c>
      <x:c r="E198" s="62"/>
      <x:c r="F198" s="62" t="n">
        <x:v>9</x:v>
      </x:c>
      <x:c r="G198" s="62" t="str">
        <x:v>DOC1196</x:v>
      </x:c>
      <x:c r="H198" s="62" t="n">
        <x:v>10</x:v>
      </x:c>
      <x:c r="I198" s="74"/>
      <x:c r="J198" s="74" t="n">
        <x:v>45550</x:v>
      </x:c>
      <x:c r="K198" s="74"/>
      <x:c r="L198" s="74" t="n">
        <x:v>45550</x:v>
      </x:c>
      <x:c r="M198" s="77"/>
      <x:c r="N198" s="77" t="n">
        <x:v>5</x:v>
      </x:c>
      <x:c r="O198" s="78" t="n">
        <x:v>0.1</x:v>
      </x:c>
      <x:c r="P198" s="79" t="n">
        <x:f>ROUND(N198/(1+O198),4)</x:f>
        <x:v>4.5455</x:v>
      </x:c>
      <x:c r="Q198" s="79" t="n">
        <x:f>IF(D198="营业收入",-P198,P198)</x:f>
        <x:v>4.5455</x:v>
      </x:c>
      <x:c r="R198" s="62" t="str">
        <x:v>CNY</x:v>
      </x:c>
      <x:c r="S198" s="62" t="str">
        <x:v>万元</x:v>
      </x:c>
      <x:c r="T198" s="62" t="str">
        <x:v>费用不含税</x:v>
      </x:c>
      <x:c r="U198" s="62" t="str">
        <x:v>安全运行部</x:v>
      </x:c>
      <x:c r="V198" s="62" t="str">
        <x:v>概率安全分析材料运输</x:v>
      </x:c>
      <x:c r="W198" s="62" t="str">
        <x:v>概率安全分析项目差旅报销</x:v>
      </x:c>
      <x:c r="X198" s="62" t="str">
        <x:v>国电智深</x:v>
      </x:c>
      <x:c r="Y198" s="62" t="str">
        <x:v>国电智深</x:v>
      </x:c>
      <x:c r="Z198" s="62" t="str">
        <x:v>17</x:v>
      </x:c>
      <x:c r="AA198" s="62" t="str">
        <x:v>概率安全分析</x:v>
      </x:c>
      <x:c r="AB198" s="62" t="str">
        <x:v>PRJ-AQ-概率-2025-003</x:v>
      </x:c>
      <x:c r="AC198" s="74" t="n">
        <x:v>45657</x:v>
      </x:c>
      <x:c r="AD198" s="71" t="str">
        <x:v>SYNTHETIC_FOR_DEMO：按2025同项目差旅费金额/1.1反推</x:v>
      </x:c>
      <x:c r="AE198" s="71" t="str">
        <x:v>2025年实际执行.xlsx</x:v>
      </x:c>
      <x:c r="AF198" s="71" t="str">
        <x:v>Sheet</x:v>
      </x:c>
      <x:c r="AG198" s="71" t="n">
        <x:v>198</x:v>
      </x:c>
      <x:c r="AH198" s="71" t="str">
        <x:v>2025年实际执行.xlsx/Sheet!198:198</x:v>
      </x:c>
      <x:c r="AI198" s="62" t="str">
        <x:f>IF(F198=MONTH(L198),"OK","FAIL")</x:f>
        <x:v>OK</x:v>
      </x:c>
      <x:c r="AJ198" s="62" t="str">
        <x:f>IF(J198&lt;=L198,"OK","FAIL")</x:f>
        <x:v>OK</x:v>
      </x:c>
      <x:c r="AK198" s="62" t="str">
        <x:f>IF(D198&lt;&gt;"营业收入","OK",IF(AND(P198&lt;0,Q198&gt;0),"OK","FAIL"))</x:f>
        <x:v>OK</x:v>
      </x:c>
      <x:c r="AL198" s="62" t="str">
        <x:f>IF(COUNTIF($A$2:$A$204,A198)=1,"OK","FAIL")</x:f>
        <x:v>OK</x:v>
      </x:c>
    </x:row>
    <x:row r="199">
      <x:c r="A199" s="62" t="str">
        <x:v>DEMO01|2024|DOC1197|10</x:v>
      </x:c>
      <x:c r="B199" s="62" t="str">
        <x:v>SYNTHETIC_FOR_DEMO</x:v>
      </x:c>
      <x:c r="C199" s="62" t="str">
        <x:v>差旅费</x:v>
      </x:c>
      <x:c r="D199" s="62" t="str">
        <x:v>差旅费</x:v>
      </x:c>
      <x:c r="E199" s="62"/>
      <x:c r="F199" s="62" t="n">
        <x:v>12</x:v>
      </x:c>
      <x:c r="G199" s="62" t="str">
        <x:v>DOC1197</x:v>
      </x:c>
      <x:c r="H199" s="62" t="n">
        <x:v>10</x:v>
      </x:c>
      <x:c r="I199" s="74"/>
      <x:c r="J199" s="74" t="n">
        <x:v>45641</x:v>
      </x:c>
      <x:c r="K199" s="74"/>
      <x:c r="L199" s="74" t="n">
        <x:v>45641</x:v>
      </x:c>
      <x:c r="M199" s="77"/>
      <x:c r="N199" s="77" t="n">
        <x:v>3.554</x:v>
      </x:c>
      <x:c r="O199" s="78" t="n">
        <x:v>0.1</x:v>
      </x:c>
      <x:c r="P199" s="79" t="n">
        <x:f>ROUND(N199/(1+O199),4)</x:f>
        <x:v>3.2309</x:v>
      </x:c>
      <x:c r="Q199" s="79" t="n">
        <x:f>IF(D199="营业收入",-P199,P199)</x:f>
        <x:v>3.2309</x:v>
      </x:c>
      <x:c r="R199" s="62" t="str">
        <x:v>CNY</x:v>
      </x:c>
      <x:c r="S199" s="62" t="str">
        <x:v>万元</x:v>
      </x:c>
      <x:c r="T199" s="62" t="str">
        <x:v>费用不含税</x:v>
      </x:c>
      <x:c r="U199" s="62" t="str">
        <x:v>安全运行部</x:v>
      </x:c>
      <x:c r="V199" s="62" t="str">
        <x:v>灾害防护材料运输</x:v>
      </x:c>
      <x:c r="W199" s="62" t="str">
        <x:v>灾害防护项目差旅报销</x:v>
      </x:c>
      <x:c r="X199" s="62" t="str">
        <x:v>国电智深</x:v>
      </x:c>
      <x:c r="Y199" s="62" t="str">
        <x:v>国电智深</x:v>
      </x:c>
      <x:c r="Z199" s="62" t="str">
        <x:v>17</x:v>
      </x:c>
      <x:c r="AA199" s="62" t="str">
        <x:v>灾害防护</x:v>
      </x:c>
      <x:c r="AB199" s="62" t="str">
        <x:v>PRJ-AQ-灾害-2024-001</x:v>
      </x:c>
      <x:c r="AC199" s="74" t="n">
        <x:v>45657</x:v>
      </x:c>
      <x:c r="AD199" s="71" t="str">
        <x:v>SYNTHETIC_FOR_DEMO：按2025同项目差旅费金额/1.1反推</x:v>
      </x:c>
      <x:c r="AE199" s="71" t="str">
        <x:v>2025年实际执行.xlsx</x:v>
      </x:c>
      <x:c r="AF199" s="71" t="str">
        <x:v>Sheet</x:v>
      </x:c>
      <x:c r="AG199" s="71" t="n">
        <x:v>199</x:v>
      </x:c>
      <x:c r="AH199" s="71" t="str">
        <x:v>2025年实际执行.xlsx/Sheet!199:199</x:v>
      </x:c>
      <x:c r="AI199" s="62" t="str">
        <x:f>IF(F199=MONTH(L199),"OK","FAIL")</x:f>
        <x:v>OK</x:v>
      </x:c>
      <x:c r="AJ199" s="62" t="str">
        <x:f>IF(J199&lt;=L199,"OK","FAIL")</x:f>
        <x:v>OK</x:v>
      </x:c>
      <x:c r="AK199" s="62" t="str">
        <x:f>IF(D199&lt;&gt;"营业收入","OK",IF(AND(P199&lt;0,Q199&gt;0),"OK","FAIL"))</x:f>
        <x:v>OK</x:v>
      </x:c>
      <x:c r="AL199" s="62" t="str">
        <x:f>IF(COUNTIF($A$2:$A$204,A199)=1,"OK","FAIL")</x:f>
        <x:v>OK</x:v>
      </x:c>
    </x:row>
    <x:row r="200">
      <x:c r="A200" s="62" t="str">
        <x:v>DEMO01|2024|DOC1198|10</x:v>
      </x:c>
      <x:c r="B200" s="62" t="str">
        <x:v>SYNTHETIC_FOR_DEMO</x:v>
      </x:c>
      <x:c r="C200" s="62" t="str">
        <x:v>差旅费</x:v>
      </x:c>
      <x:c r="D200" s="62" t="str">
        <x:v>差旅费</x:v>
      </x:c>
      <x:c r="E200" s="62"/>
      <x:c r="F200" s="62" t="n">
        <x:v>5</x:v>
      </x:c>
      <x:c r="G200" s="62" t="str">
        <x:v>DOC1198</x:v>
      </x:c>
      <x:c r="H200" s="62" t="n">
        <x:v>10</x:v>
      </x:c>
      <x:c r="I200" s="74"/>
      <x:c r="J200" s="74" t="n">
        <x:v>45427</x:v>
      </x:c>
      <x:c r="K200" s="74"/>
      <x:c r="L200" s="74" t="n">
        <x:v>45427</x:v>
      </x:c>
      <x:c r="M200" s="77"/>
      <x:c r="N200" s="77" t="n">
        <x:v>6</x:v>
      </x:c>
      <x:c r="O200" s="78" t="n">
        <x:v>0.1</x:v>
      </x:c>
      <x:c r="P200" s="79" t="n">
        <x:f>ROUND(N200/(1+O200),4)</x:f>
        <x:v>5.4545</x:v>
      </x:c>
      <x:c r="Q200" s="79" t="n">
        <x:f>IF(D200="营业收入",-P200,P200)</x:f>
        <x:v>5.4545</x:v>
      </x:c>
      <x:c r="R200" s="62" t="str">
        <x:v>CNY</x:v>
      </x:c>
      <x:c r="S200" s="62" t="str">
        <x:v>万元</x:v>
      </x:c>
      <x:c r="T200" s="62" t="str">
        <x:v>费用不含税</x:v>
      </x:c>
      <x:c r="U200" s="62" t="str">
        <x:v>安全运行部</x:v>
      </x:c>
      <x:c r="V200" s="62" t="str">
        <x:v>灾害防护材料运输</x:v>
      </x:c>
      <x:c r="W200" s="62" t="str">
        <x:v>灾害防护项目差旅报销</x:v>
      </x:c>
      <x:c r="X200" s="62" t="str">
        <x:v>国电智深</x:v>
      </x:c>
      <x:c r="Y200" s="62" t="str">
        <x:v>国电智深</x:v>
      </x:c>
      <x:c r="Z200" s="62" t="str">
        <x:v>17</x:v>
      </x:c>
      <x:c r="AA200" s="62" t="str">
        <x:v>灾害防护</x:v>
      </x:c>
      <x:c r="AB200" s="62" t="str">
        <x:v>PRJ-AQ-灾害-2025-002</x:v>
      </x:c>
      <x:c r="AC200" s="74" t="n">
        <x:v>45657</x:v>
      </x:c>
      <x:c r="AD200" s="71" t="str">
        <x:v>SYNTHETIC_FOR_DEMO：按2025同项目差旅费金额/1.1反推</x:v>
      </x:c>
      <x:c r="AE200" s="71" t="str">
        <x:v>2025年实际执行.xlsx</x:v>
      </x:c>
      <x:c r="AF200" s="71" t="str">
        <x:v>Sheet</x:v>
      </x:c>
      <x:c r="AG200" s="71" t="n">
        <x:v>200</x:v>
      </x:c>
      <x:c r="AH200" s="71" t="str">
        <x:v>2025年实际执行.xlsx/Sheet!200:200</x:v>
      </x:c>
      <x:c r="AI200" s="62" t="str">
        <x:f>IF(F200=MONTH(L200),"OK","FAIL")</x:f>
        <x:v>OK</x:v>
      </x:c>
      <x:c r="AJ200" s="62" t="str">
        <x:f>IF(J200&lt;=L200,"OK","FAIL")</x:f>
        <x:v>OK</x:v>
      </x:c>
      <x:c r="AK200" s="62" t="str">
        <x:f>IF(D200&lt;&gt;"营业收入","OK",IF(AND(P200&lt;0,Q200&gt;0),"OK","FAIL"))</x:f>
        <x:v>OK</x:v>
      </x:c>
      <x:c r="AL200" s="62" t="str">
        <x:f>IF(COUNTIF($A$2:$A$204,A200)=1,"OK","FAIL")</x:f>
        <x:v>OK</x:v>
      </x:c>
    </x:row>
    <x:row r="201">
      <x:c r="A201" s="62" t="str">
        <x:v>DEMO01|2024|DOC1199|10</x:v>
      </x:c>
      <x:c r="B201" s="62" t="str">
        <x:v>SYNTHETIC_FOR_DEMO</x:v>
      </x:c>
      <x:c r="C201" s="62" t="str">
        <x:v>差旅费</x:v>
      </x:c>
      <x:c r="D201" s="62" t="str">
        <x:v>差旅费</x:v>
      </x:c>
      <x:c r="E201" s="62"/>
      <x:c r="F201" s="62" t="n">
        <x:v>8</x:v>
      </x:c>
      <x:c r="G201" s="62" t="str">
        <x:v>DOC1199</x:v>
      </x:c>
      <x:c r="H201" s="62" t="n">
        <x:v>10</x:v>
      </x:c>
      <x:c r="I201" s="74"/>
      <x:c r="J201" s="74" t="n">
        <x:v>45519</x:v>
      </x:c>
      <x:c r="K201" s="74"/>
      <x:c r="L201" s="74" t="n">
        <x:v>45519</x:v>
      </x:c>
      <x:c r="M201" s="77"/>
      <x:c r="N201" s="77" t="n">
        <x:v>8</x:v>
      </x:c>
      <x:c r="O201" s="78" t="n">
        <x:v>0.1</x:v>
      </x:c>
      <x:c r="P201" s="79" t="n">
        <x:f>ROUND(N201/(1+O201),4)</x:f>
        <x:v>7.2727</x:v>
      </x:c>
      <x:c r="Q201" s="79" t="n">
        <x:f>IF(D201="营业收入",-P201,P201)</x:f>
        <x:v>7.2727</x:v>
      </x:c>
      <x:c r="R201" s="62" t="str">
        <x:v>CNY</x:v>
      </x:c>
      <x:c r="S201" s="62" t="str">
        <x:v>万元</x:v>
      </x:c>
      <x:c r="T201" s="62" t="str">
        <x:v>费用不含税</x:v>
      </x:c>
      <x:c r="U201" s="62" t="str">
        <x:v>安全运行部</x:v>
      </x:c>
      <x:c r="V201" s="62" t="str">
        <x:v>灾害防护材料运输</x:v>
      </x:c>
      <x:c r="W201" s="62" t="str">
        <x:v>灾害防护项目差旅报销</x:v>
      </x:c>
      <x:c r="X201" s="62" t="str">
        <x:v>国电智深</x:v>
      </x:c>
      <x:c r="Y201" s="62" t="str">
        <x:v>国电智深</x:v>
      </x:c>
      <x:c r="Z201" s="62" t="str">
        <x:v>17</x:v>
      </x:c>
      <x:c r="AA201" s="62" t="str">
        <x:v>灾害防护</x:v>
      </x:c>
      <x:c r="AB201" s="62" t="str">
        <x:v>PRJ-AQ-灾害-2025-003</x:v>
      </x:c>
      <x:c r="AC201" s="74" t="n">
        <x:v>45657</x:v>
      </x:c>
      <x:c r="AD201" s="71" t="str">
        <x:v>SYNTHETIC_FOR_DEMO：按2025同项目差旅费金额/1.1反推</x:v>
      </x:c>
      <x:c r="AE201" s="71" t="str">
        <x:v>2025年实际执行.xlsx</x:v>
      </x:c>
      <x:c r="AF201" s="71" t="str">
        <x:v>Sheet</x:v>
      </x:c>
      <x:c r="AG201" s="71" t="n">
        <x:v>201</x:v>
      </x:c>
      <x:c r="AH201" s="71" t="str">
        <x:v>2025年实际执行.xlsx/Sheet!201:201</x:v>
      </x:c>
      <x:c r="AI201" s="62" t="str">
        <x:f>IF(F201=MONTH(L201),"OK","FAIL")</x:f>
        <x:v>OK</x:v>
      </x:c>
      <x:c r="AJ201" s="62" t="str">
        <x:f>IF(J201&lt;=L201,"OK","FAIL")</x:f>
        <x:v>OK</x:v>
      </x:c>
      <x:c r="AK201" s="62" t="str">
        <x:f>IF(D201&lt;&gt;"营业收入","OK",IF(AND(P201&lt;0,Q201&gt;0),"OK","FAIL"))</x:f>
        <x:v>OK</x:v>
      </x:c>
      <x:c r="AL201" s="62" t="str">
        <x:f>IF(COUNTIF($A$2:$A$204,A201)=1,"OK","FAIL")</x:f>
        <x:v>OK</x:v>
      </x:c>
    </x:row>
    <x:row r="202">
      <x:c r="A202" s="62" t="str">
        <x:v>DEMO01|2024|DOC1200|10</x:v>
      </x:c>
      <x:c r="B202" s="62" t="str">
        <x:v>SYNTHETIC_FOR_DEMO</x:v>
      </x:c>
      <x:c r="C202" s="62" t="str">
        <x:v>差旅费</x:v>
      </x:c>
      <x:c r="D202" s="62" t="str">
        <x:v>差旅费</x:v>
      </x:c>
      <x:c r="E202" s="62"/>
      <x:c r="F202" s="62" t="n">
        <x:v>7</x:v>
      </x:c>
      <x:c r="G202" s="62" t="str">
        <x:v>DOC1200</x:v>
      </x:c>
      <x:c r="H202" s="62" t="n">
        <x:v>10</x:v>
      </x:c>
      <x:c r="I202" s="74"/>
      <x:c r="J202" s="74" t="n">
        <x:v>45488</x:v>
      </x:c>
      <x:c r="K202" s="74"/>
      <x:c r="L202" s="74" t="n">
        <x:v>45488</x:v>
      </x:c>
      <x:c r="M202" s="77"/>
      <x:c r="N202" s="77" t="n">
        <x:v>9</x:v>
      </x:c>
      <x:c r="O202" s="78" t="n">
        <x:v>0.1</x:v>
      </x:c>
      <x:c r="P202" s="79" t="n">
        <x:f>ROUND(N202/(1+O202),4)</x:f>
        <x:v>8.1818</x:v>
      </x:c>
      <x:c r="Q202" s="79" t="n">
        <x:f>IF(D202="营业收入",-P202,P202)</x:f>
        <x:v>8.1818</x:v>
      </x:c>
      <x:c r="R202" s="62" t="str">
        <x:v>CNY</x:v>
      </x:c>
      <x:c r="S202" s="62" t="str">
        <x:v>万元</x:v>
      </x:c>
      <x:c r="T202" s="62" t="str">
        <x:v>费用不含税</x:v>
      </x:c>
      <x:c r="U202" s="62" t="str">
        <x:v>安全运行部</x:v>
      </x:c>
      <x:c r="V202" s="62" t="str">
        <x:v>安全评估材料运输</x:v>
      </x:c>
      <x:c r="W202" s="62" t="str">
        <x:v>安全评估项目差旅报销</x:v>
      </x:c>
      <x:c r="X202" s="62" t="str">
        <x:v>国电智深</x:v>
      </x:c>
      <x:c r="Y202" s="62" t="str">
        <x:v>国电智深</x:v>
      </x:c>
      <x:c r="Z202" s="62" t="str">
        <x:v>17</x:v>
      </x:c>
      <x:c r="AA202" s="62" t="str">
        <x:v>安全评估</x:v>
      </x:c>
      <x:c r="AB202" s="62" t="str">
        <x:v>PRJ-AQ-安全-2024-001</x:v>
      </x:c>
      <x:c r="AC202" s="74" t="n">
        <x:v>45657</x:v>
      </x:c>
      <x:c r="AD202" s="71" t="str">
        <x:v>SYNTHETIC_FOR_DEMO：按2025同项目差旅费金额/1.1反推</x:v>
      </x:c>
      <x:c r="AE202" s="71" t="str">
        <x:v>2025年实际执行.xlsx</x:v>
      </x:c>
      <x:c r="AF202" s="71" t="str">
        <x:v>Sheet</x:v>
      </x:c>
      <x:c r="AG202" s="71" t="n">
        <x:v>202</x:v>
      </x:c>
      <x:c r="AH202" s="71" t="str">
        <x:v>2025年实际执行.xlsx/Sheet!202:202</x:v>
      </x:c>
      <x:c r="AI202" s="62" t="str">
        <x:f>IF(F202=MONTH(L202),"OK","FAIL")</x:f>
        <x:v>OK</x:v>
      </x:c>
      <x:c r="AJ202" s="62" t="str">
        <x:f>IF(J202&lt;=L202,"OK","FAIL")</x:f>
        <x:v>OK</x:v>
      </x:c>
      <x:c r="AK202" s="62" t="str">
        <x:f>IF(D202&lt;&gt;"营业收入","OK",IF(AND(P202&lt;0,Q202&gt;0),"OK","FAIL"))</x:f>
        <x:v>OK</x:v>
      </x:c>
      <x:c r="AL202" s="62" t="str">
        <x:f>IF(COUNTIF($A$2:$A$204,A202)=1,"OK","FAIL")</x:f>
        <x:v>OK</x:v>
      </x:c>
    </x:row>
    <x:row r="203">
      <x:c r="A203" s="62" t="str">
        <x:v>DEMO01|2024|DOC1201|10</x:v>
      </x:c>
      <x:c r="B203" s="62" t="str">
        <x:v>SYNTHETIC_FOR_DEMO</x:v>
      </x:c>
      <x:c r="C203" s="62" t="str">
        <x:v>差旅费</x:v>
      </x:c>
      <x:c r="D203" s="62" t="str">
        <x:v>差旅费</x:v>
      </x:c>
      <x:c r="E203" s="62"/>
      <x:c r="F203" s="62" t="n">
        <x:v>11</x:v>
      </x:c>
      <x:c r="G203" s="62" t="str">
        <x:v>DOC1201</x:v>
      </x:c>
      <x:c r="H203" s="62" t="n">
        <x:v>10</x:v>
      </x:c>
      <x:c r="I203" s="74"/>
      <x:c r="J203" s="74" t="n">
        <x:v>45611</x:v>
      </x:c>
      <x:c r="K203" s="74"/>
      <x:c r="L203" s="74" t="n">
        <x:v>45611</x:v>
      </x:c>
      <x:c r="M203" s="77"/>
      <x:c r="N203" s="77" t="n">
        <x:v>1</x:v>
      </x:c>
      <x:c r="O203" s="78" t="n">
        <x:v>0.1</x:v>
      </x:c>
      <x:c r="P203" s="79" t="n">
        <x:f>ROUND(N203/(1+O203),4)</x:f>
        <x:v>0.9091</x:v>
      </x:c>
      <x:c r="Q203" s="79" t="n">
        <x:f>IF(D203="营业收入",-P203,P203)</x:f>
        <x:v>0.9091</x:v>
      </x:c>
      <x:c r="R203" s="62" t="str">
        <x:v>CNY</x:v>
      </x:c>
      <x:c r="S203" s="62" t="str">
        <x:v>万元</x:v>
      </x:c>
      <x:c r="T203" s="62" t="str">
        <x:v>费用不含税</x:v>
      </x:c>
      <x:c r="U203" s="62" t="str">
        <x:v>安全运行部</x:v>
      </x:c>
      <x:c r="V203" s="62" t="str">
        <x:v>安全评估材料运输</x:v>
      </x:c>
      <x:c r="W203" s="62" t="str">
        <x:v>安全评估项目差旅报销</x:v>
      </x:c>
      <x:c r="X203" s="62" t="str">
        <x:v>中核运维</x:v>
      </x:c>
      <x:c r="Y203" s="62" t="str">
        <x:v>中核运维</x:v>
      </x:c>
      <x:c r="Z203" s="62" t="str">
        <x:v>17</x:v>
      </x:c>
      <x:c r="AA203" s="62" t="str">
        <x:v>安全评估</x:v>
      </x:c>
      <x:c r="AB203" s="62" t="str">
        <x:v>PRJ-AQ-安全-2025-002</x:v>
      </x:c>
      <x:c r="AC203" s="74" t="n">
        <x:v>45657</x:v>
      </x:c>
      <x:c r="AD203" s="71" t="str">
        <x:v>SYNTHETIC_FOR_DEMO：按2025同项目差旅费金额/1.1反推</x:v>
      </x:c>
      <x:c r="AE203" s="71" t="str">
        <x:v>2025年实际执行.xlsx</x:v>
      </x:c>
      <x:c r="AF203" s="71" t="str">
        <x:v>Sheet</x:v>
      </x:c>
      <x:c r="AG203" s="71" t="n">
        <x:v>203</x:v>
      </x:c>
      <x:c r="AH203" s="71" t="str">
        <x:v>2025年实际执行.xlsx/Sheet!203:203</x:v>
      </x:c>
      <x:c r="AI203" s="62" t="str">
        <x:f>IF(F203=MONTH(L203),"OK","FAIL")</x:f>
        <x:v>OK</x:v>
      </x:c>
      <x:c r="AJ203" s="62" t="str">
        <x:f>IF(J203&lt;=L203,"OK","FAIL")</x:f>
        <x:v>OK</x:v>
      </x:c>
      <x:c r="AK203" s="62" t="str">
        <x:f>IF(D203&lt;&gt;"营业收入","OK",IF(AND(P203&lt;0,Q203&gt;0),"OK","FAIL"))</x:f>
        <x:v>OK</x:v>
      </x:c>
      <x:c r="AL203" s="62" t="str">
        <x:f>IF(COUNTIF($A$2:$A$204,A203)=1,"OK","FAIL")</x:f>
        <x:v>OK</x:v>
      </x:c>
    </x:row>
    <x:row r="204">
      <x:c r="A204" s="62" t="str">
        <x:v>DEMO01|2024|DOC1202|10</x:v>
      </x:c>
      <x:c r="B204" s="62" t="str">
        <x:v>SYNTHETIC_FOR_DEMO</x:v>
      </x:c>
      <x:c r="C204" s="62" t="str">
        <x:v>差旅费</x:v>
      </x:c>
      <x:c r="D204" s="62" t="str">
        <x:v>差旅费</x:v>
      </x:c>
      <x:c r="E204" s="62"/>
      <x:c r="F204" s="62" t="n">
        <x:v>4</x:v>
      </x:c>
      <x:c r="G204" s="62" t="str">
        <x:v>DOC1202</x:v>
      </x:c>
      <x:c r="H204" s="62" t="n">
        <x:v>10</x:v>
      </x:c>
      <x:c r="I204" s="74"/>
      <x:c r="J204" s="74" t="n">
        <x:v>45397</x:v>
      </x:c>
      <x:c r="K204" s="74"/>
      <x:c r="L204" s="74" t="n">
        <x:v>45397</x:v>
      </x:c>
      <x:c r="M204" s="77"/>
      <x:c r="N204" s="77" t="n">
        <x:v>3.554</x:v>
      </x:c>
      <x:c r="O204" s="78" t="n">
        <x:v>0.1</x:v>
      </x:c>
      <x:c r="P204" s="79" t="n">
        <x:f>ROUND(N204/(1+O204),4)</x:f>
        <x:v>3.2309</x:v>
      </x:c>
      <x:c r="Q204" s="79" t="n">
        <x:f>IF(D204="营业收入",-P204,P204)</x:f>
        <x:v>3.2309</x:v>
      </x:c>
      <x:c r="R204" s="62" t="str">
        <x:v>CNY</x:v>
      </x:c>
      <x:c r="S204" s="62" t="str">
        <x:v>万元</x:v>
      </x:c>
      <x:c r="T204" s="62" t="str">
        <x:v>费用不含税</x:v>
      </x:c>
      <x:c r="U204" s="62" t="str">
        <x:v>安全运行部</x:v>
      </x:c>
      <x:c r="V204" s="62" t="str">
        <x:v>安全评估材料运输</x:v>
      </x:c>
      <x:c r="W204" s="62" t="str">
        <x:v>安全评估项目差旅报销</x:v>
      </x:c>
      <x:c r="X204" s="62" t="str">
        <x:v>中核运维</x:v>
      </x:c>
      <x:c r="Y204" s="62" t="str">
        <x:v>中核运维</x:v>
      </x:c>
      <x:c r="Z204" s="62" t="str">
        <x:v>17</x:v>
      </x:c>
      <x:c r="AA204" s="62" t="str">
        <x:v>安全评估</x:v>
      </x:c>
      <x:c r="AB204" s="62" t="str">
        <x:v>PRJ-AQ-安全-2025-003</x:v>
      </x:c>
      <x:c r="AC204" s="74" t="n">
        <x:v>45657</x:v>
      </x:c>
      <x:c r="AD204" s="71" t="str">
        <x:v>SYNTHETIC_FOR_DEMO：按2025同项目差旅费金额/1.1反推</x:v>
      </x:c>
      <x:c r="AE204" s="71" t="str">
        <x:v>2025年实际执行.xlsx</x:v>
      </x:c>
      <x:c r="AF204" s="71" t="str">
        <x:v>Sheet</x:v>
      </x:c>
      <x:c r="AG204" s="71" t="n">
        <x:v>204</x:v>
      </x:c>
      <x:c r="AH204" s="71" t="str">
        <x:v>2025年实际执行.xlsx/Sheet!204:204</x:v>
      </x:c>
      <x:c r="AI204" s="62" t="str">
        <x:f>IF(F204=MONTH(L204),"OK","FAIL")</x:f>
        <x:v>OK</x:v>
      </x:c>
      <x:c r="AJ204" s="62" t="str">
        <x:f>IF(J204&lt;=L204,"OK","FAIL")</x:f>
        <x:v>OK</x:v>
      </x:c>
      <x:c r="AK204" s="62" t="str">
        <x:f>IF(D204&lt;&gt;"营业收入","OK",IF(AND(P204&lt;0,Q204&gt;0),"OK","FAIL"))</x:f>
        <x:v>OK</x:v>
      </x:c>
      <x:c r="AL204" s="62" t="str">
        <x:f>IF(COUNTIF($A$2:$A$204,A204)=1,"OK","FAIL")</x:f>
        <x:v>OK</x:v>
      </x:c>
    </x:row>
  </x:sheetData>
  <x:conditionalFormatting sqref="AI2:AL204">
    <x:cfRule type="containsText" dxfId="0" priority="1" operator="containsText" text="OK"/>
    <x:cfRule type="containsText" dxfId="1" priority="2" operator="containsText" text="PASS"/>
    <x:cfRule type="containsText" dxfId="2" priority="3" operator="containsText" text="FAIL"/>
    <x:cfRule type="containsText" dxfId="3" priority="4" operator="containsText" text="阻塞"/>
    <x:cfRule type="containsText" dxfId="4" priority="5" operator="containsText" text="待复核"/>
  </x:conditionalFormatting>
  <x:conditionalFormatting sqref="B2:B204">
    <x:cfRule type="containsText" dxfId="5" priority="6" operator="containsText" text="SYNTHETIC_FOR_DEMO"/>
    <x:cfRule type="containsText" dxfId="6" priority="7" operator="containsText" text="DERIVED_REVERSAL"/>
    <x:cfRule type="containsText" dxfId="7" priority="8" operator="containsText" text="CORRECT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11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  <x:col min="14" max="14" width="15" hidden="0" customWidth="1"/>
    <x:col min="15" max="15" width="12" hidden="0" customWidth="1"/>
    <x:col min="16" max="16" width="17" hidden="0" customWidth="1"/>
    <x:col min="17" max="17" width="17" hidden="0" customWidth="1"/>
    <x:col min="18" max="18" width="10" hidden="0" customWidth="1"/>
    <x:col min="19" max="19" width="10" hidden="0" customWidth="1"/>
    <x:col min="20" max="20" width="16" hidden="0" customWidth="1"/>
    <x:col min="21" max="21" width="18" hidden="0" customWidth="1"/>
    <x:col min="22" max="22" width="34" hidden="0" customWidth="1"/>
    <x:col min="23" max="23" width="34" hidden="0" customWidth="1"/>
    <x:col min="24" max="24" width="18" hidden="0" customWidth="1"/>
    <x:col min="25" max="25" width="18" hidden="0" customWidth="1"/>
    <x:col min="26" max="26" width="14" hidden="0" customWidth="1"/>
    <x:col min="27" max="27" width="22" hidden="0" customWidth="1"/>
    <x:col min="28" max="28" width="28" hidden="0" customWidth="1"/>
    <x:col min="29" max="29" width="14" hidden="0" customWidth="1"/>
    <x:col min="30" max="30" width="42" hidden="0" customWidth="1"/>
    <x:col min="31" max="31" width="34" hidden="0" customWidth="1"/>
    <x:col min="32" max="32" width="16" hidden="0" customWidth="1"/>
    <x:col min="33" max="33" width="10" hidden="0" customWidth="1"/>
    <x:col min="34" max="34" width="46" hidden="0" customWidth="1"/>
    <x:col min="35" max="35" width="11" hidden="0" customWidth="1"/>
    <x:col min="36" max="36" width="11" hidden="0" customWidth="1"/>
    <x:col min="37" max="37" width="13" hidden="0" customWidth="1"/>
    <x:col min="38" max="38" width="12" hidden="0" customWidth="1"/>
  </x:cols>
  <x:sheetData>
    <x:row r="1" ht="34" customHeight="1">
      <x:c r="A1" s="68" t="str">
        <x:v>演示记录ID</x:v>
      </x:c>
      <x:c r="B1" s="69" t="str">
        <x:v>数据标记</x:v>
      </x:c>
      <x:c r="C1" s="69" t="str">
        <x:v>科目_源</x:v>
      </x:c>
      <x:c r="D1" s="69" t="str">
        <x:v>科目_语义</x:v>
      </x:c>
      <x:c r="E1" s="69" t="str">
        <x:v>原过账期间</x:v>
      </x:c>
      <x:c r="F1" s="69" t="str">
        <x:v>演示过账期间</x:v>
      </x:c>
      <x:c r="G1" s="69" t="str">
        <x:v>凭证编号</x:v>
      </x:c>
      <x:c r="H1" s="69" t="str">
        <x:v>凭证行号</x:v>
      </x:c>
      <x:c r="I1" s="69" t="str">
        <x:v>原凭证日期</x:v>
      </x:c>
      <x:c r="J1" s="69" t="str">
        <x:v>演示凭证日期</x:v>
      </x:c>
      <x:c r="K1" s="69" t="str">
        <x:v>原过账日期</x:v>
      </x:c>
      <x:c r="L1" s="69" t="str">
        <x:v>演示过账日期</x:v>
      </x:c>
      <x:c r="M1" s="69" t="str">
        <x:v>原始金额</x:v>
      </x:c>
      <x:c r="N1" s="69" t="str">
        <x:v>参考金额</x:v>
      </x:c>
      <x:c r="O1" s="69" t="str">
        <x:v>加工假设率</x:v>
      </x:c>
      <x:c r="P1" s="69" t="str">
        <x:v>演示源符号金额</x:v>
      </x:c>
      <x:c r="Q1" s="69" t="str">
        <x:v>语义展示金额</x:v>
      </x:c>
      <x:c r="R1" s="69" t="str">
        <x:v>币种</x:v>
      </x:c>
      <x:c r="S1" s="69" t="str">
        <x:v>金额单位</x:v>
      </x:c>
      <x:c r="T1" s="69" t="str">
        <x:v>费用口径</x:v>
      </x:c>
      <x:c r="U1" s="69" t="str">
        <x:v>预算单位</x:v>
      </x:c>
      <x:c r="V1" s="69" t="str">
        <x:v>原文本</x:v>
      </x:c>
      <x:c r="W1" s="69" t="str">
        <x:v>演示文本</x:v>
      </x:c>
      <x:c r="X1" s="69" t="str">
        <x:v>原供应商</x:v>
      </x:c>
      <x:c r="Y1" s="69" t="str">
        <x:v>演示供应商</x:v>
      </x:c>
      <x:c r="Z1" s="69" t="str">
        <x:v>采购凭证</x:v>
      </x:c>
      <x:c r="AA1" s="69" t="str">
        <x:v>项目</x:v>
      </x:c>
      <x:c r="AB1" s="69" t="str">
        <x:v>项目编号</x:v>
      </x:c>
      <x:c r="AC1" s="69" t="str">
        <x:v>快照时点</x:v>
      </x:c>
      <x:c r="AD1" s="69" t="str">
        <x:v>变更说明</x:v>
      </x:c>
      <x:c r="AE1" s="69" t="str">
        <x:v>来源文件</x:v>
      </x:c>
      <x:c r="AF1" s="69" t="str">
        <x:v>来源成员</x:v>
      </x:c>
      <x:c r="AG1" s="69" t="str">
        <x:v>源行</x:v>
      </x:c>
      <x:c r="AH1" s="69" t="str">
        <x:v>源行锚点</x:v>
      </x:c>
      <x:c r="AI1" s="69" t="str">
        <x:v>期间QC</x:v>
      </x:c>
      <x:c r="AJ1" s="69" t="str">
        <x:v>日期QC</x:v>
      </x:c>
      <x:c r="AK1" s="69" t="str">
        <x:v>收入符号QC</x:v>
      </x:c>
      <x:c r="AL1" s="70" t="str">
        <x:v>复合键QC</x:v>
      </x:c>
    </x:row>
    <x:row r="2" ht="23" customHeight="1">
      <x:c r="A2" s="62" t="str">
        <x:v>DEMO01|2025|DOC2000|10</x:v>
      </x:c>
      <x:c r="B2" s="62" t="str">
        <x:v>SOURCE</x:v>
      </x:c>
      <x:c r="C2" s="62" t="str">
        <x:v>营业收入</x:v>
      </x:c>
      <x:c r="D2" s="62" t="str">
        <x:v>营业收入</x:v>
      </x:c>
      <x:c r="E2" s="62" t="n">
        <x:v>6</x:v>
      </x:c>
      <x:c r="F2" s="62" t="n">
        <x:v>6</x:v>
      </x:c>
      <x:c r="G2" s="62" t="str">
        <x:v>DOC2000</x:v>
      </x:c>
      <x:c r="H2" s="62" t="n">
        <x:v>10</x:v>
      </x:c>
      <x:c r="I2" s="74" t="n">
        <x:v>45823</x:v>
      </x:c>
      <x:c r="J2" s="74" t="n">
        <x:v>45823</x:v>
      </x:c>
      <x:c r="K2" s="74" t="n">
        <x:v>45823</x:v>
      </x:c>
      <x:c r="L2" s="74" t="n">
        <x:v>45823</x:v>
      </x:c>
      <x:c r="M2" s="77" t="n">
        <x:v>-158.455557</x:v>
      </x:c>
      <x:c r="N2" s="77"/>
      <x:c r="O2" s="78"/>
      <x:c r="P2" s="79" t="n">
        <x:f>M2</x:f>
        <x:v>-158.455557</x:v>
      </x:c>
      <x:c r="Q2" s="79" t="n">
        <x:f>IF(D2="营业收入",-P2,P2)</x:f>
        <x:v>158.455557</x:v>
      </x:c>
      <x:c r="R2" s="62" t="str">
        <x:v>CNY</x:v>
      </x:c>
      <x:c r="S2" s="62" t="str">
        <x:v>万元</x:v>
      </x:c>
      <x:c r="T2" s="62" t="str">
        <x:v>收益；源负号</x:v>
      </x:c>
      <x:c r="U2" s="62" t="str">
        <x:v>设备管理部</x:v>
      </x:c>
      <x:c r="V2" s="62" t="str">
        <x:v>设备维护收入确认</x:v>
      </x:c>
      <x:c r="W2" s="62" t="str">
        <x:v>设备维护收入确认</x:v>
      </x:c>
      <x:c r="X2" s="62" t="str">
        <x:v>17</x:v>
      </x:c>
      <x:c r="Y2" s="62" t="str">
        <x:v>17</x:v>
      </x:c>
      <x:c r="Z2" s="62" t="str">
        <x:v>17</x:v>
      </x:c>
      <x:c r="AA2" s="62" t="str">
        <x:v>设备维护</x:v>
      </x:c>
      <x:c r="AB2" s="62" t="str">
        <x:v>PRJ-SB-设备-2024-001</x:v>
      </x:c>
      <x:c r="AC2" s="74" t="n">
        <x:v>46022</x:v>
      </x:c>
      <x:c r="AD2" s="71" t="str">
        <x:v>源记录保留</x:v>
      </x:c>
      <x:c r="AE2" s="71" t="str">
        <x:v>2025年实际执行.xlsx</x:v>
      </x:c>
      <x:c r="AF2" s="71" t="str">
        <x:v>Sheet</x:v>
      </x:c>
      <x:c r="AG2" s="71" t="n">
        <x:v>2</x:v>
      </x:c>
      <x:c r="AH2" s="71" t="str">
        <x:v>2025年实际执行.xlsx/Sheet!2:2</x:v>
      </x:c>
      <x:c r="AI2" s="62" t="str">
        <x:f>IF(F2=MONTH(L2),"OK","FAIL")</x:f>
        <x:v>OK</x:v>
      </x:c>
      <x:c r="AJ2" s="62" t="str">
        <x:f>IF(J2&lt;=L2,"OK","FAIL")</x:f>
        <x:v>OK</x:v>
      </x:c>
      <x:c r="AK2" s="62" t="str">
        <x:f>IF(D2&lt;&gt;"营业收入","OK",IF(AND(P2&lt;0,Q2&gt;0),"OK","FAIL"))</x:f>
        <x:v>OK</x:v>
      </x:c>
      <x:c r="AL2" s="62" t="str">
        <x:f>IF(COUNTIF($A$2:$A$218,A2)=1,"OK","FAIL")</x:f>
        <x:v>OK</x:v>
      </x:c>
    </x:row>
    <x:row r="3" ht="23" customHeight="1">
      <x:c r="A3" s="62" t="str">
        <x:v>DEMO01|2025|DOC2001|10</x:v>
      </x:c>
      <x:c r="B3" s="62" t="str">
        <x:v>SOURCE</x:v>
      </x:c>
      <x:c r="C3" s="62" t="str">
        <x:v>会议费</x:v>
      </x:c>
      <x:c r="D3" s="62" t="str">
        <x:v>会议费</x:v>
      </x:c>
      <x:c r="E3" s="62" t="n">
        <x:v>1</x:v>
      </x:c>
      <x:c r="F3" s="62" t="n">
        <x:v>1</x:v>
      </x:c>
      <x:c r="G3" s="62" t="str">
        <x:v>DOC2001</x:v>
      </x:c>
      <x:c r="H3" s="62" t="n">
        <x:v>10</x:v>
      </x:c>
      <x:c r="I3" s="74" t="n">
        <x:v>45672</x:v>
      </x:c>
      <x:c r="J3" s="74" t="n">
        <x:v>45672</x:v>
      </x:c>
      <x:c r="K3" s="74" t="n">
        <x:v>45672</x:v>
      </x:c>
      <x:c r="L3" s="74" t="n">
        <x:v>45672</x:v>
      </x:c>
      <x:c r="M3" s="77" t="n">
        <x:v>1</x:v>
      </x:c>
      <x:c r="N3" s="77"/>
      <x:c r="O3" s="78"/>
      <x:c r="P3" s="79" t="n">
        <x:f>M3</x:f>
        <x:v>1</x:v>
      </x:c>
      <x:c r="Q3" s="79" t="n">
        <x:f>IF(D3="营业收入",-P3,P3)</x:f>
        <x:v>1</x:v>
      </x:c>
      <x:c r="R3" s="62" t="str">
        <x:v>CNY</x:v>
      </x:c>
      <x:c r="S3" s="62" t="str">
        <x:v>万元</x:v>
      </x:c>
      <x:c r="T3" s="62" t="str">
        <x:v>费用不含税</x:v>
      </x:c>
      <x:c r="U3" s="62" t="str">
        <x:v>设备管理部</x:v>
      </x:c>
      <x:c r="V3" s="62" t="str">
        <x:v>设备维护项目阶段评审会</x:v>
      </x:c>
      <x:c r="W3" s="62" t="str">
        <x:v>设备维护项目阶段评审会</x:v>
      </x:c>
      <x:c r="X3" s="62" t="str">
        <x:v>中核运维</x:v>
      </x:c>
      <x:c r="Y3" s="62" t="str">
        <x:v>中核运维</x:v>
      </x:c>
      <x:c r="Z3" s="62" t="str">
        <x:v>17</x:v>
      </x:c>
      <x:c r="AA3" s="62" t="str">
        <x:v>设备维护</x:v>
      </x:c>
      <x:c r="AB3" s="62" t="str">
        <x:v>PRJ-SB-设备-2024-001</x:v>
      </x:c>
      <x:c r="AC3" s="74" t="n">
        <x:v>46022</x:v>
      </x:c>
      <x:c r="AD3" s="71" t="str">
        <x:v>源记录保留</x:v>
      </x:c>
      <x:c r="AE3" s="71" t="str">
        <x:v>2025年实际执行.xlsx</x:v>
      </x:c>
      <x:c r="AF3" s="71" t="str">
        <x:v>Sheet</x:v>
      </x:c>
      <x:c r="AG3" s="71" t="n">
        <x:v>3</x:v>
      </x:c>
      <x:c r="AH3" s="71" t="str">
        <x:v>2025年实际执行.xlsx/Sheet!3:3</x:v>
      </x:c>
      <x:c r="AI3" s="62" t="str">
        <x:f>IF(F3=MONTH(L3),"OK","FAIL")</x:f>
        <x:v>OK</x:v>
      </x:c>
      <x:c r="AJ3" s="62" t="str">
        <x:f>IF(J3&lt;=L3,"OK","FAIL")</x:f>
        <x:v>OK</x:v>
      </x:c>
      <x:c r="AK3" s="62" t="str">
        <x:f>IF(D3&lt;&gt;"营业收入","OK",IF(AND(P3&lt;0,Q3&gt;0),"OK","FAIL"))</x:f>
        <x:v>OK</x:v>
      </x:c>
      <x:c r="AL3" s="62" t="str">
        <x:f>IF(COUNTIF($A$2:$A$218,A3)=1,"OK","FAIL")</x:f>
        <x:v>OK</x:v>
      </x:c>
    </x:row>
    <x:row r="4" ht="23" customHeight="1">
      <x:c r="A4" s="62" t="str">
        <x:v>DEMO01|2025|DOC2002|10</x:v>
      </x:c>
      <x:c r="B4" s="62" t="str">
        <x:v>SOURCE</x:v>
      </x:c>
      <x:c r="C4" s="62" t="str">
        <x:v>业务支持费</x:v>
      </x:c>
      <x:c r="D4" s="62" t="str">
        <x:v>业务支持费-技术配置</x:v>
      </x:c>
      <x:c r="E4" s="62" t="n">
        <x:v>4</x:v>
      </x:c>
      <x:c r="F4" s="62" t="n">
        <x:v>4</x:v>
      </x:c>
      <x:c r="G4" s="62" t="str">
        <x:v>DOC2002</x:v>
      </x:c>
      <x:c r="H4" s="62" t="n">
        <x:v>10</x:v>
      </x:c>
      <x:c r="I4" s="74" t="n">
        <x:v>45762</x:v>
      </x:c>
      <x:c r="J4" s="74" t="n">
        <x:v>45762</x:v>
      </x:c>
      <x:c r="K4" s="74" t="n">
        <x:v>45762</x:v>
      </x:c>
      <x:c r="L4" s="74" t="n">
        <x:v>45762</x:v>
      </x:c>
      <x:c r="M4" s="77" t="n">
        <x:v>28.432</x:v>
      </x:c>
      <x:c r="N4" s="77"/>
      <x:c r="O4" s="78"/>
      <x:c r="P4" s="79" t="n">
        <x:f>M4</x:f>
        <x:v>28.432</x:v>
      </x:c>
      <x:c r="Q4" s="79" t="n">
        <x:f>IF(D4="营业收入",-P4,P4)</x:f>
        <x:v>28.432</x:v>
      </x:c>
      <x:c r="R4" s="62" t="str">
        <x:v>CNY</x:v>
      </x:c>
      <x:c r="S4" s="62" t="str">
        <x:v>万元</x:v>
      </x:c>
      <x:c r="T4" s="62" t="str">
        <x:v>费用不含税</x:v>
      </x:c>
      <x:c r="U4" s="62" t="str">
        <x:v>设备管理部</x:v>
      </x:c>
      <x:c r="V4" s="62" t="str">
        <x:v>设备维护技术配置_实施阶段</x:v>
      </x:c>
      <x:c r="W4" s="62" t="str">
        <x:v>设备维护技术配置_实施阶段</x:v>
      </x:c>
      <x:c r="X4" s="62" t="str">
        <x:v>供应商3</x:v>
      </x:c>
      <x:c r="Y4" s="62" t="str">
        <x:v>供应商3</x:v>
      </x:c>
      <x:c r="Z4" s="62" t="str">
        <x:v>17</x:v>
      </x:c>
      <x:c r="AA4" s="62" t="str">
        <x:v>设备维护</x:v>
      </x:c>
      <x:c r="AB4" s="62" t="str">
        <x:v>PRJ-SB-设备-2024-001</x:v>
      </x:c>
      <x:c r="AC4" s="74" t="n">
        <x:v>46022</x:v>
      </x:c>
      <x:c r="AD4" s="71" t="str">
        <x:v>源记录保留</x:v>
      </x:c>
      <x:c r="AE4" s="71" t="str">
        <x:v>2025年实际执行.xlsx</x:v>
      </x:c>
      <x:c r="AF4" s="71" t="str">
        <x:v>Sheet</x:v>
      </x:c>
      <x:c r="AG4" s="71" t="n">
        <x:v>4</x:v>
      </x:c>
      <x:c r="AH4" s="71" t="str">
        <x:v>2025年实际执行.xlsx/Sheet!4:4</x:v>
      </x:c>
      <x:c r="AI4" s="62" t="str">
        <x:f>IF(F4=MONTH(L4),"OK","FAIL")</x:f>
        <x:v>OK</x:v>
      </x:c>
      <x:c r="AJ4" s="62" t="str">
        <x:f>IF(J4&lt;=L4,"OK","FAIL")</x:f>
        <x:v>OK</x:v>
      </x:c>
      <x:c r="AK4" s="62" t="str">
        <x:f>IF(D4&lt;&gt;"营业收入","OK",IF(AND(P4&lt;0,Q4&gt;0),"OK","FAIL"))</x:f>
        <x:v>OK</x:v>
      </x:c>
      <x:c r="AL4" s="62" t="str">
        <x:f>IF(COUNTIF($A$2:$A$218,A4)=1,"OK","FAIL")</x:f>
        <x:v>OK</x:v>
      </x:c>
    </x:row>
    <x:row r="5" ht="23" customHeight="1">
      <x:c r="A5" s="62" t="str">
        <x:v>DEMO01|2025|DOC2003|10</x:v>
      </x:c>
      <x:c r="B5" s="62" t="str">
        <x:v>SOURCE</x:v>
      </x:c>
      <x:c r="C5" s="62" t="str">
        <x:v>生产物料费</x:v>
      </x:c>
      <x:c r="D5" s="62" t="str">
        <x:v>生产物料费</x:v>
      </x:c>
      <x:c r="E5" s="62" t="n">
        <x:v>1</x:v>
      </x:c>
      <x:c r="F5" s="62" t="n">
        <x:v>1</x:v>
      </x:c>
      <x:c r="G5" s="62" t="str">
        <x:v>DOC2003</x:v>
      </x:c>
      <x:c r="H5" s="62" t="n">
        <x:v>10</x:v>
      </x:c>
      <x:c r="I5" s="74" t="n">
        <x:v>45672</x:v>
      </x:c>
      <x:c r="J5" s="74" t="n">
        <x:v>45672</x:v>
      </x:c>
      <x:c r="K5" s="74" t="n">
        <x:v>45672</x:v>
      </x:c>
      <x:c r="L5" s="74" t="n">
        <x:v>45672</x:v>
      </x:c>
      <x:c r="M5" s="77" t="n">
        <x:v>10.662</x:v>
      </x:c>
      <x:c r="N5" s="77"/>
      <x:c r="O5" s="78"/>
      <x:c r="P5" s="79" t="n">
        <x:f>M5</x:f>
        <x:v>10.662</x:v>
      </x:c>
      <x:c r="Q5" s="79" t="n">
        <x:f>IF(D5="营业收入",-P5,P5)</x:f>
        <x:v>10.662</x:v>
      </x:c>
      <x:c r="R5" s="62" t="str">
        <x:v>CNY</x:v>
      </x:c>
      <x:c r="S5" s="62" t="str">
        <x:v>万元</x:v>
      </x:c>
      <x:c r="T5" s="62" t="str">
        <x:v>费用不含税</x:v>
      </x:c>
      <x:c r="U5" s="62" t="str">
        <x:v>设备管理部</x:v>
      </x:c>
      <x:c r="V5" s="62" t="str">
        <x:v>设备维护现场物料采购</x:v>
      </x:c>
      <x:c r="W5" s="62" t="str">
        <x:v>设备维护现场物料采购</x:v>
      </x:c>
      <x:c r="X5" s="62" t="str">
        <x:v>中核运维</x:v>
      </x:c>
      <x:c r="Y5" s="62" t="str">
        <x:v>中核运维</x:v>
      </x:c>
      <x:c r="Z5" s="62" t="str">
        <x:v>17</x:v>
      </x:c>
      <x:c r="AA5" s="62" t="str">
        <x:v>设备维护</x:v>
      </x:c>
      <x:c r="AB5" s="62" t="str">
        <x:v>PRJ-SB-设备-2024-001</x:v>
      </x:c>
      <x:c r="AC5" s="74" t="n">
        <x:v>46022</x:v>
      </x:c>
      <x:c r="AD5" s="71" t="str">
        <x:v>源记录保留</x:v>
      </x:c>
      <x:c r="AE5" s="71" t="str">
        <x:v>2025年实际执行.xlsx</x:v>
      </x:c>
      <x:c r="AF5" s="71" t="str">
        <x:v>Sheet</x:v>
      </x:c>
      <x:c r="AG5" s="71" t="n">
        <x:v>5</x:v>
      </x:c>
      <x:c r="AH5" s="71" t="str">
        <x:v>2025年实际执行.xlsx/Sheet!5:5</x:v>
      </x:c>
      <x:c r="AI5" s="62" t="str">
        <x:f>IF(F5=MONTH(L5),"OK","FAIL")</x:f>
        <x:v>OK</x:v>
      </x:c>
      <x:c r="AJ5" s="62" t="str">
        <x:f>IF(J5&lt;=L5,"OK","FAIL")</x:f>
        <x:v>OK</x:v>
      </x:c>
      <x:c r="AK5" s="62" t="str">
        <x:f>IF(D5&lt;&gt;"营业收入","OK",IF(AND(P5&lt;0,Q5&gt;0),"OK","FAIL"))</x:f>
        <x:v>OK</x:v>
      </x:c>
      <x:c r="AL5" s="62" t="str">
        <x:f>IF(COUNTIF($A$2:$A$218,A5)=1,"OK","FAIL")</x:f>
        <x:v>OK</x:v>
      </x:c>
    </x:row>
    <x:row r="6" ht="23" customHeight="1">
      <x:c r="A6" s="62" t="str">
        <x:v>DEMO01|2025|DOC2004|10</x:v>
      </x:c>
      <x:c r="B6" s="62" t="str">
        <x:v>SOURCE</x:v>
      </x:c>
      <x:c r="C6" s="62" t="str">
        <x:v>办公费</x:v>
      </x:c>
      <x:c r="D6" s="62" t="str">
        <x:v>办公费</x:v>
      </x:c>
      <x:c r="E6" s="62" t="n">
        <x:v>6</x:v>
      </x:c>
      <x:c r="F6" s="62" t="n">
        <x:v>6</x:v>
      </x:c>
      <x:c r="G6" s="62" t="str">
        <x:v>DOC2004</x:v>
      </x:c>
      <x:c r="H6" s="62" t="n">
        <x:v>10</x:v>
      </x:c>
      <x:c r="I6" s="74" t="n">
        <x:v>45823</x:v>
      </x:c>
      <x:c r="J6" s="74" t="n">
        <x:v>45823</x:v>
      </x:c>
      <x:c r="K6" s="74" t="n">
        <x:v>45823</x:v>
      </x:c>
      <x:c r="L6" s="74" t="n">
        <x:v>45823</x:v>
      </x:c>
      <x:c r="M6" s="77" t="n">
        <x:v>2.1324</x:v>
      </x:c>
      <x:c r="N6" s="77"/>
      <x:c r="O6" s="78"/>
      <x:c r="P6" s="79" t="n">
        <x:f>M6</x:f>
        <x:v>2.1324</x:v>
      </x:c>
      <x:c r="Q6" s="79" t="n">
        <x:f>IF(D6="营业收入",-P6,P6)</x:f>
        <x:v>2.1324</x:v>
      </x:c>
      <x:c r="R6" s="62" t="str">
        <x:v>CNY</x:v>
      </x:c>
      <x:c r="S6" s="62" t="str">
        <x:v>万元</x:v>
      </x:c>
      <x:c r="T6" s="62" t="str">
        <x:v>费用不含税</x:v>
      </x:c>
      <x:c r="U6" s="62" t="str">
        <x:v>设备管理部</x:v>
      </x:c>
      <x:c r="V6" s="62" t="str">
        <x:v>设备维护日常办公</x:v>
      </x:c>
      <x:c r="W6" s="62" t="str">
        <x:v>设备维护日常办公</x:v>
      </x:c>
      <x:c r="X6" s="62" t="str">
        <x:v>中核运维</x:v>
      </x:c>
      <x:c r="Y6" s="62" t="str">
        <x:v>中核运维</x:v>
      </x:c>
      <x:c r="Z6" s="62" t="str">
        <x:v>17</x:v>
      </x:c>
      <x:c r="AA6" s="62" t="str">
        <x:v>设备维护</x:v>
      </x:c>
      <x:c r="AB6" s="62" t="str">
        <x:v>PRJ-SB-设备-2024-001</x:v>
      </x:c>
      <x:c r="AC6" s="74" t="n">
        <x:v>46022</x:v>
      </x:c>
      <x:c r="AD6" s="71" t="str">
        <x:v>源记录保留</x:v>
      </x:c>
      <x:c r="AE6" s="71" t="str">
        <x:v>2025年实际执行.xlsx</x:v>
      </x:c>
      <x:c r="AF6" s="71" t="str">
        <x:v>Sheet</x:v>
      </x:c>
      <x:c r="AG6" s="71" t="n">
        <x:v>6</x:v>
      </x:c>
      <x:c r="AH6" s="71" t="str">
        <x:v>2025年实际执行.xlsx/Sheet!6:6</x:v>
      </x:c>
      <x:c r="AI6" s="62" t="str">
        <x:f>IF(F6=MONTH(L6),"OK","FAIL")</x:f>
        <x:v>OK</x:v>
      </x:c>
      <x:c r="AJ6" s="62" t="str">
        <x:f>IF(J6&lt;=L6,"OK","FAIL")</x:f>
        <x:v>OK</x:v>
      </x:c>
      <x:c r="AK6" s="62" t="str">
        <x:f>IF(D6&lt;&gt;"营业收入","OK",IF(AND(P6&lt;0,Q6&gt;0),"OK","FAIL"))</x:f>
        <x:v>OK</x:v>
      </x:c>
      <x:c r="AL6" s="62" t="str">
        <x:f>IF(COUNTIF($A$2:$A$218,A6)=1,"OK","FAIL")</x:f>
        <x:v>OK</x:v>
      </x:c>
    </x:row>
    <x:row r="7" ht="23" customHeight="1">
      <x:c r="A7" s="62" t="str">
        <x:v>DEMO01|2025|DOC2005|10</x:v>
      </x:c>
      <x:c r="B7" s="62" t="str">
        <x:v>CORRECTED</x:v>
      </x:c>
      <x:c r="C7" s="62" t="str">
        <x:v>交通运输费</x:v>
      </x:c>
      <x:c r="D7" s="62" t="str">
        <x:v>交通运输费</x:v>
      </x:c>
      <x:c r="E7" s="62" t="n">
        <x:v>7</x:v>
      </x:c>
      <x:c r="F7" s="62" t="n">
        <x:v>7</x:v>
      </x:c>
      <x:c r="G7" s="62" t="str">
        <x:v>DOC2005</x:v>
      </x:c>
      <x:c r="H7" s="62" t="n">
        <x:v>10</x:v>
      </x:c>
      <x:c r="I7" s="74" t="n">
        <x:v>45853</x:v>
      </x:c>
      <x:c r="J7" s="74" t="n">
        <x:v>45853</x:v>
      </x:c>
      <x:c r="K7" s="74" t="n">
        <x:v>45853</x:v>
      </x:c>
      <x:c r="L7" s="74" t="n">
        <x:v>45853</x:v>
      </x:c>
      <x:c r="M7" s="77" t="n">
        <x:v>3.554</x:v>
      </x:c>
      <x:c r="N7" s="77"/>
      <x:c r="O7" s="78"/>
      <x:c r="P7" s="79" t="n">
        <x:f>M7</x:f>
        <x:v>3.554</x:v>
      </x:c>
      <x:c r="Q7" s="79" t="n">
        <x:f>IF(D7="营业收入",-P7,P7)</x:f>
        <x:v>3.554</x:v>
      </x:c>
      <x:c r="R7" s="62" t="str">
        <x:v>CNY</x:v>
      </x:c>
      <x:c r="S7" s="62" t="str">
        <x:v>万元</x:v>
      </x:c>
      <x:c r="T7" s="62" t="str">
        <x:v>费用不含税</x:v>
      </x:c>
      <x:c r="U7" s="62" t="str">
        <x:v>设备管理部</x:v>
      </x:c>
      <x:c r="V7" s="62" t="str">
        <x:v>设备维护材料运输</x:v>
      </x:c>
      <x:c r="W7" s="62" t="str">
        <x:v>设备维护材料运输</x:v>
      </x:c>
      <x:c r="X7" s="62" t="str">
        <x:v>中核运维</x:v>
      </x:c>
      <x:c r="Y7" s="62" t="str">
        <x:v>中核运维</x:v>
      </x:c>
      <x:c r="Z7" s="62" t="str">
        <x:v>17</x:v>
      </x:c>
      <x:c r="AA7" s="62" t="str">
        <x:v>设备维护</x:v>
      </x:c>
      <x:c r="AB7" s="62" t="str">
        <x:v>PRJ-SB-设备-2024-001</x:v>
      </x:c>
      <x:c r="AC7" s="74" t="n">
        <x:v>46022</x:v>
      </x:c>
      <x:c r="AD7" s="71" t="str">
        <x:v>补凭证行号</x:v>
      </x:c>
      <x:c r="AE7" s="71" t="str">
        <x:v>2025年实际执行.xlsx</x:v>
      </x:c>
      <x:c r="AF7" s="71" t="str">
        <x:v>Sheet</x:v>
      </x:c>
      <x:c r="AG7" s="71" t="n">
        <x:v>7</x:v>
      </x:c>
      <x:c r="AH7" s="71" t="str">
        <x:v>2025年实际执行.xlsx/Sheet!7:7</x:v>
      </x:c>
      <x:c r="AI7" s="62" t="str">
        <x:f>IF(F7=MONTH(L7),"OK","FAIL")</x:f>
        <x:v>OK</x:v>
      </x:c>
      <x:c r="AJ7" s="62" t="str">
        <x:f>IF(J7&lt;=L7,"OK","FAIL")</x:f>
        <x:v>OK</x:v>
      </x:c>
      <x:c r="AK7" s="62" t="str">
        <x:f>IF(D7&lt;&gt;"营业收入","OK",IF(AND(P7&lt;0,Q7&gt;0),"OK","FAIL"))</x:f>
        <x:v>OK</x:v>
      </x:c>
      <x:c r="AL7" s="62" t="str">
        <x:f>IF(COUNTIF($A$2:$A$218,A7)=1,"OK","FAIL")</x:f>
        <x:v>OK</x:v>
      </x:c>
    </x:row>
    <x:row r="8" ht="23" customHeight="1">
      <x:c r="A8" s="62" t="str">
        <x:v>DEMO01|2025|DOC2006|10</x:v>
      </x:c>
      <x:c r="B8" s="62" t="str">
        <x:v>SOURCE</x:v>
      </x:c>
      <x:c r="C8" s="62" t="str">
        <x:v>人工成本</x:v>
      </x:c>
      <x:c r="D8" s="62" t="str">
        <x:v>人工成本</x:v>
      </x:c>
      <x:c r="E8" s="62" t="n">
        <x:v>6</x:v>
      </x:c>
      <x:c r="F8" s="62" t="n">
        <x:v>6</x:v>
      </x:c>
      <x:c r="G8" s="62" t="str">
        <x:v>DOC2006</x:v>
      </x:c>
      <x:c r="H8" s="62" t="n">
        <x:v>10</x:v>
      </x:c>
      <x:c r="I8" s="74" t="n">
        <x:v>45838</x:v>
      </x:c>
      <x:c r="J8" s="74" t="n">
        <x:v>45838</x:v>
      </x:c>
      <x:c r="K8" s="74" t="n">
        <x:v>45838</x:v>
      </x:c>
      <x:c r="L8" s="74" t="n">
        <x:v>45838</x:v>
      </x:c>
      <x:c r="M8" s="77" t="n">
        <x:v>30</x:v>
      </x:c>
      <x:c r="N8" s="77"/>
      <x:c r="O8" s="78"/>
      <x:c r="P8" s="79" t="n">
        <x:f>M8</x:f>
        <x:v>30</x:v>
      </x:c>
      <x:c r="Q8" s="79" t="n">
        <x:f>IF(D8="营业收入",-P8,P8)</x:f>
        <x:v>30</x:v>
      </x:c>
      <x:c r="R8" s="62" t="str">
        <x:v>CNY</x:v>
      </x:c>
      <x:c r="S8" s="62" t="str">
        <x:v>万元</x:v>
      </x:c>
      <x:c r="T8" s="62" t="str">
        <x:v>费用不含税</x:v>
      </x:c>
      <x:c r="U8" s="62" t="str">
        <x:v>设备管理部</x:v>
      </x:c>
      <x:c r="V8" s="62" t="str">
        <x:v>设备维护人工成本分摊</x:v>
      </x:c>
      <x:c r="W8" s="62" t="str">
        <x:v>设备维护人工成本分摊</x:v>
      </x:c>
      <x:c r="X8" s="62" t="str">
        <x:v>17</x:v>
      </x:c>
      <x:c r="Y8" s="62" t="str">
        <x:v>17</x:v>
      </x:c>
      <x:c r="Z8" s="62" t="str">
        <x:v>17</x:v>
      </x:c>
      <x:c r="AA8" s="62" t="str">
        <x:v>设备维护</x:v>
      </x:c>
      <x:c r="AB8" s="62" t="str">
        <x:v>PRJ-SB-设备-2024-001</x:v>
      </x:c>
      <x:c r="AC8" s="74" t="n">
        <x:v>46022</x:v>
      </x:c>
      <x:c r="AD8" s="71" t="str">
        <x:v>源记录保留</x:v>
      </x:c>
      <x:c r="AE8" s="71" t="str">
        <x:v>2025年实际执行.xlsx</x:v>
      </x:c>
      <x:c r="AF8" s="71" t="str">
        <x:v>Sheet</x:v>
      </x:c>
      <x:c r="AG8" s="71" t="n">
        <x:v>8</x:v>
      </x:c>
      <x:c r="AH8" s="71" t="str">
        <x:v>2025年实际执行.xlsx/Sheet!8:8</x:v>
      </x:c>
      <x:c r="AI8" s="62" t="str">
        <x:f>IF(F8=MONTH(L8),"OK","FAIL")</x:f>
        <x:v>OK</x:v>
      </x:c>
      <x:c r="AJ8" s="62" t="str">
        <x:f>IF(J8&lt;=L8,"OK","FAIL")</x:f>
        <x:v>OK</x:v>
      </x:c>
      <x:c r="AK8" s="62" t="str">
        <x:f>IF(D8&lt;&gt;"营业收入","OK",IF(AND(P8&lt;0,Q8&gt;0),"OK","FAIL"))</x:f>
        <x:v>OK</x:v>
      </x:c>
      <x:c r="AL8" s="62" t="str">
        <x:f>IF(COUNTIF($A$2:$A$218,A8)=1,"OK","FAIL")</x:f>
        <x:v>OK</x:v>
      </x:c>
    </x:row>
    <x:row r="9" ht="23" customHeight="1">
      <x:c r="A9" s="62" t="str">
        <x:v>DEMO01|2025|DOC2007|10</x:v>
      </x:c>
      <x:c r="B9" s="62" t="str">
        <x:v>SOURCE</x:v>
      </x:c>
      <x:c r="C9" s="62" t="str">
        <x:v>折旧摊销</x:v>
      </x:c>
      <x:c r="D9" s="62" t="str">
        <x:v>折旧摊销</x:v>
      </x:c>
      <x:c r="E9" s="62" t="n">
        <x:v>12</x:v>
      </x:c>
      <x:c r="F9" s="62" t="n">
        <x:v>12</x:v>
      </x:c>
      <x:c r="G9" s="62" t="str">
        <x:v>DOC2007</x:v>
      </x:c>
      <x:c r="H9" s="62" t="n">
        <x:v>10</x:v>
      </x:c>
      <x:c r="I9" s="74" t="n">
        <x:v>46022</x:v>
      </x:c>
      <x:c r="J9" s="74" t="n">
        <x:v>46022</x:v>
      </x:c>
      <x:c r="K9" s="74" t="n">
        <x:v>46022</x:v>
      </x:c>
      <x:c r="L9" s="74" t="n">
        <x:v>46022</x:v>
      </x:c>
      <x:c r="M9" s="77" t="n">
        <x:v>8</x:v>
      </x:c>
      <x:c r="N9" s="77"/>
      <x:c r="O9" s="78"/>
      <x:c r="P9" s="79" t="n">
        <x:f>M9</x:f>
        <x:v>8</x:v>
      </x:c>
      <x:c r="Q9" s="79" t="n">
        <x:f>IF(D9="营业收入",-P9,P9)</x:f>
        <x:v>8</x:v>
      </x:c>
      <x:c r="R9" s="62" t="str">
        <x:v>CNY</x:v>
      </x:c>
      <x:c r="S9" s="62" t="str">
        <x:v>万元</x:v>
      </x:c>
      <x:c r="T9" s="62" t="str">
        <x:v>费用不含税</x:v>
      </x:c>
      <x:c r="U9" s="62" t="str">
        <x:v>设备管理部</x:v>
      </x:c>
      <x:c r="V9" s="62" t="str">
        <x:v>设备维护折旧摊销分摊</x:v>
      </x:c>
      <x:c r="W9" s="62" t="str">
        <x:v>设备维护折旧摊销分摊</x:v>
      </x:c>
      <x:c r="X9" s="62" t="str">
        <x:v>17</x:v>
      </x:c>
      <x:c r="Y9" s="62" t="str">
        <x:v>17</x:v>
      </x:c>
      <x:c r="Z9" s="62" t="str">
        <x:v>17</x:v>
      </x:c>
      <x:c r="AA9" s="62" t="str">
        <x:v>设备维护</x:v>
      </x:c>
      <x:c r="AB9" s="62" t="str">
        <x:v>PRJ-SB-设备-2024-001</x:v>
      </x:c>
      <x:c r="AC9" s="74" t="n">
        <x:v>46022</x:v>
      </x:c>
      <x:c r="AD9" s="71" t="str">
        <x:v>源记录保留</x:v>
      </x:c>
      <x:c r="AE9" s="71" t="str">
        <x:v>2025年实际执行.xlsx</x:v>
      </x:c>
      <x:c r="AF9" s="71" t="str">
        <x:v>Sheet</x:v>
      </x:c>
      <x:c r="AG9" s="71" t="n">
        <x:v>9</x:v>
      </x:c>
      <x:c r="AH9" s="71" t="str">
        <x:v>2025年实际执行.xlsx/Sheet!9:9</x:v>
      </x:c>
      <x:c r="AI9" s="62" t="str">
        <x:f>IF(F9=MONTH(L9),"OK","FAIL")</x:f>
        <x:v>OK</x:v>
      </x:c>
      <x:c r="AJ9" s="62" t="str">
        <x:f>IF(J9&lt;=L9,"OK","FAIL")</x:f>
        <x:v>OK</x:v>
      </x:c>
      <x:c r="AK9" s="62" t="str">
        <x:f>IF(D9&lt;&gt;"营业收入","OK",IF(AND(P9&lt;0,Q9&gt;0),"OK","FAIL"))</x:f>
        <x:v>OK</x:v>
      </x:c>
      <x:c r="AL9" s="62" t="str">
        <x:f>IF(COUNTIF($A$2:$A$218,A9)=1,"OK","FAIL")</x:f>
        <x:v>OK</x:v>
      </x:c>
    </x:row>
    <x:row r="10" ht="23" customHeight="1">
      <x:c r="A10" s="62" t="str">
        <x:v>DEMO01|2025|DOC2008|10</x:v>
      </x:c>
      <x:c r="B10" s="62" t="str">
        <x:v>CORRECTED</x:v>
      </x:c>
      <x:c r="C10" s="62" t="str">
        <x:v>业务支持费</x:v>
      </x:c>
      <x:c r="D10" s="62" t="str">
        <x:v>业务支持费-其他</x:v>
      </x:c>
      <x:c r="E10" s="62" t="n">
        <x:v>5</x:v>
      </x:c>
      <x:c r="F10" s="62" t="n">
        <x:v>4</x:v>
      </x:c>
      <x:c r="G10" s="62" t="str">
        <x:v>DOC2008</x:v>
      </x:c>
      <x:c r="H10" s="62" t="n">
        <x:v>10</x:v>
      </x:c>
      <x:c r="I10" s="74" t="n">
        <x:v>45736</x:v>
      </x:c>
      <x:c r="J10" s="74" t="n">
        <x:v>45736</x:v>
      </x:c>
      <x:c r="K10" s="74" t="n">
        <x:v>45767</x:v>
      </x:c>
      <x:c r="L10" s="74" t="n">
        <x:v>45767</x:v>
      </x:c>
      <x:c r="M10" s="77" t="n">
        <x:v>20</x:v>
      </x:c>
      <x:c r="N10" s="77"/>
      <x:c r="O10" s="78"/>
      <x:c r="P10" s="79" t="n">
        <x:f>M10</x:f>
        <x:v>20</x:v>
      </x:c>
      <x:c r="Q10" s="79" t="n">
        <x:f>IF(D10="营业收入",-P10,P10)</x:f>
        <x:v>20</x:v>
      </x:c>
      <x:c r="R10" s="62" t="str">
        <x:v>CNY</x:v>
      </x:c>
      <x:c r="S10" s="62" t="str">
        <x:v>万元</x:v>
      </x:c>
      <x:c r="T10" s="62" t="str">
        <x:v>费用不含税</x:v>
      </x:c>
      <x:c r="U10" s="62" t="str">
        <x:v>设备管理部</x:v>
      </x:c>
      <x:c r="V10" s="62" t="str">
        <x:v>确认设备维护_实际成本</x:v>
      </x:c>
      <x:c r="W10" s="62" t="str">
        <x:v>确认设备维护_实际成本</x:v>
      </x:c>
      <x:c r="X10" s="62" t="str">
        <x:v>中核运维</x:v>
      </x:c>
      <x:c r="Y10" s="62" t="str">
        <x:v>中核运维</x:v>
      </x:c>
      <x:c r="Z10" s="62" t="str">
        <x:v>17</x:v>
      </x:c>
      <x:c r="AA10" s="62" t="str">
        <x:v>设备维护</x:v>
      </x:c>
      <x:c r="AB10" s="62" t="str">
        <x:v>PRJ-SB-设备-2024-001</x:v>
      </x:c>
      <x:c r="AC10" s="74" t="n">
        <x:v>46022</x:v>
      </x:c>
      <x:c r="AD10" s="71" t="str">
        <x:v>期间改为过账月</x:v>
      </x:c>
      <x:c r="AE10" s="71" t="str">
        <x:v>2025年实际执行.xlsx</x:v>
      </x:c>
      <x:c r="AF10" s="71" t="str">
        <x:v>Sheet</x:v>
      </x:c>
      <x:c r="AG10" s="71" t="n">
        <x:v>10</x:v>
      </x:c>
      <x:c r="AH10" s="71" t="str">
        <x:v>2025年实际执行.xlsx/Sheet!10:10</x:v>
      </x:c>
      <x:c r="AI10" s="62" t="str">
        <x:f>IF(F10=MONTH(L10),"OK","FAIL")</x:f>
        <x:v>OK</x:v>
      </x:c>
      <x:c r="AJ10" s="62" t="str">
        <x:f>IF(J10&lt;=L10,"OK","FAIL")</x:f>
        <x:v>OK</x:v>
      </x:c>
      <x:c r="AK10" s="62" t="str">
        <x:f>IF(D10&lt;&gt;"营业收入","OK",IF(AND(P10&lt;0,Q10&gt;0),"OK","FAIL"))</x:f>
        <x:v>OK</x:v>
      </x:c>
      <x:c r="AL10" s="62" t="str">
        <x:f>IF(COUNTIF($A$2:$A$218,A10)=1,"OK","FAIL")</x:f>
        <x:v>OK</x:v>
      </x:c>
    </x:row>
    <x:row r="11" ht="23" customHeight="1">
      <x:c r="A11" s="62" t="str">
        <x:v>DEMO01|2025|DOC2009|10</x:v>
      </x:c>
      <x:c r="B11" s="62" t="str">
        <x:v>SOURCE</x:v>
      </x:c>
      <x:c r="C11" s="62" t="str">
        <x:v>营业收入</x:v>
      </x:c>
      <x:c r="D11" s="62" t="str">
        <x:v>营业收入</x:v>
      </x:c>
      <x:c r="E11" s="62" t="n">
        <x:v>6</x:v>
      </x:c>
      <x:c r="F11" s="62" t="n">
        <x:v>6</x:v>
      </x:c>
      <x:c r="G11" s="62" t="str">
        <x:v>DOC2009</x:v>
      </x:c>
      <x:c r="H11" s="62" t="n">
        <x:v>10</x:v>
      </x:c>
      <x:c r="I11" s="74" t="n">
        <x:v>45823</x:v>
      </x:c>
      <x:c r="J11" s="74" t="n">
        <x:v>45823</x:v>
      </x:c>
      <x:c r="K11" s="74" t="n">
        <x:v>45823</x:v>
      </x:c>
      <x:c r="L11" s="74" t="n">
        <x:v>45823</x:v>
      </x:c>
      <x:c r="M11" s="77" t="n">
        <x:v>-166.905557</x:v>
      </x:c>
      <x:c r="N11" s="77"/>
      <x:c r="O11" s="78"/>
      <x:c r="P11" s="79" t="n">
        <x:f>M11</x:f>
        <x:v>-166.905557</x:v>
      </x:c>
      <x:c r="Q11" s="79" t="n">
        <x:f>IF(D11="营业收入",-P11,P11)</x:f>
        <x:v>166.905557</x:v>
      </x:c>
      <x:c r="R11" s="62" t="str">
        <x:v>CNY</x:v>
      </x:c>
      <x:c r="S11" s="62" t="str">
        <x:v>万元</x:v>
      </x:c>
      <x:c r="T11" s="62" t="str">
        <x:v>收益；源负号</x:v>
      </x:c>
      <x:c r="U11" s="62" t="str">
        <x:v>设备管理部</x:v>
      </x:c>
      <x:c r="V11" s="62" t="str">
        <x:v>设备维护收入确认</x:v>
      </x:c>
      <x:c r="W11" s="62" t="str">
        <x:v>设备维护收入确认</x:v>
      </x:c>
      <x:c r="X11" s="62" t="str">
        <x:v>17</x:v>
      </x:c>
      <x:c r="Y11" s="62" t="str">
        <x:v>17</x:v>
      </x:c>
      <x:c r="Z11" s="62" t="str">
        <x:v>17</x:v>
      </x:c>
      <x:c r="AA11" s="62" t="str">
        <x:v>设备维护</x:v>
      </x:c>
      <x:c r="AB11" s="62" t="str">
        <x:v>PRJ-SB-设备-2025-002</x:v>
      </x:c>
      <x:c r="AC11" s="74" t="n">
        <x:v>46022</x:v>
      </x:c>
      <x:c r="AD11" s="71" t="str">
        <x:v>源记录保留</x:v>
      </x:c>
      <x:c r="AE11" s="71" t="str">
        <x:v>2025年实际执行.xlsx</x:v>
      </x:c>
      <x:c r="AF11" s="71" t="str">
        <x:v>Sheet</x:v>
      </x:c>
      <x:c r="AG11" s="71" t="n">
        <x:v>11</x:v>
      </x:c>
      <x:c r="AH11" s="71" t="str">
        <x:v>2025年实际执行.xlsx/Sheet!11:11</x:v>
      </x:c>
      <x:c r="AI11" s="62" t="str">
        <x:f>IF(F11=MONTH(L11),"OK","FAIL")</x:f>
        <x:v>OK</x:v>
      </x:c>
      <x:c r="AJ11" s="62" t="str">
        <x:f>IF(J11&lt;=L11,"OK","FAIL")</x:f>
        <x:v>OK</x:v>
      </x:c>
      <x:c r="AK11" s="62" t="str">
        <x:f>IF(D11&lt;&gt;"营业收入","OK",IF(AND(P11&lt;0,Q11&gt;0),"OK","FAIL"))</x:f>
        <x:v>OK</x:v>
      </x:c>
      <x:c r="AL11" s="62" t="str">
        <x:f>IF(COUNTIF($A$2:$A$218,A11)=1,"OK","FAIL")</x:f>
        <x:v>OK</x:v>
      </x:c>
    </x:row>
    <x:row r="12" ht="23" customHeight="1">
      <x:c r="A12" s="62" t="str">
        <x:v>DEMO01|2025|DOC2010|10</x:v>
      </x:c>
      <x:c r="B12" s="62" t="str">
        <x:v>SOURCE</x:v>
      </x:c>
      <x:c r="C12" s="62" t="str">
        <x:v>会议费</x:v>
      </x:c>
      <x:c r="D12" s="62" t="str">
        <x:v>会议费</x:v>
      </x:c>
      <x:c r="E12" s="62" t="n">
        <x:v>12</x:v>
      </x:c>
      <x:c r="F12" s="62" t="n">
        <x:v>12</x:v>
      </x:c>
      <x:c r="G12" s="62" t="str">
        <x:v>DOC2010</x:v>
      </x:c>
      <x:c r="H12" s="62" t="n">
        <x:v>10</x:v>
      </x:c>
      <x:c r="I12" s="74" t="n">
        <x:v>46006</x:v>
      </x:c>
      <x:c r="J12" s="74" t="n">
        <x:v>46006</x:v>
      </x:c>
      <x:c r="K12" s="74" t="n">
        <x:v>46006</x:v>
      </x:c>
      <x:c r="L12" s="74" t="n">
        <x:v>46006</x:v>
      </x:c>
      <x:c r="M12" s="77" t="n">
        <x:v>2</x:v>
      </x:c>
      <x:c r="N12" s="77"/>
      <x:c r="O12" s="78"/>
      <x:c r="P12" s="79" t="n">
        <x:f>M12</x:f>
        <x:v>2</x:v>
      </x:c>
      <x:c r="Q12" s="79" t="n">
        <x:f>IF(D12="营业收入",-P12,P12)</x:f>
        <x:v>2</x:v>
      </x:c>
      <x:c r="R12" s="62" t="str">
        <x:v>CNY</x:v>
      </x:c>
      <x:c r="S12" s="62" t="str">
        <x:v>万元</x:v>
      </x:c>
      <x:c r="T12" s="62" t="str">
        <x:v>费用不含税</x:v>
      </x:c>
      <x:c r="U12" s="62" t="str">
        <x:v>设备管理部</x:v>
      </x:c>
      <x:c r="V12" s="62" t="str">
        <x:v>设备维护项目阶段评审会</x:v>
      </x:c>
      <x:c r="W12" s="62" t="str">
        <x:v>设备维护项目阶段评审会</x:v>
      </x:c>
      <x:c r="X12" s="62" t="str">
        <x:v>北京核工院</x:v>
      </x:c>
      <x:c r="Y12" s="62" t="str">
        <x:v>北京核工院</x:v>
      </x:c>
      <x:c r="Z12" s="62" t="str">
        <x:v>17</x:v>
      </x:c>
      <x:c r="AA12" s="62" t="str">
        <x:v>设备维护</x:v>
      </x:c>
      <x:c r="AB12" s="62" t="str">
        <x:v>PRJ-SB-设备-2025-002</x:v>
      </x:c>
      <x:c r="AC12" s="74" t="n">
        <x:v>46022</x:v>
      </x:c>
      <x:c r="AD12" s="71" t="str">
        <x:v>源记录保留</x:v>
      </x:c>
      <x:c r="AE12" s="71" t="str">
        <x:v>2025年实际执行.xlsx</x:v>
      </x:c>
      <x:c r="AF12" s="71" t="str">
        <x:v>Sheet</x:v>
      </x:c>
      <x:c r="AG12" s="71" t="n">
        <x:v>12</x:v>
      </x:c>
      <x:c r="AH12" s="71" t="str">
        <x:v>2025年实际执行.xlsx/Sheet!12:12</x:v>
      </x:c>
      <x:c r="AI12" s="62" t="str">
        <x:f>IF(F12=MONTH(L12),"OK","FAIL")</x:f>
        <x:v>OK</x:v>
      </x:c>
      <x:c r="AJ12" s="62" t="str">
        <x:f>IF(J12&lt;=L12,"OK","FAIL")</x:f>
        <x:v>OK</x:v>
      </x:c>
      <x:c r="AK12" s="62" t="str">
        <x:f>IF(D12&lt;&gt;"营业收入","OK",IF(AND(P12&lt;0,Q12&gt;0),"OK","FAIL"))</x:f>
        <x:v>OK</x:v>
      </x:c>
      <x:c r="AL12" s="62" t="str">
        <x:f>IF(COUNTIF($A$2:$A$218,A12)=1,"OK","FAIL")</x:f>
        <x:v>OK</x:v>
      </x:c>
    </x:row>
    <x:row r="13" ht="23" customHeight="1">
      <x:c r="A13" s="62" t="str">
        <x:v>DEMO01|2025|DOC2011|10</x:v>
      </x:c>
      <x:c r="B13" s="62" t="str">
        <x:v>SOURCE</x:v>
      </x:c>
      <x:c r="C13" s="62" t="str">
        <x:v>业务支持费</x:v>
      </x:c>
      <x:c r="D13" s="62" t="str">
        <x:v>业务支持费-技术配置</x:v>
      </x:c>
      <x:c r="E13" s="62" t="n">
        <x:v>6</x:v>
      </x:c>
      <x:c r="F13" s="62" t="n">
        <x:v>6</x:v>
      </x:c>
      <x:c r="G13" s="62" t="str">
        <x:v>DOC2011</x:v>
      </x:c>
      <x:c r="H13" s="62" t="n">
        <x:v>10</x:v>
      </x:c>
      <x:c r="I13" s="74" t="n">
        <x:v>45823</x:v>
      </x:c>
      <x:c r="J13" s="74" t="n">
        <x:v>45823</x:v>
      </x:c>
      <x:c r="K13" s="74" t="n">
        <x:v>45823</x:v>
      </x:c>
      <x:c r="L13" s="74" t="n">
        <x:v>45823</x:v>
      </x:c>
      <x:c r="M13" s="77" t="n">
        <x:v>29.948</x:v>
      </x:c>
      <x:c r="N13" s="77"/>
      <x:c r="O13" s="78"/>
      <x:c r="P13" s="79" t="n">
        <x:f>M13</x:f>
        <x:v>29.948</x:v>
      </x:c>
      <x:c r="Q13" s="79" t="n">
        <x:f>IF(D13="营业收入",-P13,P13)</x:f>
        <x:v>29.948</x:v>
      </x:c>
      <x:c r="R13" s="62" t="str">
        <x:v>CNY</x:v>
      </x:c>
      <x:c r="S13" s="62" t="str">
        <x:v>万元</x:v>
      </x:c>
      <x:c r="T13" s="62" t="str">
        <x:v>费用不含税</x:v>
      </x:c>
      <x:c r="U13" s="62" t="str">
        <x:v>设备管理部</x:v>
      </x:c>
      <x:c r="V13" s="62" t="str">
        <x:v>设备维护技术配置_实施阶段</x:v>
      </x:c>
      <x:c r="W13" s="62" t="str">
        <x:v>设备维护技术配置_实施阶段</x:v>
      </x:c>
      <x:c r="X13" s="62" t="str">
        <x:v>供应商1</x:v>
      </x:c>
      <x:c r="Y13" s="62" t="str">
        <x:v>供应商1</x:v>
      </x:c>
      <x:c r="Z13" s="62" t="str">
        <x:v>17</x:v>
      </x:c>
      <x:c r="AA13" s="62" t="str">
        <x:v>设备维护</x:v>
      </x:c>
      <x:c r="AB13" s="62" t="str">
        <x:v>PRJ-SB-设备-2025-002</x:v>
      </x:c>
      <x:c r="AC13" s="74" t="n">
        <x:v>46022</x:v>
      </x:c>
      <x:c r="AD13" s="71" t="str">
        <x:v>源记录保留</x:v>
      </x:c>
      <x:c r="AE13" s="71" t="str">
        <x:v>2025年实际执行.xlsx</x:v>
      </x:c>
      <x:c r="AF13" s="71" t="str">
        <x:v>Sheet</x:v>
      </x:c>
      <x:c r="AG13" s="71" t="n">
        <x:v>13</x:v>
      </x:c>
      <x:c r="AH13" s="71" t="str">
        <x:v>2025年实际执行.xlsx/Sheet!13:13</x:v>
      </x:c>
      <x:c r="AI13" s="62" t="str">
        <x:f>IF(F13=MONTH(L13),"OK","FAIL")</x:f>
        <x:v>OK</x:v>
      </x:c>
      <x:c r="AJ13" s="62" t="str">
        <x:f>IF(J13&lt;=L13,"OK","FAIL")</x:f>
        <x:v>OK</x:v>
      </x:c>
      <x:c r="AK13" s="62" t="str">
        <x:f>IF(D13&lt;&gt;"营业收入","OK",IF(AND(P13&lt;0,Q13&gt;0),"OK","FAIL"))</x:f>
        <x:v>OK</x:v>
      </x:c>
      <x:c r="AL13" s="62" t="str">
        <x:f>IF(COUNTIF($A$2:$A$218,A13)=1,"OK","FAIL")</x:f>
        <x:v>OK</x:v>
      </x:c>
    </x:row>
    <x:row r="14" ht="23" customHeight="1">
      <x:c r="A14" s="62" t="str">
        <x:v>DEMO01|2025|DOC2012|10</x:v>
      </x:c>
      <x:c r="B14" s="62" t="str">
        <x:v>SOURCE</x:v>
      </x:c>
      <x:c r="C14" s="62" t="str">
        <x:v>生产物料费</x:v>
      </x:c>
      <x:c r="D14" s="62" t="str">
        <x:v>生产物料费</x:v>
      </x:c>
      <x:c r="E14" s="62" t="n">
        <x:v>4</x:v>
      </x:c>
      <x:c r="F14" s="62" t="n">
        <x:v>4</x:v>
      </x:c>
      <x:c r="G14" s="62" t="str">
        <x:v>DOC2012</x:v>
      </x:c>
      <x:c r="H14" s="62" t="n">
        <x:v>10</x:v>
      </x:c>
      <x:c r="I14" s="74" t="n">
        <x:v>45762</x:v>
      </x:c>
      <x:c r="J14" s="74" t="n">
        <x:v>45762</x:v>
      </x:c>
      <x:c r="K14" s="74" t="n">
        <x:v>45762</x:v>
      </x:c>
      <x:c r="L14" s="74" t="n">
        <x:v>45762</x:v>
      </x:c>
      <x:c r="M14" s="77" t="n">
        <x:v>11.2305</x:v>
      </x:c>
      <x:c r="N14" s="77"/>
      <x:c r="O14" s="78"/>
      <x:c r="P14" s="79" t="n">
        <x:f>M14</x:f>
        <x:v>11.2305</x:v>
      </x:c>
      <x:c r="Q14" s="79" t="n">
        <x:f>IF(D14="营业收入",-P14,P14)</x:f>
        <x:v>11.2305</x:v>
      </x:c>
      <x:c r="R14" s="62" t="str">
        <x:v>CNY</x:v>
      </x:c>
      <x:c r="S14" s="62" t="str">
        <x:v>万元</x:v>
      </x:c>
      <x:c r="T14" s="62" t="str">
        <x:v>费用不含税</x:v>
      </x:c>
      <x:c r="U14" s="62" t="str">
        <x:v>设备管理部</x:v>
      </x:c>
      <x:c r="V14" s="62" t="str">
        <x:v>设备维护现场物料采购</x:v>
      </x:c>
      <x:c r="W14" s="62" t="str">
        <x:v>设备维护现场物料采购</x:v>
      </x:c>
      <x:c r="X14" s="62" t="str">
        <x:v>北京核工院</x:v>
      </x:c>
      <x:c r="Y14" s="62" t="str">
        <x:v>北京核工院</x:v>
      </x:c>
      <x:c r="Z14" s="62" t="str">
        <x:v>17</x:v>
      </x:c>
      <x:c r="AA14" s="62" t="str">
        <x:v>设备维护</x:v>
      </x:c>
      <x:c r="AB14" s="62" t="str">
        <x:v>PRJ-SB-设备-2025-002</x:v>
      </x:c>
      <x:c r="AC14" s="74" t="n">
        <x:v>46022</x:v>
      </x:c>
      <x:c r="AD14" s="71" t="str">
        <x:v>源记录保留</x:v>
      </x:c>
      <x:c r="AE14" s="71" t="str">
        <x:v>2025年实际执行.xlsx</x:v>
      </x:c>
      <x:c r="AF14" s="71" t="str">
        <x:v>Sheet</x:v>
      </x:c>
      <x:c r="AG14" s="71" t="n">
        <x:v>14</x:v>
      </x:c>
      <x:c r="AH14" s="71" t="str">
        <x:v>2025年实际执行.xlsx/Sheet!14:14</x:v>
      </x:c>
      <x:c r="AI14" s="62" t="str">
        <x:f>IF(F14=MONTH(L14),"OK","FAIL")</x:f>
        <x:v>OK</x:v>
      </x:c>
      <x:c r="AJ14" s="62" t="str">
        <x:f>IF(J14&lt;=L14,"OK","FAIL")</x:f>
        <x:v>OK</x:v>
      </x:c>
      <x:c r="AK14" s="62" t="str">
        <x:f>IF(D14&lt;&gt;"营业收入","OK",IF(AND(P14&lt;0,Q14&gt;0),"OK","FAIL"))</x:f>
        <x:v>OK</x:v>
      </x:c>
      <x:c r="AL14" s="62" t="str">
        <x:f>IF(COUNTIF($A$2:$A$218,A14)=1,"OK","FAIL")</x:f>
        <x:v>OK</x:v>
      </x:c>
    </x:row>
    <x:row r="15" ht="23" customHeight="1">
      <x:c r="A15" s="62" t="str">
        <x:v>DEMO01|2025|DOC2013|10</x:v>
      </x:c>
      <x:c r="B15" s="62" t="str">
        <x:v>SOURCE</x:v>
      </x:c>
      <x:c r="C15" s="62" t="str">
        <x:v>办公费</x:v>
      </x:c>
      <x:c r="D15" s="62" t="str">
        <x:v>办公费</x:v>
      </x:c>
      <x:c r="E15" s="62" t="n">
        <x:v>11</x:v>
      </x:c>
      <x:c r="F15" s="62" t="n">
        <x:v>11</x:v>
      </x:c>
      <x:c r="G15" s="62" t="str">
        <x:v>DOC2013</x:v>
      </x:c>
      <x:c r="H15" s="62" t="n">
        <x:v>10</x:v>
      </x:c>
      <x:c r="I15" s="74" t="n">
        <x:v>45976</x:v>
      </x:c>
      <x:c r="J15" s="74" t="n">
        <x:v>45976</x:v>
      </x:c>
      <x:c r="K15" s="74" t="n">
        <x:v>45976</x:v>
      </x:c>
      <x:c r="L15" s="74" t="n">
        <x:v>45976</x:v>
      </x:c>
      <x:c r="M15" s="77" t="n">
        <x:v>2.2461</x:v>
      </x:c>
      <x:c r="N15" s="77"/>
      <x:c r="O15" s="78"/>
      <x:c r="P15" s="79" t="n">
        <x:f>M15</x:f>
        <x:v>2.2461</x:v>
      </x:c>
      <x:c r="Q15" s="79" t="n">
        <x:f>IF(D15="营业收入",-P15,P15)</x:f>
        <x:v>2.2461</x:v>
      </x:c>
      <x:c r="R15" s="62" t="str">
        <x:v>CNY</x:v>
      </x:c>
      <x:c r="S15" s="62" t="str">
        <x:v>万元</x:v>
      </x:c>
      <x:c r="T15" s="62" t="str">
        <x:v>费用不含税</x:v>
      </x:c>
      <x:c r="U15" s="62" t="str">
        <x:v>设备管理部</x:v>
      </x:c>
      <x:c r="V15" s="62" t="str">
        <x:v>设备维护日常办公</x:v>
      </x:c>
      <x:c r="W15" s="62" t="str">
        <x:v>设备维护日常办公</x:v>
      </x:c>
      <x:c r="X15" s="62" t="str">
        <x:v>北京核工院</x:v>
      </x:c>
      <x:c r="Y15" s="62" t="str">
        <x:v>北京核工院</x:v>
      </x:c>
      <x:c r="Z15" s="62" t="str">
        <x:v>17</x:v>
      </x:c>
      <x:c r="AA15" s="62" t="str">
        <x:v>设备维护</x:v>
      </x:c>
      <x:c r="AB15" s="62" t="str">
        <x:v>PRJ-SB-设备-2025-002</x:v>
      </x:c>
      <x:c r="AC15" s="74" t="n">
        <x:v>46022</x:v>
      </x:c>
      <x:c r="AD15" s="71" t="str">
        <x:v>源记录保留</x:v>
      </x:c>
      <x:c r="AE15" s="71" t="str">
        <x:v>2025年实际执行.xlsx</x:v>
      </x:c>
      <x:c r="AF15" s="71" t="str">
        <x:v>Sheet</x:v>
      </x:c>
      <x:c r="AG15" s="71" t="n">
        <x:v>15</x:v>
      </x:c>
      <x:c r="AH15" s="71" t="str">
        <x:v>2025年实际执行.xlsx/Sheet!15:15</x:v>
      </x:c>
      <x:c r="AI15" s="62" t="str">
        <x:f>IF(F15=MONTH(L15),"OK","FAIL")</x:f>
        <x:v>OK</x:v>
      </x:c>
      <x:c r="AJ15" s="62" t="str">
        <x:f>IF(J15&lt;=L15,"OK","FAIL")</x:f>
        <x:v>OK</x:v>
      </x:c>
      <x:c r="AK15" s="62" t="str">
        <x:f>IF(D15&lt;&gt;"营业收入","OK",IF(AND(P15&lt;0,Q15&gt;0),"OK","FAIL"))</x:f>
        <x:v>OK</x:v>
      </x:c>
      <x:c r="AL15" s="62" t="str">
        <x:f>IF(COUNTIF($A$2:$A$218,A15)=1,"OK","FAIL")</x:f>
        <x:v>OK</x:v>
      </x:c>
    </x:row>
    <x:row r="16" ht="23" customHeight="1">
      <x:c r="A16" s="62" t="str">
        <x:v>DEMO01|2025|DOC2014|10</x:v>
      </x:c>
      <x:c r="B16" s="62" t="str">
        <x:v>CORRECTED</x:v>
      </x:c>
      <x:c r="C16" s="62" t="str">
        <x:v>交通运输费</x:v>
      </x:c>
      <x:c r="D16" s="62" t="str">
        <x:v>交通运输费</x:v>
      </x:c>
      <x:c r="E16" s="62" t="n">
        <x:v>8</x:v>
      </x:c>
      <x:c r="F16" s="62" t="n">
        <x:v>8</x:v>
      </x:c>
      <x:c r="G16" s="62" t="str">
        <x:v>DOC2014</x:v>
      </x:c>
      <x:c r="H16" s="62" t="n">
        <x:v>10</x:v>
      </x:c>
      <x:c r="I16" s="74" t="n">
        <x:v>45884</x:v>
      </x:c>
      <x:c r="J16" s="74" t="n">
        <x:v>45884</x:v>
      </x:c>
      <x:c r="K16" s="74" t="n">
        <x:v>45884</x:v>
      </x:c>
      <x:c r="L16" s="74" t="n">
        <x:v>45884</x:v>
      </x:c>
      <x:c r="M16" s="77" t="n">
        <x:v>3.7435</x:v>
      </x:c>
      <x:c r="N16" s="77"/>
      <x:c r="O16" s="78"/>
      <x:c r="P16" s="79" t="n">
        <x:f>M16</x:f>
        <x:v>3.7435</x:v>
      </x:c>
      <x:c r="Q16" s="79" t="n">
        <x:f>IF(D16="营业收入",-P16,P16)</x:f>
        <x:v>3.7435</x:v>
      </x:c>
      <x:c r="R16" s="62" t="str">
        <x:v>CNY</x:v>
      </x:c>
      <x:c r="S16" s="62" t="str">
        <x:v>万元</x:v>
      </x:c>
      <x:c r="T16" s="62" t="str">
        <x:v>费用不含税</x:v>
      </x:c>
      <x:c r="U16" s="62" t="str">
        <x:v>设备管理部</x:v>
      </x:c>
      <x:c r="V16" s="62" t="str">
        <x:v>设备维护材料运输</x:v>
      </x:c>
      <x:c r="W16" s="62" t="str">
        <x:v>设备维护材料运输</x:v>
      </x:c>
      <x:c r="X16" s="62" t="str">
        <x:v>北京核工院</x:v>
      </x:c>
      <x:c r="Y16" s="62" t="str">
        <x:v>北京核工院</x:v>
      </x:c>
      <x:c r="Z16" s="62" t="str">
        <x:v>17</x:v>
      </x:c>
      <x:c r="AA16" s="62" t="str">
        <x:v>设备维护</x:v>
      </x:c>
      <x:c r="AB16" s="62" t="str">
        <x:v>PRJ-SB-设备-2025-002</x:v>
      </x:c>
      <x:c r="AC16" s="74" t="n">
        <x:v>46022</x:v>
      </x:c>
      <x:c r="AD16" s="71" t="str">
        <x:v>补凭证行号</x:v>
      </x:c>
      <x:c r="AE16" s="71" t="str">
        <x:v>2025年实际执行.xlsx</x:v>
      </x:c>
      <x:c r="AF16" s="71" t="str">
        <x:v>Sheet</x:v>
      </x:c>
      <x:c r="AG16" s="71" t="n">
        <x:v>16</x:v>
      </x:c>
      <x:c r="AH16" s="71" t="str">
        <x:v>2025年实际执行.xlsx/Sheet!16:16</x:v>
      </x:c>
      <x:c r="AI16" s="62" t="str">
        <x:f>IF(F16=MONTH(L16),"OK","FAIL")</x:f>
        <x:v>OK</x:v>
      </x:c>
      <x:c r="AJ16" s="62" t="str">
        <x:f>IF(J16&lt;=L16,"OK","FAIL")</x:f>
        <x:v>OK</x:v>
      </x:c>
      <x:c r="AK16" s="62" t="str">
        <x:f>IF(D16&lt;&gt;"营业收入","OK",IF(AND(P16&lt;0,Q16&gt;0),"OK","FAIL"))</x:f>
        <x:v>OK</x:v>
      </x:c>
      <x:c r="AL16" s="62" t="str">
        <x:f>IF(COUNTIF($A$2:$A$218,A16)=1,"OK","FAIL")</x:f>
        <x:v>OK</x:v>
      </x:c>
    </x:row>
    <x:row r="17" ht="23" customHeight="1">
      <x:c r="A17" s="62" t="str">
        <x:v>DEMO01|2025|DOC2015|10</x:v>
      </x:c>
      <x:c r="B17" s="62" t="str">
        <x:v>SOURCE</x:v>
      </x:c>
      <x:c r="C17" s="62" t="str">
        <x:v>人工成本</x:v>
      </x:c>
      <x:c r="D17" s="62" t="str">
        <x:v>人工成本</x:v>
      </x:c>
      <x:c r="E17" s="62" t="n">
        <x:v>6</x:v>
      </x:c>
      <x:c r="F17" s="62" t="n">
        <x:v>6</x:v>
      </x:c>
      <x:c r="G17" s="62" t="str">
        <x:v>DOC2015</x:v>
      </x:c>
      <x:c r="H17" s="62" t="n">
        <x:v>10</x:v>
      </x:c>
      <x:c r="I17" s="74" t="n">
        <x:v>45838</x:v>
      </x:c>
      <x:c r="J17" s="74" t="n">
        <x:v>45838</x:v>
      </x:c>
      <x:c r="K17" s="74" t="n">
        <x:v>45838</x:v>
      </x:c>
      <x:c r="L17" s="74" t="n">
        <x:v>45838</x:v>
      </x:c>
      <x:c r="M17" s="77" t="n">
        <x:v>25</x:v>
      </x:c>
      <x:c r="N17" s="77"/>
      <x:c r="O17" s="78"/>
      <x:c r="P17" s="79" t="n">
        <x:f>M17</x:f>
        <x:v>25</x:v>
      </x:c>
      <x:c r="Q17" s="79" t="n">
        <x:f>IF(D17="营业收入",-P17,P17)</x:f>
        <x:v>25</x:v>
      </x:c>
      <x:c r="R17" s="62" t="str">
        <x:v>CNY</x:v>
      </x:c>
      <x:c r="S17" s="62" t="str">
        <x:v>万元</x:v>
      </x:c>
      <x:c r="T17" s="62" t="str">
        <x:v>费用不含税</x:v>
      </x:c>
      <x:c r="U17" s="62" t="str">
        <x:v>设备管理部</x:v>
      </x:c>
      <x:c r="V17" s="62" t="str">
        <x:v>设备维护人工成本分摊</x:v>
      </x:c>
      <x:c r="W17" s="62" t="str">
        <x:v>设备维护人工成本分摊</x:v>
      </x:c>
      <x:c r="X17" s="62" t="str">
        <x:v>17</x:v>
      </x:c>
      <x:c r="Y17" s="62" t="str">
        <x:v>17</x:v>
      </x:c>
      <x:c r="Z17" s="62" t="str">
        <x:v>17</x:v>
      </x:c>
      <x:c r="AA17" s="62" t="str">
        <x:v>设备维护</x:v>
      </x:c>
      <x:c r="AB17" s="62" t="str">
        <x:v>PRJ-SB-设备-2025-002</x:v>
      </x:c>
      <x:c r="AC17" s="74" t="n">
        <x:v>46022</x:v>
      </x:c>
      <x:c r="AD17" s="71" t="str">
        <x:v>源记录保留</x:v>
      </x:c>
      <x:c r="AE17" s="71" t="str">
        <x:v>2025年实际执行.xlsx</x:v>
      </x:c>
      <x:c r="AF17" s="71" t="str">
        <x:v>Sheet</x:v>
      </x:c>
      <x:c r="AG17" s="71" t="n">
        <x:v>17</x:v>
      </x:c>
      <x:c r="AH17" s="71" t="str">
        <x:v>2025年实际执行.xlsx/Sheet!17:17</x:v>
      </x:c>
      <x:c r="AI17" s="62" t="str">
        <x:f>IF(F17=MONTH(L17),"OK","FAIL")</x:f>
        <x:v>OK</x:v>
      </x:c>
      <x:c r="AJ17" s="62" t="str">
        <x:f>IF(J17&lt;=L17,"OK","FAIL")</x:f>
        <x:v>OK</x:v>
      </x:c>
      <x:c r="AK17" s="62" t="str">
        <x:f>IF(D17&lt;&gt;"营业收入","OK",IF(AND(P17&lt;0,Q17&gt;0),"OK","FAIL"))</x:f>
        <x:v>OK</x:v>
      </x:c>
      <x:c r="AL17" s="62" t="str">
        <x:f>IF(COUNTIF($A$2:$A$218,A17)=1,"OK","FAIL")</x:f>
        <x:v>OK</x:v>
      </x:c>
    </x:row>
    <x:row r="18" ht="23" customHeight="1">
      <x:c r="A18" s="62" t="str">
        <x:v>DEMO01|2025|DOC2016|10</x:v>
      </x:c>
      <x:c r="B18" s="62" t="str">
        <x:v>SOURCE</x:v>
      </x:c>
      <x:c r="C18" s="62" t="str">
        <x:v>折旧摊销</x:v>
      </x:c>
      <x:c r="D18" s="62" t="str">
        <x:v>折旧摊销</x:v>
      </x:c>
      <x:c r="E18" s="62" t="n">
        <x:v>12</x:v>
      </x:c>
      <x:c r="F18" s="62" t="n">
        <x:v>12</x:v>
      </x:c>
      <x:c r="G18" s="62" t="str">
        <x:v>DOC2016</x:v>
      </x:c>
      <x:c r="H18" s="62" t="n">
        <x:v>10</x:v>
      </x:c>
      <x:c r="I18" s="74" t="n">
        <x:v>46022</x:v>
      </x:c>
      <x:c r="J18" s="74" t="n">
        <x:v>46022</x:v>
      </x:c>
      <x:c r="K18" s="74" t="n">
        <x:v>46022</x:v>
      </x:c>
      <x:c r="L18" s="74" t="n">
        <x:v>46022</x:v>
      </x:c>
      <x:c r="M18" s="77" t="n">
        <x:v>7</x:v>
      </x:c>
      <x:c r="N18" s="77"/>
      <x:c r="O18" s="78"/>
      <x:c r="P18" s="79" t="n">
        <x:f>M18</x:f>
        <x:v>7</x:v>
      </x:c>
      <x:c r="Q18" s="79" t="n">
        <x:f>IF(D18="营业收入",-P18,P18)</x:f>
        <x:v>7</x:v>
      </x:c>
      <x:c r="R18" s="62" t="str">
        <x:v>CNY</x:v>
      </x:c>
      <x:c r="S18" s="62" t="str">
        <x:v>万元</x:v>
      </x:c>
      <x:c r="T18" s="62" t="str">
        <x:v>费用不含税</x:v>
      </x:c>
      <x:c r="U18" s="62" t="str">
        <x:v>设备管理部</x:v>
      </x:c>
      <x:c r="V18" s="62" t="str">
        <x:v>设备维护折旧摊销分摊</x:v>
      </x:c>
      <x:c r="W18" s="62" t="str">
        <x:v>设备维护折旧摊销分摊</x:v>
      </x:c>
      <x:c r="X18" s="62" t="str">
        <x:v>17</x:v>
      </x:c>
      <x:c r="Y18" s="62" t="str">
        <x:v>17</x:v>
      </x:c>
      <x:c r="Z18" s="62" t="str">
        <x:v>17</x:v>
      </x:c>
      <x:c r="AA18" s="62" t="str">
        <x:v>设备维护</x:v>
      </x:c>
      <x:c r="AB18" s="62" t="str">
        <x:v>PRJ-SB-设备-2025-002</x:v>
      </x:c>
      <x:c r="AC18" s="74" t="n">
        <x:v>46022</x:v>
      </x:c>
      <x:c r="AD18" s="71" t="str">
        <x:v>源记录保留</x:v>
      </x:c>
      <x:c r="AE18" s="71" t="str">
        <x:v>2025年实际执行.xlsx</x:v>
      </x:c>
      <x:c r="AF18" s="71" t="str">
        <x:v>Sheet</x:v>
      </x:c>
      <x:c r="AG18" s="71" t="n">
        <x:v>18</x:v>
      </x:c>
      <x:c r="AH18" s="71" t="str">
        <x:v>2025年实际执行.xlsx/Sheet!18:18</x:v>
      </x:c>
      <x:c r="AI18" s="62" t="str">
        <x:f>IF(F18=MONTH(L18),"OK","FAIL")</x:f>
        <x:v>OK</x:v>
      </x:c>
      <x:c r="AJ18" s="62" t="str">
        <x:f>IF(J18&lt;=L18,"OK","FAIL")</x:f>
        <x:v>OK</x:v>
      </x:c>
      <x:c r="AK18" s="62" t="str">
        <x:f>IF(D18&lt;&gt;"营业收入","OK",IF(AND(P18&lt;0,Q18&gt;0),"OK","FAIL"))</x:f>
        <x:v>OK</x:v>
      </x:c>
      <x:c r="AL18" s="62" t="str">
        <x:f>IF(COUNTIF($A$2:$A$218,A18)=1,"OK","FAIL")</x:f>
        <x:v>OK</x:v>
      </x:c>
    </x:row>
    <x:row r="19" ht="23" customHeight="1">
      <x:c r="A19" s="62" t="str">
        <x:v>DEMO01|2025|DOC2017|10</x:v>
      </x:c>
      <x:c r="B19" s="62" t="str">
        <x:v>CORRECTED</x:v>
      </x:c>
      <x:c r="C19" s="62" t="str">
        <x:v>业务支持费</x:v>
      </x:c>
      <x:c r="D19" s="62" t="str">
        <x:v>业务支持费-其他</x:v>
      </x:c>
      <x:c r="E19" s="62" t="n">
        <x:v>6</x:v>
      </x:c>
      <x:c r="F19" s="62" t="n">
        <x:v>4</x:v>
      </x:c>
      <x:c r="G19" s="62" t="str">
        <x:v>DOC2017</x:v>
      </x:c>
      <x:c r="H19" s="62" t="n">
        <x:v>10</x:v>
      </x:c>
      <x:c r="I19" s="74" t="n">
        <x:v>45828</x:v>
      </x:c>
      <x:c r="J19" s="74" t="n">
        <x:v>45767</x:v>
      </x:c>
      <x:c r="K19" s="74" t="n">
        <x:v>45767</x:v>
      </x:c>
      <x:c r="L19" s="74" t="n">
        <x:v>45767</x:v>
      </x:c>
      <x:c r="M19" s="77" t="n">
        <x:v>21</x:v>
      </x:c>
      <x:c r="N19" s="77"/>
      <x:c r="O19" s="78"/>
      <x:c r="P19" s="79" t="n">
        <x:f>M19</x:f>
        <x:v>21</x:v>
      </x:c>
      <x:c r="Q19" s="79" t="n">
        <x:f>IF(D19="营业收入",-P19,P19)</x:f>
        <x:v>21</x:v>
      </x:c>
      <x:c r="R19" s="62" t="str">
        <x:v>CNY</x:v>
      </x:c>
      <x:c r="S19" s="62" t="str">
        <x:v>万元</x:v>
      </x:c>
      <x:c r="T19" s="62" t="str">
        <x:v>费用不含税</x:v>
      </x:c>
      <x:c r="U19" s="62" t="str">
        <x:v>设备管理部</x:v>
      </x:c>
      <x:c r="V19" s="62" t="str">
        <x:v>确认设备维护_实际成本</x:v>
      </x:c>
      <x:c r="W19" s="62" t="str">
        <x:v>确认设备维护_实际成本</x:v>
      </x:c>
      <x:c r="X19" s="62" t="str">
        <x:v>北京核工院</x:v>
      </x:c>
      <x:c r="Y19" s="62" t="str">
        <x:v>北京核工院</x:v>
      </x:c>
      <x:c r="Z19" s="62" t="str">
        <x:v>17</x:v>
      </x:c>
      <x:c r="AA19" s="62" t="str">
        <x:v>设备维护</x:v>
      </x:c>
      <x:c r="AB19" s="62" t="str">
        <x:v>PRJ-SB-设备-2025-002</x:v>
      </x:c>
      <x:c r="AC19" s="74" t="n">
        <x:v>46022</x:v>
      </x:c>
      <x:c r="AD19" s="71" t="str">
        <x:v>期间改为过账月；凭证日期改为过账日</x:v>
      </x:c>
      <x:c r="AE19" s="71" t="str">
        <x:v>2025年实际执行.xlsx</x:v>
      </x:c>
      <x:c r="AF19" s="71" t="str">
        <x:v>Sheet</x:v>
      </x:c>
      <x:c r="AG19" s="71" t="n">
        <x:v>19</x:v>
      </x:c>
      <x:c r="AH19" s="71" t="str">
        <x:v>2025年实际执行.xlsx/Sheet!19:19</x:v>
      </x:c>
      <x:c r="AI19" s="62" t="str">
        <x:f>IF(F19=MONTH(L19),"OK","FAIL")</x:f>
        <x:v>OK</x:v>
      </x:c>
      <x:c r="AJ19" s="62" t="str">
        <x:f>IF(J19&lt;=L19,"OK","FAIL")</x:f>
        <x:v>OK</x:v>
      </x:c>
      <x:c r="AK19" s="62" t="str">
        <x:f>IF(D19&lt;&gt;"营业收入","OK",IF(AND(P19&lt;0,Q19&gt;0),"OK","FAIL"))</x:f>
        <x:v>OK</x:v>
      </x:c>
      <x:c r="AL19" s="62" t="str">
        <x:f>IF(COUNTIF($A$2:$A$218,A19)=1,"OK","FAIL")</x:f>
        <x:v>OK</x:v>
      </x:c>
    </x:row>
    <x:row r="20" ht="23" customHeight="1">
      <x:c r="A20" s="62" t="str">
        <x:v>DEMO01|2025|DOC2018|10</x:v>
      </x:c>
      <x:c r="B20" s="62" t="str">
        <x:v>SOURCE</x:v>
      </x:c>
      <x:c r="C20" s="62" t="str">
        <x:v>营业收入</x:v>
      </x:c>
      <x:c r="D20" s="62" t="str">
        <x:v>营业收入</x:v>
      </x:c>
      <x:c r="E20" s="62" t="n">
        <x:v>6</x:v>
      </x:c>
      <x:c r="F20" s="62" t="n">
        <x:v>6</x:v>
      </x:c>
      <x:c r="G20" s="62" t="str">
        <x:v>DOC2018</x:v>
      </x:c>
      <x:c r="H20" s="62" t="n">
        <x:v>10</x:v>
      </x:c>
      <x:c r="I20" s="74" t="n">
        <x:v>45823</x:v>
      </x:c>
      <x:c r="J20" s="74" t="n">
        <x:v>45823</x:v>
      </x:c>
      <x:c r="K20" s="74" t="n">
        <x:v>45823</x:v>
      </x:c>
      <x:c r="L20" s="74" t="n">
        <x:v>45823</x:v>
      </x:c>
      <x:c r="M20" s="77" t="n">
        <x:v>-163.5833355</x:v>
      </x:c>
      <x:c r="N20" s="77"/>
      <x:c r="O20" s="78"/>
      <x:c r="P20" s="79" t="n">
        <x:f>M20</x:f>
        <x:v>-163.5833355</x:v>
      </x:c>
      <x:c r="Q20" s="79" t="n">
        <x:f>IF(D20="营业收入",-P20,P20)</x:f>
        <x:v>163.5833355</x:v>
      </x:c>
      <x:c r="R20" s="62" t="str">
        <x:v>CNY</x:v>
      </x:c>
      <x:c r="S20" s="62" t="str">
        <x:v>万元</x:v>
      </x:c>
      <x:c r="T20" s="62" t="str">
        <x:v>收益；源负号</x:v>
      </x:c>
      <x:c r="U20" s="62" t="str">
        <x:v>设备管理部</x:v>
      </x:c>
      <x:c r="V20" s="62" t="str">
        <x:v>设备维护收入确认</x:v>
      </x:c>
      <x:c r="W20" s="62" t="str">
        <x:v>设备维护收入确认</x:v>
      </x:c>
      <x:c r="X20" s="62" t="str">
        <x:v>17</x:v>
      </x:c>
      <x:c r="Y20" s="62" t="str">
        <x:v>17</x:v>
      </x:c>
      <x:c r="Z20" s="62" t="str">
        <x:v>17</x:v>
      </x:c>
      <x:c r="AA20" s="62" t="str">
        <x:v>设备维护</x:v>
      </x:c>
      <x:c r="AB20" s="62" t="str">
        <x:v>PRJ-SB-设备-2025-003</x:v>
      </x:c>
      <x:c r="AC20" s="74" t="n">
        <x:v>46022</x:v>
      </x:c>
      <x:c r="AD20" s="71" t="str">
        <x:v>源记录保留</x:v>
      </x:c>
      <x:c r="AE20" s="71" t="str">
        <x:v>2025年实际执行.xlsx</x:v>
      </x:c>
      <x:c r="AF20" s="71" t="str">
        <x:v>Sheet</x:v>
      </x:c>
      <x:c r="AG20" s="71" t="n">
        <x:v>20</x:v>
      </x:c>
      <x:c r="AH20" s="71" t="str">
        <x:v>2025年实际执行.xlsx/Sheet!20:20</x:v>
      </x:c>
      <x:c r="AI20" s="62" t="str">
        <x:f>IF(F20=MONTH(L20),"OK","FAIL")</x:f>
        <x:v>OK</x:v>
      </x:c>
      <x:c r="AJ20" s="62" t="str">
        <x:f>IF(J20&lt;=L20,"OK","FAIL")</x:f>
        <x:v>OK</x:v>
      </x:c>
      <x:c r="AK20" s="62" t="str">
        <x:f>IF(D20&lt;&gt;"营业收入","OK",IF(AND(P20&lt;0,Q20&gt;0),"OK","FAIL"))</x:f>
        <x:v>OK</x:v>
      </x:c>
      <x:c r="AL20" s="62" t="str">
        <x:f>IF(COUNTIF($A$2:$A$218,A20)=1,"OK","FAIL")</x:f>
        <x:v>OK</x:v>
      </x:c>
    </x:row>
    <x:row r="21" ht="23" customHeight="1">
      <x:c r="A21" s="62" t="str">
        <x:v>DEMO01|2025|DOC2019|10</x:v>
      </x:c>
      <x:c r="B21" s="62" t="str">
        <x:v>SOURCE</x:v>
      </x:c>
      <x:c r="C21" s="62" t="str">
        <x:v>会议费</x:v>
      </x:c>
      <x:c r="D21" s="62" t="str">
        <x:v>会议费</x:v>
      </x:c>
      <x:c r="E21" s="62" t="n">
        <x:v>3</x:v>
      </x:c>
      <x:c r="F21" s="62" t="n">
        <x:v>3</x:v>
      </x:c>
      <x:c r="G21" s="62" t="str">
        <x:v>DOC2019</x:v>
      </x:c>
      <x:c r="H21" s="62" t="n">
        <x:v>10</x:v>
      </x:c>
      <x:c r="I21" s="74" t="n">
        <x:v>45731</x:v>
      </x:c>
      <x:c r="J21" s="74" t="n">
        <x:v>45731</x:v>
      </x:c>
      <x:c r="K21" s="74" t="n">
        <x:v>45731</x:v>
      </x:c>
      <x:c r="L21" s="74" t="n">
        <x:v>45731</x:v>
      </x:c>
      <x:c r="M21" s="77" t="n">
        <x:v>3</x:v>
      </x:c>
      <x:c r="N21" s="77"/>
      <x:c r="O21" s="78"/>
      <x:c r="P21" s="79" t="n">
        <x:f>M21</x:f>
        <x:v>3</x:v>
      </x:c>
      <x:c r="Q21" s="79" t="n">
        <x:f>IF(D21="营业收入",-P21,P21)</x:f>
        <x:v>3</x:v>
      </x:c>
      <x:c r="R21" s="62" t="str">
        <x:v>CNY</x:v>
      </x:c>
      <x:c r="S21" s="62" t="str">
        <x:v>万元</x:v>
      </x:c>
      <x:c r="T21" s="62" t="str">
        <x:v>费用不含税</x:v>
      </x:c>
      <x:c r="U21" s="62" t="str">
        <x:v>设备管理部</x:v>
      </x:c>
      <x:c r="V21" s="62" t="str">
        <x:v>设备维护项目阶段评审会</x:v>
      </x:c>
      <x:c r="W21" s="62" t="str">
        <x:v>设备维护项目阶段评审会</x:v>
      </x:c>
      <x:c r="X21" s="62" t="str">
        <x:v>上海电气</x:v>
      </x:c>
      <x:c r="Y21" s="62" t="str">
        <x:v>上海电气</x:v>
      </x:c>
      <x:c r="Z21" s="62" t="str">
        <x:v>17</x:v>
      </x:c>
      <x:c r="AA21" s="62" t="str">
        <x:v>设备维护</x:v>
      </x:c>
      <x:c r="AB21" s="62" t="str">
        <x:v>PRJ-SB-设备-2025-003</x:v>
      </x:c>
      <x:c r="AC21" s="74" t="n">
        <x:v>46022</x:v>
      </x:c>
      <x:c r="AD21" s="71" t="str">
        <x:v>源记录保留</x:v>
      </x:c>
      <x:c r="AE21" s="71" t="str">
        <x:v>2025年实际执行.xlsx</x:v>
      </x:c>
      <x:c r="AF21" s="71" t="str">
        <x:v>Sheet</x:v>
      </x:c>
      <x:c r="AG21" s="71" t="n">
        <x:v>21</x:v>
      </x:c>
      <x:c r="AH21" s="71" t="str">
        <x:v>2025年实际执行.xlsx/Sheet!21:21</x:v>
      </x:c>
      <x:c r="AI21" s="62" t="str">
        <x:f>IF(F21=MONTH(L21),"OK","FAIL")</x:f>
        <x:v>OK</x:v>
      </x:c>
      <x:c r="AJ21" s="62" t="str">
        <x:f>IF(J21&lt;=L21,"OK","FAIL")</x:f>
        <x:v>OK</x:v>
      </x:c>
      <x:c r="AK21" s="62" t="str">
        <x:f>IF(D21&lt;&gt;"营业收入","OK",IF(AND(P21&lt;0,Q21&gt;0),"OK","FAIL"))</x:f>
        <x:v>OK</x:v>
      </x:c>
      <x:c r="AL21" s="62" t="str">
        <x:f>IF(COUNTIF($A$2:$A$218,A21)=1,"OK","FAIL")</x:f>
        <x:v>OK</x:v>
      </x:c>
    </x:row>
    <x:row r="22" ht="23" customHeight="1">
      <x:c r="A22" s="62" t="str">
        <x:v>DEMO01|2025|DOC2020|10</x:v>
      </x:c>
      <x:c r="B22" s="62" t="str">
        <x:v>SOURCE</x:v>
      </x:c>
      <x:c r="C22" s="62" t="str">
        <x:v>业务支持费</x:v>
      </x:c>
      <x:c r="D22" s="62" t="str">
        <x:v>业务支持费-技术配置</x:v>
      </x:c>
      <x:c r="E22" s="62" t="n">
        <x:v>4</x:v>
      </x:c>
      <x:c r="F22" s="62" t="n">
        <x:v>4</x:v>
      </x:c>
      <x:c r="G22" s="62" t="str">
        <x:v>DOC2020</x:v>
      </x:c>
      <x:c r="H22" s="62" t="n">
        <x:v>10</x:v>
      </x:c>
      <x:c r="I22" s="74" t="n">
        <x:v>45762</x:v>
      </x:c>
      <x:c r="J22" s="74" t="n">
        <x:v>45762</x:v>
      </x:c>
      <x:c r="K22" s="74" t="n">
        <x:v>45762</x:v>
      </x:c>
      <x:c r="L22" s="74" t="n">
        <x:v>45762</x:v>
      </x:c>
      <x:c r="M22" s="77" t="n">
        <x:v>29.356</x:v>
      </x:c>
      <x:c r="N22" s="77"/>
      <x:c r="O22" s="78"/>
      <x:c r="P22" s="79" t="n">
        <x:f>M22</x:f>
        <x:v>29.356</x:v>
      </x:c>
      <x:c r="Q22" s="79" t="n">
        <x:f>IF(D22="营业收入",-P22,P22)</x:f>
        <x:v>29.356</x:v>
      </x:c>
      <x:c r="R22" s="62" t="str">
        <x:v>CNY</x:v>
      </x:c>
      <x:c r="S22" s="62" t="str">
        <x:v>万元</x:v>
      </x:c>
      <x:c r="T22" s="62" t="str">
        <x:v>费用不含税</x:v>
      </x:c>
      <x:c r="U22" s="62" t="str">
        <x:v>设备管理部</x:v>
      </x:c>
      <x:c r="V22" s="62" t="str">
        <x:v>设备维护技术配置_实施阶段</x:v>
      </x:c>
      <x:c r="W22" s="62" t="str">
        <x:v>设备维护技术配置_实施阶段</x:v>
      </x:c>
      <x:c r="X22" s="62" t="str">
        <x:v>供应商1</x:v>
      </x:c>
      <x:c r="Y22" s="62" t="str">
        <x:v>供应商1</x:v>
      </x:c>
      <x:c r="Z22" s="62" t="str">
        <x:v>17</x:v>
      </x:c>
      <x:c r="AA22" s="62" t="str">
        <x:v>设备维护</x:v>
      </x:c>
      <x:c r="AB22" s="62" t="str">
        <x:v>PRJ-SB-设备-2025-003</x:v>
      </x:c>
      <x:c r="AC22" s="74" t="n">
        <x:v>46022</x:v>
      </x:c>
      <x:c r="AD22" s="71" t="str">
        <x:v>源记录保留</x:v>
      </x:c>
      <x:c r="AE22" s="71" t="str">
        <x:v>2025年实际执行.xlsx</x:v>
      </x:c>
      <x:c r="AF22" s="71" t="str">
        <x:v>Sheet</x:v>
      </x:c>
      <x:c r="AG22" s="71" t="n">
        <x:v>22</x:v>
      </x:c>
      <x:c r="AH22" s="71" t="str">
        <x:v>2025年实际执行.xlsx/Sheet!22:22</x:v>
      </x:c>
      <x:c r="AI22" s="62" t="str">
        <x:f>IF(F22=MONTH(L22),"OK","FAIL")</x:f>
        <x:v>OK</x:v>
      </x:c>
      <x:c r="AJ22" s="62" t="str">
        <x:f>IF(J22&lt;=L22,"OK","FAIL")</x:f>
        <x:v>OK</x:v>
      </x:c>
      <x:c r="AK22" s="62" t="str">
        <x:f>IF(D22&lt;&gt;"营业收入","OK",IF(AND(P22&lt;0,Q22&gt;0),"OK","FAIL"))</x:f>
        <x:v>OK</x:v>
      </x:c>
      <x:c r="AL22" s="62" t="str">
        <x:f>IF(COUNTIF($A$2:$A$218,A22)=1,"OK","FAIL")</x:f>
        <x:v>OK</x:v>
      </x:c>
    </x:row>
    <x:row r="23" ht="23" customHeight="1">
      <x:c r="A23" s="62" t="str">
        <x:v>DEMO01|2025|DOC2021|10</x:v>
      </x:c>
      <x:c r="B23" s="62" t="str">
        <x:v>SOURCE</x:v>
      </x:c>
      <x:c r="C23" s="62" t="str">
        <x:v>生产物料费</x:v>
      </x:c>
      <x:c r="D23" s="62" t="str">
        <x:v>生产物料费</x:v>
      </x:c>
      <x:c r="E23" s="62" t="n">
        <x:v>12</x:v>
      </x:c>
      <x:c r="F23" s="62" t="n">
        <x:v>12</x:v>
      </x:c>
      <x:c r="G23" s="62" t="str">
        <x:v>DOC2021</x:v>
      </x:c>
      <x:c r="H23" s="62" t="n">
        <x:v>10</x:v>
      </x:c>
      <x:c r="I23" s="74" t="n">
        <x:v>46006</x:v>
      </x:c>
      <x:c r="J23" s="74" t="n">
        <x:v>46006</x:v>
      </x:c>
      <x:c r="K23" s="74" t="n">
        <x:v>46006</x:v>
      </x:c>
      <x:c r="L23" s="74" t="n">
        <x:v>46006</x:v>
      </x:c>
      <x:c r="M23" s="77" t="n">
        <x:v>11.0085</x:v>
      </x:c>
      <x:c r="N23" s="77"/>
      <x:c r="O23" s="78"/>
      <x:c r="P23" s="79" t="n">
        <x:f>M23</x:f>
        <x:v>11.0085</x:v>
      </x:c>
      <x:c r="Q23" s="79" t="n">
        <x:f>IF(D23="营业收入",-P23,P23)</x:f>
        <x:v>11.0085</x:v>
      </x:c>
      <x:c r="R23" s="62" t="str">
        <x:v>CNY</x:v>
      </x:c>
      <x:c r="S23" s="62" t="str">
        <x:v>万元</x:v>
      </x:c>
      <x:c r="T23" s="62" t="str">
        <x:v>费用不含税</x:v>
      </x:c>
      <x:c r="U23" s="62" t="str">
        <x:v>设备管理部</x:v>
      </x:c>
      <x:c r="V23" s="62" t="str">
        <x:v>设备维护现场物料采购</x:v>
      </x:c>
      <x:c r="W23" s="62" t="str">
        <x:v>设备维护现场物料采购</x:v>
      </x:c>
      <x:c r="X23" s="62" t="str">
        <x:v>上海电气</x:v>
      </x:c>
      <x:c r="Y23" s="62" t="str">
        <x:v>上海电气</x:v>
      </x:c>
      <x:c r="Z23" s="62" t="str">
        <x:v>17</x:v>
      </x:c>
      <x:c r="AA23" s="62" t="str">
        <x:v>设备维护</x:v>
      </x:c>
      <x:c r="AB23" s="62" t="str">
        <x:v>PRJ-SB-设备-2025-003</x:v>
      </x:c>
      <x:c r="AC23" s="74" t="n">
        <x:v>46022</x:v>
      </x:c>
      <x:c r="AD23" s="71" t="str">
        <x:v>源记录保留</x:v>
      </x:c>
      <x:c r="AE23" s="71" t="str">
        <x:v>2025年实际执行.xlsx</x:v>
      </x:c>
      <x:c r="AF23" s="71" t="str">
        <x:v>Sheet</x:v>
      </x:c>
      <x:c r="AG23" s="71" t="n">
        <x:v>23</x:v>
      </x:c>
      <x:c r="AH23" s="71" t="str">
        <x:v>2025年实际执行.xlsx/Sheet!23:23</x:v>
      </x:c>
      <x:c r="AI23" s="62" t="str">
        <x:f>IF(F23=MONTH(L23),"OK","FAIL")</x:f>
        <x:v>OK</x:v>
      </x:c>
      <x:c r="AJ23" s="62" t="str">
        <x:f>IF(J23&lt;=L23,"OK","FAIL")</x:f>
        <x:v>OK</x:v>
      </x:c>
      <x:c r="AK23" s="62" t="str">
        <x:f>IF(D23&lt;&gt;"营业收入","OK",IF(AND(P23&lt;0,Q23&gt;0),"OK","FAIL"))</x:f>
        <x:v>OK</x:v>
      </x:c>
      <x:c r="AL23" s="62" t="str">
        <x:f>IF(COUNTIF($A$2:$A$218,A23)=1,"OK","FAIL")</x:f>
        <x:v>OK</x:v>
      </x:c>
    </x:row>
    <x:row r="24" ht="23" customHeight="1">
      <x:c r="A24" s="62" t="str">
        <x:v>DEMO01|2025|DOC2022|10</x:v>
      </x:c>
      <x:c r="B24" s="62" t="str">
        <x:v>SOURCE</x:v>
      </x:c>
      <x:c r="C24" s="62" t="str">
        <x:v>办公费</x:v>
      </x:c>
      <x:c r="D24" s="62" t="str">
        <x:v>办公费</x:v>
      </x:c>
      <x:c r="E24" s="62" t="n">
        <x:v>9</x:v>
      </x:c>
      <x:c r="F24" s="62" t="n">
        <x:v>9</x:v>
      </x:c>
      <x:c r="G24" s="62" t="str">
        <x:v>DOC2022</x:v>
      </x:c>
      <x:c r="H24" s="62" t="n">
        <x:v>10</x:v>
      </x:c>
      <x:c r="I24" s="74" t="n">
        <x:v>45915</x:v>
      </x:c>
      <x:c r="J24" s="74" t="n">
        <x:v>45915</x:v>
      </x:c>
      <x:c r="K24" s="74" t="n">
        <x:v>45915</x:v>
      </x:c>
      <x:c r="L24" s="74" t="n">
        <x:v>45915</x:v>
      </x:c>
      <x:c r="M24" s="77" t="n">
        <x:v>2.2017</x:v>
      </x:c>
      <x:c r="N24" s="77"/>
      <x:c r="O24" s="78"/>
      <x:c r="P24" s="79" t="n">
        <x:f>M24</x:f>
        <x:v>2.2017</x:v>
      </x:c>
      <x:c r="Q24" s="79" t="n">
        <x:f>IF(D24="营业收入",-P24,P24)</x:f>
        <x:v>2.2017</x:v>
      </x:c>
      <x:c r="R24" s="62" t="str">
        <x:v>CNY</x:v>
      </x:c>
      <x:c r="S24" s="62" t="str">
        <x:v>万元</x:v>
      </x:c>
      <x:c r="T24" s="62" t="str">
        <x:v>费用不含税</x:v>
      </x:c>
      <x:c r="U24" s="62" t="str">
        <x:v>设备管理部</x:v>
      </x:c>
      <x:c r="V24" s="62" t="str">
        <x:v>设备维护日常办公</x:v>
      </x:c>
      <x:c r="W24" s="62" t="str">
        <x:v>设备维护日常办公</x:v>
      </x:c>
      <x:c r="X24" s="62" t="str">
        <x:v>上海电气</x:v>
      </x:c>
      <x:c r="Y24" s="62" t="str">
        <x:v>上海电气</x:v>
      </x:c>
      <x:c r="Z24" s="62" t="str">
        <x:v>17</x:v>
      </x:c>
      <x:c r="AA24" s="62" t="str">
        <x:v>设备维护</x:v>
      </x:c>
      <x:c r="AB24" s="62" t="str">
        <x:v>PRJ-SB-设备-2025-003</x:v>
      </x:c>
      <x:c r="AC24" s="74" t="n">
        <x:v>46022</x:v>
      </x:c>
      <x:c r="AD24" s="71" t="str">
        <x:v>源记录保留</x:v>
      </x:c>
      <x:c r="AE24" s="71" t="str">
        <x:v>2025年实际执行.xlsx</x:v>
      </x:c>
      <x:c r="AF24" s="71" t="str">
        <x:v>Sheet</x:v>
      </x:c>
      <x:c r="AG24" s="71" t="n">
        <x:v>24</x:v>
      </x:c>
      <x:c r="AH24" s="71" t="str">
        <x:v>2025年实际执行.xlsx/Sheet!24:24</x:v>
      </x:c>
      <x:c r="AI24" s="62" t="str">
        <x:f>IF(F24=MONTH(L24),"OK","FAIL")</x:f>
        <x:v>OK</x:v>
      </x:c>
      <x:c r="AJ24" s="62" t="str">
        <x:f>IF(J24&lt;=L24,"OK","FAIL")</x:f>
        <x:v>OK</x:v>
      </x:c>
      <x:c r="AK24" s="62" t="str">
        <x:f>IF(D24&lt;&gt;"营业收入","OK",IF(AND(P24&lt;0,Q24&gt;0),"OK","FAIL"))</x:f>
        <x:v>OK</x:v>
      </x:c>
      <x:c r="AL24" s="62" t="str">
        <x:f>IF(COUNTIF($A$2:$A$218,A24)=1,"OK","FAIL")</x:f>
        <x:v>OK</x:v>
      </x:c>
    </x:row>
    <x:row r="25" ht="23" customHeight="1">
      <x:c r="A25" s="62" t="str">
        <x:v>DEMO01|2025|DOC2023|10</x:v>
      </x:c>
      <x:c r="B25" s="62" t="str">
        <x:v>CORRECTED</x:v>
      </x:c>
      <x:c r="C25" s="62" t="str">
        <x:v>交通运输费</x:v>
      </x:c>
      <x:c r="D25" s="62" t="str">
        <x:v>交通运输费</x:v>
      </x:c>
      <x:c r="E25" s="62" t="n">
        <x:v>9</x:v>
      </x:c>
      <x:c r="F25" s="62" t="n">
        <x:v>9</x:v>
      </x:c>
      <x:c r="G25" s="62" t="str">
        <x:v>DOC2023</x:v>
      </x:c>
      <x:c r="H25" s="62" t="n">
        <x:v>10</x:v>
      </x:c>
      <x:c r="I25" s="74" t="n">
        <x:v>45915</x:v>
      </x:c>
      <x:c r="J25" s="74" t="n">
        <x:v>45915</x:v>
      </x:c>
      <x:c r="K25" s="74" t="n">
        <x:v>45915</x:v>
      </x:c>
      <x:c r="L25" s="74" t="n">
        <x:v>45915</x:v>
      </x:c>
      <x:c r="M25" s="77" t="n">
        <x:v>3.6695</x:v>
      </x:c>
      <x:c r="N25" s="77"/>
      <x:c r="O25" s="78"/>
      <x:c r="P25" s="79" t="n">
        <x:f>M25</x:f>
        <x:v>3.6695</x:v>
      </x:c>
      <x:c r="Q25" s="79" t="n">
        <x:f>IF(D25="营业收入",-P25,P25)</x:f>
        <x:v>3.6695</x:v>
      </x:c>
      <x:c r="R25" s="62" t="str">
        <x:v>CNY</x:v>
      </x:c>
      <x:c r="S25" s="62" t="str">
        <x:v>万元</x:v>
      </x:c>
      <x:c r="T25" s="62" t="str">
        <x:v>费用不含税</x:v>
      </x:c>
      <x:c r="U25" s="62" t="str">
        <x:v>设备管理部</x:v>
      </x:c>
      <x:c r="V25" s="62" t="str">
        <x:v>设备维护材料运输</x:v>
      </x:c>
      <x:c r="W25" s="62" t="str">
        <x:v>设备维护材料运输</x:v>
      </x:c>
      <x:c r="X25" s="62" t="str">
        <x:v>上海电气</x:v>
      </x:c>
      <x:c r="Y25" s="62" t="str">
        <x:v>上海电气</x:v>
      </x:c>
      <x:c r="Z25" s="62" t="str">
        <x:v>17</x:v>
      </x:c>
      <x:c r="AA25" s="62" t="str">
        <x:v>设备维护</x:v>
      </x:c>
      <x:c r="AB25" s="62" t="str">
        <x:v>PRJ-SB-设备-2025-003</x:v>
      </x:c>
      <x:c r="AC25" s="74" t="n">
        <x:v>46022</x:v>
      </x:c>
      <x:c r="AD25" s="71" t="str">
        <x:v>补凭证行号</x:v>
      </x:c>
      <x:c r="AE25" s="71" t="str">
        <x:v>2025年实际执行.xlsx</x:v>
      </x:c>
      <x:c r="AF25" s="71" t="str">
        <x:v>Sheet</x:v>
      </x:c>
      <x:c r="AG25" s="71" t="n">
        <x:v>25</x:v>
      </x:c>
      <x:c r="AH25" s="71" t="str">
        <x:v>2025年实际执行.xlsx/Sheet!25:25</x:v>
      </x:c>
      <x:c r="AI25" s="62" t="str">
        <x:f>IF(F25=MONTH(L25),"OK","FAIL")</x:f>
        <x:v>OK</x:v>
      </x:c>
      <x:c r="AJ25" s="62" t="str">
        <x:f>IF(J25&lt;=L25,"OK","FAIL")</x:f>
        <x:v>OK</x:v>
      </x:c>
      <x:c r="AK25" s="62" t="str">
        <x:f>IF(D25&lt;&gt;"营业收入","OK",IF(AND(P25&lt;0,Q25&gt;0),"OK","FAIL"))</x:f>
        <x:v>OK</x:v>
      </x:c>
      <x:c r="AL25" s="62" t="str">
        <x:f>IF(COUNTIF($A$2:$A$218,A25)=1,"OK","FAIL")</x:f>
        <x:v>OK</x:v>
      </x:c>
    </x:row>
    <x:row r="26" ht="23" customHeight="1">
      <x:c r="A26" s="62" t="str">
        <x:v>DEMO01|2025|DOC2024|10</x:v>
      </x:c>
      <x:c r="B26" s="62" t="str">
        <x:v>SOURCE</x:v>
      </x:c>
      <x:c r="C26" s="62" t="str">
        <x:v>人工成本</x:v>
      </x:c>
      <x:c r="D26" s="62" t="str">
        <x:v>人工成本</x:v>
      </x:c>
      <x:c r="E26" s="62" t="n">
        <x:v>6</x:v>
      </x:c>
      <x:c r="F26" s="62" t="n">
        <x:v>6</x:v>
      </x:c>
      <x:c r="G26" s="62" t="str">
        <x:v>DOC2024</x:v>
      </x:c>
      <x:c r="H26" s="62" t="n">
        <x:v>10</x:v>
      </x:c>
      <x:c r="I26" s="74" t="n">
        <x:v>45838</x:v>
      </x:c>
      <x:c r="J26" s="74" t="n">
        <x:v>45838</x:v>
      </x:c>
      <x:c r="K26" s="74" t="n">
        <x:v>45838</x:v>
      </x:c>
      <x:c r="L26" s="74" t="n">
        <x:v>45838</x:v>
      </x:c>
      <x:c r="M26" s="77" t="n">
        <x:v>25</x:v>
      </x:c>
      <x:c r="N26" s="77"/>
      <x:c r="O26" s="78"/>
      <x:c r="P26" s="79" t="n">
        <x:f>M26</x:f>
        <x:v>25</x:v>
      </x:c>
      <x:c r="Q26" s="79" t="n">
        <x:f>IF(D26="营业收入",-P26,P26)</x:f>
        <x:v>25</x:v>
      </x:c>
      <x:c r="R26" s="62" t="str">
        <x:v>CNY</x:v>
      </x:c>
      <x:c r="S26" s="62" t="str">
        <x:v>万元</x:v>
      </x:c>
      <x:c r="T26" s="62" t="str">
        <x:v>费用不含税</x:v>
      </x:c>
      <x:c r="U26" s="62" t="str">
        <x:v>设备管理部</x:v>
      </x:c>
      <x:c r="V26" s="62" t="str">
        <x:v>设备维护人工成本分摊</x:v>
      </x:c>
      <x:c r="W26" s="62" t="str">
        <x:v>设备维护人工成本分摊</x:v>
      </x:c>
      <x:c r="X26" s="62" t="str">
        <x:v>17</x:v>
      </x:c>
      <x:c r="Y26" s="62" t="str">
        <x:v>17</x:v>
      </x:c>
      <x:c r="Z26" s="62" t="str">
        <x:v>17</x:v>
      </x:c>
      <x:c r="AA26" s="62" t="str">
        <x:v>设备维护</x:v>
      </x:c>
      <x:c r="AB26" s="62" t="str">
        <x:v>PRJ-SB-设备-2025-003</x:v>
      </x:c>
      <x:c r="AC26" s="74" t="n">
        <x:v>46022</x:v>
      </x:c>
      <x:c r="AD26" s="71" t="str">
        <x:v>源记录保留</x:v>
      </x:c>
      <x:c r="AE26" s="71" t="str">
        <x:v>2025年实际执行.xlsx</x:v>
      </x:c>
      <x:c r="AF26" s="71" t="str">
        <x:v>Sheet</x:v>
      </x:c>
      <x:c r="AG26" s="71" t="n">
        <x:v>26</x:v>
      </x:c>
      <x:c r="AH26" s="71" t="str">
        <x:v>2025年实际执行.xlsx/Sheet!26:26</x:v>
      </x:c>
      <x:c r="AI26" s="62" t="str">
        <x:f>IF(F26=MONTH(L26),"OK","FAIL")</x:f>
        <x:v>OK</x:v>
      </x:c>
      <x:c r="AJ26" s="62" t="str">
        <x:f>IF(J26&lt;=L26,"OK","FAIL")</x:f>
        <x:v>OK</x:v>
      </x:c>
      <x:c r="AK26" s="62" t="str">
        <x:f>IF(D26&lt;&gt;"营业收入","OK",IF(AND(P26&lt;0,Q26&gt;0),"OK","FAIL"))</x:f>
        <x:v>OK</x:v>
      </x:c>
      <x:c r="AL26" s="62" t="str">
        <x:f>IF(COUNTIF($A$2:$A$218,A26)=1,"OK","FAIL")</x:f>
        <x:v>OK</x:v>
      </x:c>
    </x:row>
    <x:row r="27" ht="23" customHeight="1">
      <x:c r="A27" s="62" t="str">
        <x:v>DEMO01|2025|DOC2025|10</x:v>
      </x:c>
      <x:c r="B27" s="62" t="str">
        <x:v>SOURCE</x:v>
      </x:c>
      <x:c r="C27" s="62" t="str">
        <x:v>折旧摊销</x:v>
      </x:c>
      <x:c r="D27" s="62" t="str">
        <x:v>折旧摊销</x:v>
      </x:c>
      <x:c r="E27" s="62" t="n">
        <x:v>12</x:v>
      </x:c>
      <x:c r="F27" s="62" t="n">
        <x:v>12</x:v>
      </x:c>
      <x:c r="G27" s="62" t="str">
        <x:v>DOC2025</x:v>
      </x:c>
      <x:c r="H27" s="62" t="n">
        <x:v>10</x:v>
      </x:c>
      <x:c r="I27" s="74" t="n">
        <x:v>46022</x:v>
      </x:c>
      <x:c r="J27" s="74" t="n">
        <x:v>46022</x:v>
      </x:c>
      <x:c r="K27" s="74" t="n">
        <x:v>46022</x:v>
      </x:c>
      <x:c r="L27" s="74" t="n">
        <x:v>46022</x:v>
      </x:c>
      <x:c r="M27" s="77" t="n">
        <x:v>9</x:v>
      </x:c>
      <x:c r="N27" s="77"/>
      <x:c r="O27" s="78"/>
      <x:c r="P27" s="79" t="n">
        <x:f>M27</x:f>
        <x:v>9</x:v>
      </x:c>
      <x:c r="Q27" s="79" t="n">
        <x:f>IF(D27="营业收入",-P27,P27)</x:f>
        <x:v>9</x:v>
      </x:c>
      <x:c r="R27" s="62" t="str">
        <x:v>CNY</x:v>
      </x:c>
      <x:c r="S27" s="62" t="str">
        <x:v>万元</x:v>
      </x:c>
      <x:c r="T27" s="62" t="str">
        <x:v>费用不含税</x:v>
      </x:c>
      <x:c r="U27" s="62" t="str">
        <x:v>设备管理部</x:v>
      </x:c>
      <x:c r="V27" s="62" t="str">
        <x:v>设备维护折旧摊销分摊</x:v>
      </x:c>
      <x:c r="W27" s="62" t="str">
        <x:v>设备维护折旧摊销分摊</x:v>
      </x:c>
      <x:c r="X27" s="62" t="str">
        <x:v>17</x:v>
      </x:c>
      <x:c r="Y27" s="62" t="str">
        <x:v>17</x:v>
      </x:c>
      <x:c r="Z27" s="62" t="str">
        <x:v>17</x:v>
      </x:c>
      <x:c r="AA27" s="62" t="str">
        <x:v>设备维护</x:v>
      </x:c>
      <x:c r="AB27" s="62" t="str">
        <x:v>PRJ-SB-设备-2025-003</x:v>
      </x:c>
      <x:c r="AC27" s="74" t="n">
        <x:v>46022</x:v>
      </x:c>
      <x:c r="AD27" s="71" t="str">
        <x:v>源记录保留</x:v>
      </x:c>
      <x:c r="AE27" s="71" t="str">
        <x:v>2025年实际执行.xlsx</x:v>
      </x:c>
      <x:c r="AF27" s="71" t="str">
        <x:v>Sheet</x:v>
      </x:c>
      <x:c r="AG27" s="71" t="n">
        <x:v>27</x:v>
      </x:c>
      <x:c r="AH27" s="71" t="str">
        <x:v>2025年实际执行.xlsx/Sheet!27:27</x:v>
      </x:c>
      <x:c r="AI27" s="62" t="str">
        <x:f>IF(F27=MONTH(L27),"OK","FAIL")</x:f>
        <x:v>OK</x:v>
      </x:c>
      <x:c r="AJ27" s="62" t="str">
        <x:f>IF(J27&lt;=L27,"OK","FAIL")</x:f>
        <x:v>OK</x:v>
      </x:c>
      <x:c r="AK27" s="62" t="str">
        <x:f>IF(D27&lt;&gt;"营业收入","OK",IF(AND(P27&lt;0,Q27&gt;0),"OK","FAIL"))</x:f>
        <x:v>OK</x:v>
      </x:c>
      <x:c r="AL27" s="62" t="str">
        <x:f>IF(COUNTIF($A$2:$A$218,A27)=1,"OK","FAIL")</x:f>
        <x:v>OK</x:v>
      </x:c>
    </x:row>
    <x:row r="28" ht="23" customHeight="1">
      <x:c r="A28" s="62" t="str">
        <x:v>DEMO01|2025|DOC2026|10</x:v>
      </x:c>
      <x:c r="B28" s="62" t="str">
        <x:v>SOURCE</x:v>
      </x:c>
      <x:c r="C28" s="62" t="str">
        <x:v>营业收入</x:v>
      </x:c>
      <x:c r="D28" s="62" t="str">
        <x:v>营业收入</x:v>
      </x:c>
      <x:c r="E28" s="62" t="n">
        <x:v>6</x:v>
      </x:c>
      <x:c r="F28" s="62" t="n">
        <x:v>6</x:v>
      </x:c>
      <x:c r="G28" s="62" t="str">
        <x:v>DOC2026</x:v>
      </x:c>
      <x:c r="H28" s="62" t="n">
        <x:v>10</x:v>
      </x:c>
      <x:c r="I28" s="74" t="n">
        <x:v>45823</x:v>
      </x:c>
      <x:c r="J28" s="74" t="n">
        <x:v>45823</x:v>
      </x:c>
      <x:c r="K28" s="74" t="n">
        <x:v>45823</x:v>
      </x:c>
      <x:c r="L28" s="74" t="n">
        <x:v>45823</x:v>
      </x:c>
      <x:c r="M28" s="77" t="n">
        <x:v>-41.094443</x:v>
      </x:c>
      <x:c r="N28" s="77"/>
      <x:c r="O28" s="78"/>
      <x:c r="P28" s="79" t="n">
        <x:f>M28</x:f>
        <x:v>-41.094443</x:v>
      </x:c>
      <x:c r="Q28" s="79" t="n">
        <x:f>IF(D28="营业收入",-P28,P28)</x:f>
        <x:v>41.094443</x:v>
      </x:c>
      <x:c r="R28" s="62" t="str">
        <x:v>CNY</x:v>
      </x:c>
      <x:c r="S28" s="62" t="str">
        <x:v>万元</x:v>
      </x:c>
      <x:c r="T28" s="62" t="str">
        <x:v>收益；源负号</x:v>
      </x:c>
      <x:c r="U28" s="62" t="str">
        <x:v>技术部</x:v>
      </x:c>
      <x:c r="V28" s="62" t="str">
        <x:v>热能动力研究收入确认</x:v>
      </x:c>
      <x:c r="W28" s="62" t="str">
        <x:v>热能动力研究收入确认</x:v>
      </x:c>
      <x:c r="X28" s="62" t="str">
        <x:v>17</x:v>
      </x:c>
      <x:c r="Y28" s="62" t="str">
        <x:v>17</x:v>
      </x:c>
      <x:c r="Z28" s="62" t="str">
        <x:v>17</x:v>
      </x:c>
      <x:c r="AA28" s="62" t="str">
        <x:v>热能动力研究</x:v>
      </x:c>
      <x:c r="AB28" s="62" t="str">
        <x:v>PRJ-JS-热能-2024-001</x:v>
      </x:c>
      <x:c r="AC28" s="74" t="n">
        <x:v>46022</x:v>
      </x:c>
      <x:c r="AD28" s="71" t="str">
        <x:v>源记录保留</x:v>
      </x:c>
      <x:c r="AE28" s="71" t="str">
        <x:v>2025年实际执行.xlsx</x:v>
      </x:c>
      <x:c r="AF28" s="71" t="str">
        <x:v>Sheet</x:v>
      </x:c>
      <x:c r="AG28" s="71" t="n">
        <x:v>28</x:v>
      </x:c>
      <x:c r="AH28" s="71" t="str">
        <x:v>2025年实际执行.xlsx/Sheet!28:28</x:v>
      </x:c>
      <x:c r="AI28" s="62" t="str">
        <x:f>IF(F28=MONTH(L28),"OK","FAIL")</x:f>
        <x:v>OK</x:v>
      </x:c>
      <x:c r="AJ28" s="62" t="str">
        <x:f>IF(J28&lt;=L28,"OK","FAIL")</x:f>
        <x:v>OK</x:v>
      </x:c>
      <x:c r="AK28" s="62" t="str">
        <x:f>IF(D28&lt;&gt;"营业收入","OK",IF(AND(P28&lt;0,Q28&gt;0),"OK","FAIL"))</x:f>
        <x:v>OK</x:v>
      </x:c>
      <x:c r="AL28" s="62" t="str">
        <x:f>IF(COUNTIF($A$2:$A$218,A28)=1,"OK","FAIL")</x:f>
        <x:v>OK</x:v>
      </x:c>
    </x:row>
    <x:row r="29" ht="23" customHeight="1">
      <x:c r="A29" s="62" t="str">
        <x:v>DEMO01|2025|DOC2027|10</x:v>
      </x:c>
      <x:c r="B29" s="62" t="str">
        <x:v>SOURCE</x:v>
      </x:c>
      <x:c r="C29" s="62" t="str">
        <x:v>会议费</x:v>
      </x:c>
      <x:c r="D29" s="62" t="str">
        <x:v>会议费</x:v>
      </x:c>
      <x:c r="E29" s="62" t="n">
        <x:v>12</x:v>
      </x:c>
      <x:c r="F29" s="62" t="n">
        <x:v>12</x:v>
      </x:c>
      <x:c r="G29" s="62" t="str">
        <x:v>DOC2027</x:v>
      </x:c>
      <x:c r="H29" s="62" t="n">
        <x:v>10</x:v>
      </x:c>
      <x:c r="I29" s="74" t="n">
        <x:v>46006</x:v>
      </x:c>
      <x:c r="J29" s="74" t="n">
        <x:v>46006</x:v>
      </x:c>
      <x:c r="K29" s="74" t="n">
        <x:v>46006</x:v>
      </x:c>
      <x:c r="L29" s="74" t="n">
        <x:v>46006</x:v>
      </x:c>
      <x:c r="M29" s="77" t="n">
        <x:v>4</x:v>
      </x:c>
      <x:c r="N29" s="77"/>
      <x:c r="O29" s="78"/>
      <x:c r="P29" s="79" t="n">
        <x:f>M29</x:f>
        <x:v>4</x:v>
      </x:c>
      <x:c r="Q29" s="79" t="n">
        <x:f>IF(D29="营业收入",-P29,P29)</x:f>
        <x:v>4</x:v>
      </x:c>
      <x:c r="R29" s="62" t="str">
        <x:v>CNY</x:v>
      </x:c>
      <x:c r="S29" s="62" t="str">
        <x:v>万元</x:v>
      </x:c>
      <x:c r="T29" s="62" t="str">
        <x:v>费用不含税</x:v>
      </x:c>
      <x:c r="U29" s="62" t="str">
        <x:v>技术部</x:v>
      </x:c>
      <x:c r="V29" s="62" t="str">
        <x:v>热能动力研究项目阶段评审会</x:v>
      </x:c>
      <x:c r="W29" s="62" t="str">
        <x:v>热能动力研究项目阶段评审会</x:v>
      </x:c>
      <x:c r="X29" s="62" t="str">
        <x:v>中核运维</x:v>
      </x:c>
      <x:c r="Y29" s="62" t="str">
        <x:v>中核运维</x:v>
      </x:c>
      <x:c r="Z29" s="62" t="str">
        <x:v>17</x:v>
      </x:c>
      <x:c r="AA29" s="62" t="str">
        <x:v>热能动力研究</x:v>
      </x:c>
      <x:c r="AB29" s="62" t="str">
        <x:v>PRJ-JS-热能-2024-001</x:v>
      </x:c>
      <x:c r="AC29" s="74" t="n">
        <x:v>46022</x:v>
      </x:c>
      <x:c r="AD29" s="71" t="str">
        <x:v>源记录保留</x:v>
      </x:c>
      <x:c r="AE29" s="71" t="str">
        <x:v>2025年实际执行.xlsx</x:v>
      </x:c>
      <x:c r="AF29" s="71" t="str">
        <x:v>Sheet</x:v>
      </x:c>
      <x:c r="AG29" s="71" t="n">
        <x:v>29</x:v>
      </x:c>
      <x:c r="AH29" s="71" t="str">
        <x:v>2025年实际执行.xlsx/Sheet!29:29</x:v>
      </x:c>
      <x:c r="AI29" s="62" t="str">
        <x:f>IF(F29=MONTH(L29),"OK","FAIL")</x:f>
        <x:v>OK</x:v>
      </x:c>
      <x:c r="AJ29" s="62" t="str">
        <x:f>IF(J29&lt;=L29,"OK","FAIL")</x:f>
        <x:v>OK</x:v>
      </x:c>
      <x:c r="AK29" s="62" t="str">
        <x:f>IF(D29&lt;&gt;"营业收入","OK",IF(AND(P29&lt;0,Q29&gt;0),"OK","FAIL"))</x:f>
        <x:v>OK</x:v>
      </x:c>
      <x:c r="AL29" s="62" t="str">
        <x:f>IF(COUNTIF($A$2:$A$218,A29)=1,"OK","FAIL")</x:f>
        <x:v>OK</x:v>
      </x:c>
    </x:row>
    <x:row r="30" ht="23" customHeight="1">
      <x:c r="A30" s="62" t="str">
        <x:v>DEMO01|2025|DOC2028|10</x:v>
      </x:c>
      <x:c r="B30" s="62" t="str">
        <x:v>SOURCE</x:v>
      </x:c>
      <x:c r="C30" s="62" t="str">
        <x:v>业务支持费</x:v>
      </x:c>
      <x:c r="D30" s="62" t="str">
        <x:v>业务支持费-技术配置</x:v>
      </x:c>
      <x:c r="E30" s="62" t="n">
        <x:v>10</x:v>
      </x:c>
      <x:c r="F30" s="62" t="n">
        <x:v>10</x:v>
      </x:c>
      <x:c r="G30" s="62" t="str">
        <x:v>DOC2028</x:v>
      </x:c>
      <x:c r="H30" s="62" t="n">
        <x:v>10</x:v>
      </x:c>
      <x:c r="I30" s="74" t="n">
        <x:v>45945</x:v>
      </x:c>
      <x:c r="J30" s="74" t="n">
        <x:v>45945</x:v>
      </x:c>
      <x:c r="K30" s="74" t="n">
        <x:v>45945</x:v>
      </x:c>
      <x:c r="L30" s="74" t="n">
        <x:v>45945</x:v>
      </x:c>
      <x:c r="M30" s="77" t="n">
        <x:v>11</x:v>
      </x:c>
      <x:c r="N30" s="77"/>
      <x:c r="O30" s="78"/>
      <x:c r="P30" s="79" t="n">
        <x:f>M30</x:f>
        <x:v>11</x:v>
      </x:c>
      <x:c r="Q30" s="79" t="n">
        <x:f>IF(D30="营业收入",-P30,P30)</x:f>
        <x:v>11</x:v>
      </x:c>
      <x:c r="R30" s="62" t="str">
        <x:v>CNY</x:v>
      </x:c>
      <x:c r="S30" s="62" t="str">
        <x:v>万元</x:v>
      </x:c>
      <x:c r="T30" s="62" t="str">
        <x:v>费用不含税</x:v>
      </x:c>
      <x:c r="U30" s="62" t="str">
        <x:v>技术部</x:v>
      </x:c>
      <x:c r="V30" s="62" t="str">
        <x:v>热能动力研究技术配置_实施阶段</x:v>
      </x:c>
      <x:c r="W30" s="62" t="str">
        <x:v>热能动力研究技术配置_实施阶段</x:v>
      </x:c>
      <x:c r="X30" s="62" t="str">
        <x:v>供应商3</x:v>
      </x:c>
      <x:c r="Y30" s="62" t="str">
        <x:v>供应商3</x:v>
      </x:c>
      <x:c r="Z30" s="62" t="str">
        <x:v>17</x:v>
      </x:c>
      <x:c r="AA30" s="62" t="str">
        <x:v>热能动力研究</x:v>
      </x:c>
      <x:c r="AB30" s="62" t="str">
        <x:v>PRJ-JS-热能-2024-001</x:v>
      </x:c>
      <x:c r="AC30" s="74" t="n">
        <x:v>46022</x:v>
      </x:c>
      <x:c r="AD30" s="71" t="str">
        <x:v>源记录保留</x:v>
      </x:c>
      <x:c r="AE30" s="71" t="str">
        <x:v>2025年实际执行.xlsx</x:v>
      </x:c>
      <x:c r="AF30" s="71" t="str">
        <x:v>Sheet</x:v>
      </x:c>
      <x:c r="AG30" s="71" t="n">
        <x:v>30</x:v>
      </x:c>
      <x:c r="AH30" s="71" t="str">
        <x:v>2025年实际执行.xlsx/Sheet!30:30</x:v>
      </x:c>
      <x:c r="AI30" s="62" t="str">
        <x:f>IF(F30=MONTH(L30),"OK","FAIL")</x:f>
        <x:v>OK</x:v>
      </x:c>
      <x:c r="AJ30" s="62" t="str">
        <x:f>IF(J30&lt;=L30,"OK","FAIL")</x:f>
        <x:v>OK</x:v>
      </x:c>
      <x:c r="AK30" s="62" t="str">
        <x:f>IF(D30&lt;&gt;"营业收入","OK",IF(AND(P30&lt;0,Q30&gt;0),"OK","FAIL"))</x:f>
        <x:v>OK</x:v>
      </x:c>
      <x:c r="AL30" s="62" t="str">
        <x:f>IF(COUNTIF($A$2:$A$218,A30)=1,"OK","FAIL")</x:f>
        <x:v>OK</x:v>
      </x:c>
    </x:row>
    <x:row r="31" ht="23" customHeight="1">
      <x:c r="A31" s="62" t="str">
        <x:v>DEMO01|2025|DOC2029|10</x:v>
      </x:c>
      <x:c r="B31" s="62" t="str">
        <x:v>SOURCE</x:v>
      </x:c>
      <x:c r="C31" s="62" t="str">
        <x:v>生产物料费</x:v>
      </x:c>
      <x:c r="D31" s="62" t="str">
        <x:v>生产物料费</x:v>
      </x:c>
      <x:c r="E31" s="62" t="n">
        <x:v>7</x:v>
      </x:c>
      <x:c r="F31" s="62" t="n">
        <x:v>7</x:v>
      </x:c>
      <x:c r="G31" s="62" t="str">
        <x:v>DOC2029</x:v>
      </x:c>
      <x:c r="H31" s="62" t="n">
        <x:v>10</x:v>
      </x:c>
      <x:c r="I31" s="74" t="n">
        <x:v>45853</x:v>
      </x:c>
      <x:c r="J31" s="74" t="n">
        <x:v>45853</x:v>
      </x:c>
      <x:c r="K31" s="74" t="n">
        <x:v>45853</x:v>
      </x:c>
      <x:c r="L31" s="74" t="n">
        <x:v>45853</x:v>
      </x:c>
      <x:c r="M31" s="77" t="n">
        <x:v>2.151</x:v>
      </x:c>
      <x:c r="N31" s="77"/>
      <x:c r="O31" s="78"/>
      <x:c r="P31" s="79" t="n">
        <x:f>M31</x:f>
        <x:v>2.151</x:v>
      </x:c>
      <x:c r="Q31" s="79" t="n">
        <x:f>IF(D31="营业收入",-P31,P31)</x:f>
        <x:v>2.151</x:v>
      </x:c>
      <x:c r="R31" s="62" t="str">
        <x:v>CNY</x:v>
      </x:c>
      <x:c r="S31" s="62" t="str">
        <x:v>万元</x:v>
      </x:c>
      <x:c r="T31" s="62" t="str">
        <x:v>费用不含税</x:v>
      </x:c>
      <x:c r="U31" s="62" t="str">
        <x:v>技术部</x:v>
      </x:c>
      <x:c r="V31" s="62" t="str">
        <x:v>热能动力研究现场物料采购</x:v>
      </x:c>
      <x:c r="W31" s="62" t="str">
        <x:v>热能动力研究现场物料采购</x:v>
      </x:c>
      <x:c r="X31" s="62" t="str">
        <x:v>中核运维</x:v>
      </x:c>
      <x:c r="Y31" s="62" t="str">
        <x:v>中核运维</x:v>
      </x:c>
      <x:c r="Z31" s="62" t="str">
        <x:v>17</x:v>
      </x:c>
      <x:c r="AA31" s="62" t="str">
        <x:v>热能动力研究</x:v>
      </x:c>
      <x:c r="AB31" s="62" t="str">
        <x:v>PRJ-JS-热能-2024-001</x:v>
      </x:c>
      <x:c r="AC31" s="74" t="n">
        <x:v>46022</x:v>
      </x:c>
      <x:c r="AD31" s="71" t="str">
        <x:v>源记录保留</x:v>
      </x:c>
      <x:c r="AE31" s="71" t="str">
        <x:v>2025年实际执行.xlsx</x:v>
      </x:c>
      <x:c r="AF31" s="71" t="str">
        <x:v>Sheet</x:v>
      </x:c>
      <x:c r="AG31" s="71" t="n">
        <x:v>31</x:v>
      </x:c>
      <x:c r="AH31" s="71" t="str">
        <x:v>2025年实际执行.xlsx/Sheet!31:31</x:v>
      </x:c>
      <x:c r="AI31" s="62" t="str">
        <x:f>IF(F31=MONTH(L31),"OK","FAIL")</x:f>
        <x:v>OK</x:v>
      </x:c>
      <x:c r="AJ31" s="62" t="str">
        <x:f>IF(J31&lt;=L31,"OK","FAIL")</x:f>
        <x:v>OK</x:v>
      </x:c>
      <x:c r="AK31" s="62" t="str">
        <x:f>IF(D31&lt;&gt;"营业收入","OK",IF(AND(P31&lt;0,Q31&gt;0),"OK","FAIL"))</x:f>
        <x:v>OK</x:v>
      </x:c>
      <x:c r="AL31" s="62" t="str">
        <x:f>IF(COUNTIF($A$2:$A$218,A31)=1,"OK","FAIL")</x:f>
        <x:v>OK</x:v>
      </x:c>
    </x:row>
    <x:row r="32" ht="23" customHeight="1">
      <x:c r="A32" s="62" t="str">
        <x:v>DEMO01|2025|DOC2030|10</x:v>
      </x:c>
      <x:c r="B32" s="62" t="str">
        <x:v>SOURCE</x:v>
      </x:c>
      <x:c r="C32" s="62" t="str">
        <x:v>办公费</x:v>
      </x:c>
      <x:c r="D32" s="62" t="str">
        <x:v>办公费</x:v>
      </x:c>
      <x:c r="E32" s="62" t="n">
        <x:v>10</x:v>
      </x:c>
      <x:c r="F32" s="62" t="n">
        <x:v>10</x:v>
      </x:c>
      <x:c r="G32" s="62" t="str">
        <x:v>DOC2030</x:v>
      </x:c>
      <x:c r="H32" s="62" t="n">
        <x:v>10</x:v>
      </x:c>
      <x:c r="I32" s="74" t="n">
        <x:v>45945</x:v>
      </x:c>
      <x:c r="J32" s="74" t="n">
        <x:v>45945</x:v>
      </x:c>
      <x:c r="K32" s="74" t="n">
        <x:v>45945</x:v>
      </x:c>
      <x:c r="L32" s="74" t="n">
        <x:v>45945</x:v>
      </x:c>
      <x:c r="M32" s="77" t="n">
        <x:v>0.4302</x:v>
      </x:c>
      <x:c r="N32" s="77"/>
      <x:c r="O32" s="78"/>
      <x:c r="P32" s="79" t="n">
        <x:f>M32</x:f>
        <x:v>0.4302</x:v>
      </x:c>
      <x:c r="Q32" s="79" t="n">
        <x:f>IF(D32="营业收入",-P32,P32)</x:f>
        <x:v>0.4302</x:v>
      </x:c>
      <x:c r="R32" s="62" t="str">
        <x:v>CNY</x:v>
      </x:c>
      <x:c r="S32" s="62" t="str">
        <x:v>万元</x:v>
      </x:c>
      <x:c r="T32" s="62" t="str">
        <x:v>费用不含税</x:v>
      </x:c>
      <x:c r="U32" s="62" t="str">
        <x:v>技术部</x:v>
      </x:c>
      <x:c r="V32" s="62" t="str">
        <x:v>热能动力研究日常办公</x:v>
      </x:c>
      <x:c r="W32" s="62" t="str">
        <x:v>热能动力研究日常办公</x:v>
      </x:c>
      <x:c r="X32" s="62" t="str">
        <x:v>中核运维</x:v>
      </x:c>
      <x:c r="Y32" s="62" t="str">
        <x:v>中核运维</x:v>
      </x:c>
      <x:c r="Z32" s="62" t="str">
        <x:v>17</x:v>
      </x:c>
      <x:c r="AA32" s="62" t="str">
        <x:v>热能动力研究</x:v>
      </x:c>
      <x:c r="AB32" s="62" t="str">
        <x:v>PRJ-JS-热能-2024-001</x:v>
      </x:c>
      <x:c r="AC32" s="74" t="n">
        <x:v>46022</x:v>
      </x:c>
      <x:c r="AD32" s="71" t="str">
        <x:v>源记录保留</x:v>
      </x:c>
      <x:c r="AE32" s="71" t="str">
        <x:v>2025年实际执行.xlsx</x:v>
      </x:c>
      <x:c r="AF32" s="71" t="str">
        <x:v>Sheet</x:v>
      </x:c>
      <x:c r="AG32" s="71" t="n">
        <x:v>32</x:v>
      </x:c>
      <x:c r="AH32" s="71" t="str">
        <x:v>2025年实际执行.xlsx/Sheet!32:32</x:v>
      </x:c>
      <x:c r="AI32" s="62" t="str">
        <x:f>IF(F32=MONTH(L32),"OK","FAIL")</x:f>
        <x:v>OK</x:v>
      </x:c>
      <x:c r="AJ32" s="62" t="str">
        <x:f>IF(J32&lt;=L32,"OK","FAIL")</x:f>
        <x:v>OK</x:v>
      </x:c>
      <x:c r="AK32" s="62" t="str">
        <x:f>IF(D32&lt;&gt;"营业收入","OK",IF(AND(P32&lt;0,Q32&gt;0),"OK","FAIL"))</x:f>
        <x:v>OK</x:v>
      </x:c>
      <x:c r="AL32" s="62" t="str">
        <x:f>IF(COUNTIF($A$2:$A$218,A32)=1,"OK","FAIL")</x:f>
        <x:v>OK</x:v>
      </x:c>
    </x:row>
    <x:row r="33" ht="23" customHeight="1">
      <x:c r="A33" s="62" t="str">
        <x:v>DEMO01|2025|DOC2031|10</x:v>
      </x:c>
      <x:c r="B33" s="62" t="str">
        <x:v>CORRECTED</x:v>
      </x:c>
      <x:c r="C33" s="62" t="str">
        <x:v>交通运输费</x:v>
      </x:c>
      <x:c r="D33" s="62" t="str">
        <x:v>交通运输费</x:v>
      </x:c>
      <x:c r="E33" s="62" t="n">
        <x:v>7</x:v>
      </x:c>
      <x:c r="F33" s="62" t="n">
        <x:v>7</x:v>
      </x:c>
      <x:c r="G33" s="62" t="str">
        <x:v>DOC2031</x:v>
      </x:c>
      <x:c r="H33" s="62" t="n">
        <x:v>10</x:v>
      </x:c>
      <x:c r="I33" s="74" t="n">
        <x:v>45853</x:v>
      </x:c>
      <x:c r="J33" s="74" t="n">
        <x:v>45853</x:v>
      </x:c>
      <x:c r="K33" s="74" t="n">
        <x:v>45853</x:v>
      </x:c>
      <x:c r="L33" s="74" t="n">
        <x:v>45853</x:v>
      </x:c>
      <x:c r="M33" s="77" t="n">
        <x:v>0.717</x:v>
      </x:c>
      <x:c r="N33" s="77"/>
      <x:c r="O33" s="78"/>
      <x:c r="P33" s="79" t="n">
        <x:f>M33</x:f>
        <x:v>0.717</x:v>
      </x:c>
      <x:c r="Q33" s="79" t="n">
        <x:f>IF(D33="营业收入",-P33,P33)</x:f>
        <x:v>0.717</x:v>
      </x:c>
      <x:c r="R33" s="62" t="str">
        <x:v>CNY</x:v>
      </x:c>
      <x:c r="S33" s="62" t="str">
        <x:v>万元</x:v>
      </x:c>
      <x:c r="T33" s="62" t="str">
        <x:v>费用不含税</x:v>
      </x:c>
      <x:c r="U33" s="62" t="str">
        <x:v>技术部</x:v>
      </x:c>
      <x:c r="V33" s="62" t="str">
        <x:v>热能动力研究材料运输</x:v>
      </x:c>
      <x:c r="W33" s="62" t="str">
        <x:v>热能动力研究材料运输</x:v>
      </x:c>
      <x:c r="X33" s="62" t="str">
        <x:v>中核运维</x:v>
      </x:c>
      <x:c r="Y33" s="62" t="str">
        <x:v>中核运维</x:v>
      </x:c>
      <x:c r="Z33" s="62" t="str">
        <x:v>17</x:v>
      </x:c>
      <x:c r="AA33" s="62" t="str">
        <x:v>热能动力研究</x:v>
      </x:c>
      <x:c r="AB33" s="62" t="str">
        <x:v>PRJ-JS-热能-2024-001</x:v>
      </x:c>
      <x:c r="AC33" s="74" t="n">
        <x:v>46022</x:v>
      </x:c>
      <x:c r="AD33" s="71" t="str">
        <x:v>补凭证行号</x:v>
      </x:c>
      <x:c r="AE33" s="71" t="str">
        <x:v>2025年实际执行.xlsx</x:v>
      </x:c>
      <x:c r="AF33" s="71" t="str">
        <x:v>Sheet</x:v>
      </x:c>
      <x:c r="AG33" s="71" t="n">
        <x:v>33</x:v>
      </x:c>
      <x:c r="AH33" s="71" t="str">
        <x:v>2025年实际执行.xlsx/Sheet!33:33</x:v>
      </x:c>
      <x:c r="AI33" s="62" t="str">
        <x:f>IF(F33=MONTH(L33),"OK","FAIL")</x:f>
        <x:v>OK</x:v>
      </x:c>
      <x:c r="AJ33" s="62" t="str">
        <x:f>IF(J33&lt;=L33,"OK","FAIL")</x:f>
        <x:v>OK</x:v>
      </x:c>
      <x:c r="AK33" s="62" t="str">
        <x:f>IF(D33&lt;&gt;"营业收入","OK",IF(AND(P33&lt;0,Q33&gt;0),"OK","FAIL"))</x:f>
        <x:v>OK</x:v>
      </x:c>
      <x:c r="AL33" s="62" t="str">
        <x:f>IF(COUNTIF($A$2:$A$218,A33)=1,"OK","FAIL")</x:f>
        <x:v>OK</x:v>
      </x:c>
    </x:row>
    <x:row r="34" ht="23" customHeight="1">
      <x:c r="A34" s="62" t="str">
        <x:v>DEMO01|2025|DOC2032|10</x:v>
      </x:c>
      <x:c r="B34" s="62" t="str">
        <x:v>SOURCE</x:v>
      </x:c>
      <x:c r="C34" s="62" t="str">
        <x:v>人工成本</x:v>
      </x:c>
      <x:c r="D34" s="62" t="str">
        <x:v>人工成本</x:v>
      </x:c>
      <x:c r="E34" s="62" t="n">
        <x:v>6</x:v>
      </x:c>
      <x:c r="F34" s="62" t="n">
        <x:v>6</x:v>
      </x:c>
      <x:c r="G34" s="62" t="str">
        <x:v>DOC2032</x:v>
      </x:c>
      <x:c r="H34" s="62" t="n">
        <x:v>10</x:v>
      </x:c>
      <x:c r="I34" s="74" t="n">
        <x:v>45838</x:v>
      </x:c>
      <x:c r="J34" s="74" t="n">
        <x:v>45838</x:v>
      </x:c>
      <x:c r="K34" s="74" t="n">
        <x:v>45838</x:v>
      </x:c>
      <x:c r="L34" s="74" t="n">
        <x:v>45838</x:v>
      </x:c>
      <x:c r="M34" s="77" t="n">
        <x:v>9</x:v>
      </x:c>
      <x:c r="N34" s="77"/>
      <x:c r="O34" s="78"/>
      <x:c r="P34" s="79" t="n">
        <x:f>M34</x:f>
        <x:v>9</x:v>
      </x:c>
      <x:c r="Q34" s="79" t="n">
        <x:f>IF(D34="营业收入",-P34,P34)</x:f>
        <x:v>9</x:v>
      </x:c>
      <x:c r="R34" s="62" t="str">
        <x:v>CNY</x:v>
      </x:c>
      <x:c r="S34" s="62" t="str">
        <x:v>万元</x:v>
      </x:c>
      <x:c r="T34" s="62" t="str">
        <x:v>费用不含税</x:v>
      </x:c>
      <x:c r="U34" s="62" t="str">
        <x:v>技术部</x:v>
      </x:c>
      <x:c r="V34" s="62" t="str">
        <x:v>热能动力研究人工成本分摊</x:v>
      </x:c>
      <x:c r="W34" s="62" t="str">
        <x:v>热能动力研究人工成本分摊</x:v>
      </x:c>
      <x:c r="X34" s="62" t="str">
        <x:v>17</x:v>
      </x:c>
      <x:c r="Y34" s="62" t="str">
        <x:v>17</x:v>
      </x:c>
      <x:c r="Z34" s="62" t="str">
        <x:v>17</x:v>
      </x:c>
      <x:c r="AA34" s="62" t="str">
        <x:v>热能动力研究</x:v>
      </x:c>
      <x:c r="AB34" s="62" t="str">
        <x:v>PRJ-JS-热能-2024-001</x:v>
      </x:c>
      <x:c r="AC34" s="74" t="n">
        <x:v>46022</x:v>
      </x:c>
      <x:c r="AD34" s="71" t="str">
        <x:v>源记录保留</x:v>
      </x:c>
      <x:c r="AE34" s="71" t="str">
        <x:v>2025年实际执行.xlsx</x:v>
      </x:c>
      <x:c r="AF34" s="71" t="str">
        <x:v>Sheet</x:v>
      </x:c>
      <x:c r="AG34" s="71" t="n">
        <x:v>34</x:v>
      </x:c>
      <x:c r="AH34" s="71" t="str">
        <x:v>2025年实际执行.xlsx/Sheet!34:34</x:v>
      </x:c>
      <x:c r="AI34" s="62" t="str">
        <x:f>IF(F34=MONTH(L34),"OK","FAIL")</x:f>
        <x:v>OK</x:v>
      </x:c>
      <x:c r="AJ34" s="62" t="str">
        <x:f>IF(J34&lt;=L34,"OK","FAIL")</x:f>
        <x:v>OK</x:v>
      </x:c>
      <x:c r="AK34" s="62" t="str">
        <x:f>IF(D34&lt;&gt;"营业收入","OK",IF(AND(P34&lt;0,Q34&gt;0),"OK","FAIL"))</x:f>
        <x:v>OK</x:v>
      </x:c>
      <x:c r="AL34" s="62" t="str">
        <x:f>IF(COUNTIF($A$2:$A$218,A34)=1,"OK","FAIL")</x:f>
        <x:v>OK</x:v>
      </x:c>
    </x:row>
    <x:row r="35" ht="23" customHeight="1">
      <x:c r="A35" s="62" t="str">
        <x:v>DEMO01|2025|DOC2033|10</x:v>
      </x:c>
      <x:c r="B35" s="62" t="str">
        <x:v>SOURCE</x:v>
      </x:c>
      <x:c r="C35" s="62" t="str">
        <x:v>折旧摊销</x:v>
      </x:c>
      <x:c r="D35" s="62" t="str">
        <x:v>折旧摊销</x:v>
      </x:c>
      <x:c r="E35" s="62" t="n">
        <x:v>12</x:v>
      </x:c>
      <x:c r="F35" s="62" t="n">
        <x:v>12</x:v>
      </x:c>
      <x:c r="G35" s="62" t="str">
        <x:v>DOC2033</x:v>
      </x:c>
      <x:c r="H35" s="62" t="n">
        <x:v>10</x:v>
      </x:c>
      <x:c r="I35" s="74" t="n">
        <x:v>46022</x:v>
      </x:c>
      <x:c r="J35" s="74" t="n">
        <x:v>46022</x:v>
      </x:c>
      <x:c r="K35" s="74" t="n">
        <x:v>46022</x:v>
      </x:c>
      <x:c r="L35" s="74" t="n">
        <x:v>46022</x:v>
      </x:c>
      <x:c r="M35" s="77" t="n">
        <x:v>2</x:v>
      </x:c>
      <x:c r="N35" s="77"/>
      <x:c r="O35" s="78"/>
      <x:c r="P35" s="79" t="n">
        <x:f>M35</x:f>
        <x:v>2</x:v>
      </x:c>
      <x:c r="Q35" s="79" t="n">
        <x:f>IF(D35="营业收入",-P35,P35)</x:f>
        <x:v>2</x:v>
      </x:c>
      <x:c r="R35" s="62" t="str">
        <x:v>CNY</x:v>
      </x:c>
      <x:c r="S35" s="62" t="str">
        <x:v>万元</x:v>
      </x:c>
      <x:c r="T35" s="62" t="str">
        <x:v>费用不含税</x:v>
      </x:c>
      <x:c r="U35" s="62" t="str">
        <x:v>技术部</x:v>
      </x:c>
      <x:c r="V35" s="62" t="str">
        <x:v>热能动力研究折旧摊销分摊</x:v>
      </x:c>
      <x:c r="W35" s="62" t="str">
        <x:v>热能动力研究折旧摊销分摊</x:v>
      </x:c>
      <x:c r="X35" s="62" t="str">
        <x:v>17</x:v>
      </x:c>
      <x:c r="Y35" s="62" t="str">
        <x:v>17</x:v>
      </x:c>
      <x:c r="Z35" s="62" t="str">
        <x:v>17</x:v>
      </x:c>
      <x:c r="AA35" s="62" t="str">
        <x:v>热能动力研究</x:v>
      </x:c>
      <x:c r="AB35" s="62" t="str">
        <x:v>PRJ-JS-热能-2024-001</x:v>
      </x:c>
      <x:c r="AC35" s="74" t="n">
        <x:v>46022</x:v>
      </x:c>
      <x:c r="AD35" s="71" t="str">
        <x:v>源记录保留</x:v>
      </x:c>
      <x:c r="AE35" s="71" t="str">
        <x:v>2025年实际执行.xlsx</x:v>
      </x:c>
      <x:c r="AF35" s="71" t="str">
        <x:v>Sheet</x:v>
      </x:c>
      <x:c r="AG35" s="71" t="n">
        <x:v>35</x:v>
      </x:c>
      <x:c r="AH35" s="71" t="str">
        <x:v>2025年实际执行.xlsx/Sheet!35:35</x:v>
      </x:c>
      <x:c r="AI35" s="62" t="str">
        <x:f>IF(F35=MONTH(L35),"OK","FAIL")</x:f>
        <x:v>OK</x:v>
      </x:c>
      <x:c r="AJ35" s="62" t="str">
        <x:f>IF(J35&lt;=L35,"OK","FAIL")</x:f>
        <x:v>OK</x:v>
      </x:c>
      <x:c r="AK35" s="62" t="str">
        <x:f>IF(D35&lt;&gt;"营业收入","OK",IF(AND(P35&lt;0,Q35&gt;0),"OK","FAIL"))</x:f>
        <x:v>OK</x:v>
      </x:c>
      <x:c r="AL35" s="62" t="str">
        <x:f>IF(COUNTIF($A$2:$A$218,A35)=1,"OK","FAIL")</x:f>
        <x:v>OK</x:v>
      </x:c>
    </x:row>
    <x:row r="36" ht="23" customHeight="1">
      <x:c r="A36" s="62" t="str">
        <x:v>DEMO01|2025|DOC2034|10</x:v>
      </x:c>
      <x:c r="B36" s="62" t="str">
        <x:v>CORRECTED</x:v>
      </x:c>
      <x:c r="C36" s="62" t="str">
        <x:v>业务支持费</x:v>
      </x:c>
      <x:c r="D36" s="62" t="str">
        <x:v>业务支持费-其他</x:v>
      </x:c>
      <x:c r="E36" s="62" t="n">
        <x:v>5</x:v>
      </x:c>
      <x:c r="F36" s="62" t="n">
        <x:v>4</x:v>
      </x:c>
      <x:c r="G36" s="62" t="str">
        <x:v>DOC2034</x:v>
      </x:c>
      <x:c r="H36" s="62" t="n">
        <x:v>10</x:v>
      </x:c>
      <x:c r="I36" s="74" t="n">
        <x:v>45767</x:v>
      </x:c>
      <x:c r="J36" s="74" t="n">
        <x:v>45767</x:v>
      </x:c>
      <x:c r="K36" s="74" t="n">
        <x:v>45767</x:v>
      </x:c>
      <x:c r="L36" s="74" t="n">
        <x:v>45767</x:v>
      </x:c>
      <x:c r="M36" s="77" t="n">
        <x:v>4</x:v>
      </x:c>
      <x:c r="N36" s="77"/>
      <x:c r="O36" s="78"/>
      <x:c r="P36" s="79" t="n">
        <x:f>M36</x:f>
        <x:v>4</x:v>
      </x:c>
      <x:c r="Q36" s="79" t="n">
        <x:f>IF(D36="营业收入",-P36,P36)</x:f>
        <x:v>4</x:v>
      </x:c>
      <x:c r="R36" s="62" t="str">
        <x:v>CNY</x:v>
      </x:c>
      <x:c r="S36" s="62" t="str">
        <x:v>万元</x:v>
      </x:c>
      <x:c r="T36" s="62" t="str">
        <x:v>费用不含税</x:v>
      </x:c>
      <x:c r="U36" s="62" t="str">
        <x:v>技术部</x:v>
      </x:c>
      <x:c r="V36" s="62" t="str">
        <x:v>确认热能动力研究_实际成本</x:v>
      </x:c>
      <x:c r="W36" s="62" t="str">
        <x:v>确认热能动力研究_实际成本</x:v>
      </x:c>
      <x:c r="X36" s="62" t="str">
        <x:v>中核运维</x:v>
      </x:c>
      <x:c r="Y36" s="62" t="str">
        <x:v>中核运维</x:v>
      </x:c>
      <x:c r="Z36" s="62" t="str">
        <x:v>17</x:v>
      </x:c>
      <x:c r="AA36" s="62" t="str">
        <x:v>热能动力研究</x:v>
      </x:c>
      <x:c r="AB36" s="62" t="str">
        <x:v>PRJ-JS-热能-2024-001</x:v>
      </x:c>
      <x:c r="AC36" s="74" t="n">
        <x:v>46022</x:v>
      </x:c>
      <x:c r="AD36" s="71" t="str">
        <x:v>期间改为过账月</x:v>
      </x:c>
      <x:c r="AE36" s="71" t="str">
        <x:v>2025年实际执行.xlsx</x:v>
      </x:c>
      <x:c r="AF36" s="71" t="str">
        <x:v>Sheet</x:v>
      </x:c>
      <x:c r="AG36" s="71" t="n">
        <x:v>36</x:v>
      </x:c>
      <x:c r="AH36" s="71" t="str">
        <x:v>2025年实际执行.xlsx/Sheet!36:36</x:v>
      </x:c>
      <x:c r="AI36" s="62" t="str">
        <x:f>IF(F36=MONTH(L36),"OK","FAIL")</x:f>
        <x:v>OK</x:v>
      </x:c>
      <x:c r="AJ36" s="62" t="str">
        <x:f>IF(J36&lt;=L36,"OK","FAIL")</x:f>
        <x:v>OK</x:v>
      </x:c>
      <x:c r="AK36" s="62" t="str">
        <x:f>IF(D36&lt;&gt;"营业收入","OK",IF(AND(P36&lt;0,Q36&gt;0),"OK","FAIL"))</x:f>
        <x:v>OK</x:v>
      </x:c>
      <x:c r="AL36" s="62" t="str">
        <x:f>IF(COUNTIF($A$2:$A$218,A36)=1,"OK","FAIL")</x:f>
        <x:v>OK</x:v>
      </x:c>
    </x:row>
    <x:row r="37" ht="23" customHeight="1">
      <x:c r="A37" s="62" t="str">
        <x:v>DEMO01|2025|DOC2035|10</x:v>
      </x:c>
      <x:c r="B37" s="62" t="str">
        <x:v>SOURCE</x:v>
      </x:c>
      <x:c r="C37" s="62" t="str">
        <x:v>营业收入</x:v>
      </x:c>
      <x:c r="D37" s="62" t="str">
        <x:v>营业收入</x:v>
      </x:c>
      <x:c r="E37" s="62" t="n">
        <x:v>6</x:v>
      </x:c>
      <x:c r="F37" s="62" t="n">
        <x:v>6</x:v>
      </x:c>
      <x:c r="G37" s="62" t="str">
        <x:v>DOC2035</x:v>
      </x:c>
      <x:c r="H37" s="62" t="n">
        <x:v>10</x:v>
      </x:c>
      <x:c r="I37" s="74" t="n">
        <x:v>45823</x:v>
      </x:c>
      <x:c r="J37" s="74" t="n">
        <x:v>45823</x:v>
      </x:c>
      <x:c r="K37" s="74" t="n">
        <x:v>45823</x:v>
      </x:c>
      <x:c r="L37" s="74" t="n">
        <x:v>45823</x:v>
      </x:c>
      <x:c r="M37" s="77" t="n">
        <x:v>-43.6222215</x:v>
      </x:c>
      <x:c r="N37" s="77"/>
      <x:c r="O37" s="78"/>
      <x:c r="P37" s="79" t="n">
        <x:f>M37</x:f>
        <x:v>-43.6222215</x:v>
      </x:c>
      <x:c r="Q37" s="79" t="n">
        <x:f>IF(D37="营业收入",-P37,P37)</x:f>
        <x:v>43.6222215</x:v>
      </x:c>
      <x:c r="R37" s="62" t="str">
        <x:v>CNY</x:v>
      </x:c>
      <x:c r="S37" s="62" t="str">
        <x:v>万元</x:v>
      </x:c>
      <x:c r="T37" s="62" t="str">
        <x:v>收益；源负号</x:v>
      </x:c>
      <x:c r="U37" s="62" t="str">
        <x:v>技术部</x:v>
      </x:c>
      <x:c r="V37" s="62" t="str">
        <x:v>热能动力研究收入确认</x:v>
      </x:c>
      <x:c r="W37" s="62" t="str">
        <x:v>热能动力研究收入确认</x:v>
      </x:c>
      <x:c r="X37" s="62" t="str">
        <x:v>17</x:v>
      </x:c>
      <x:c r="Y37" s="62" t="str">
        <x:v>17</x:v>
      </x:c>
      <x:c r="Z37" s="62" t="str">
        <x:v>17</x:v>
      </x:c>
      <x:c r="AA37" s="62" t="str">
        <x:v>热能动力研究</x:v>
      </x:c>
      <x:c r="AB37" s="62" t="str">
        <x:v>PRJ-JS-热能-2025-002</x:v>
      </x:c>
      <x:c r="AC37" s="74" t="n">
        <x:v>46022</x:v>
      </x:c>
      <x:c r="AD37" s="71" t="str">
        <x:v>源记录保留</x:v>
      </x:c>
      <x:c r="AE37" s="71" t="str">
        <x:v>2025年实际执行.xlsx</x:v>
      </x:c>
      <x:c r="AF37" s="71" t="str">
        <x:v>Sheet</x:v>
      </x:c>
      <x:c r="AG37" s="71" t="n">
        <x:v>37</x:v>
      </x:c>
      <x:c r="AH37" s="71" t="str">
        <x:v>2025年实际执行.xlsx/Sheet!37:37</x:v>
      </x:c>
      <x:c r="AI37" s="62" t="str">
        <x:f>IF(F37=MONTH(L37),"OK","FAIL")</x:f>
        <x:v>OK</x:v>
      </x:c>
      <x:c r="AJ37" s="62" t="str">
        <x:f>IF(J37&lt;=L37,"OK","FAIL")</x:f>
        <x:v>OK</x:v>
      </x:c>
      <x:c r="AK37" s="62" t="str">
        <x:f>IF(D37&lt;&gt;"营业收入","OK",IF(AND(P37&lt;0,Q37&gt;0),"OK","FAIL"))</x:f>
        <x:v>OK</x:v>
      </x:c>
      <x:c r="AL37" s="62" t="str">
        <x:f>IF(COUNTIF($A$2:$A$218,A37)=1,"OK","FAIL")</x:f>
        <x:v>OK</x:v>
      </x:c>
    </x:row>
    <x:row r="38" ht="23" customHeight="1">
      <x:c r="A38" s="62" t="str">
        <x:v>DEMO01|2025|DOC2036|10</x:v>
      </x:c>
      <x:c r="B38" s="62" t="str">
        <x:v>SOURCE</x:v>
      </x:c>
      <x:c r="C38" s="62" t="str">
        <x:v>会议费</x:v>
      </x:c>
      <x:c r="D38" s="62" t="str">
        <x:v>会议费</x:v>
      </x:c>
      <x:c r="E38" s="62" t="n">
        <x:v>8</x:v>
      </x:c>
      <x:c r="F38" s="62" t="n">
        <x:v>8</x:v>
      </x:c>
      <x:c r="G38" s="62" t="str">
        <x:v>DOC2036</x:v>
      </x:c>
      <x:c r="H38" s="62" t="n">
        <x:v>10</x:v>
      </x:c>
      <x:c r="I38" s="74" t="n">
        <x:v>45884</x:v>
      </x:c>
      <x:c r="J38" s="74" t="n">
        <x:v>45884</x:v>
      </x:c>
      <x:c r="K38" s="74" t="n">
        <x:v>45884</x:v>
      </x:c>
      <x:c r="L38" s="74" t="n">
        <x:v>45884</x:v>
      </x:c>
      <x:c r="M38" s="77" t="n">
        <x:v>5</x:v>
      </x:c>
      <x:c r="N38" s="77"/>
      <x:c r="O38" s="78"/>
      <x:c r="P38" s="79" t="n">
        <x:f>M38</x:f>
        <x:v>5</x:v>
      </x:c>
      <x:c r="Q38" s="79" t="n">
        <x:f>IF(D38="营业收入",-P38,P38)</x:f>
        <x:v>5</x:v>
      </x:c>
      <x:c r="R38" s="62" t="str">
        <x:v>CNY</x:v>
      </x:c>
      <x:c r="S38" s="62" t="str">
        <x:v>万元</x:v>
      </x:c>
      <x:c r="T38" s="62" t="str">
        <x:v>费用不含税</x:v>
      </x:c>
      <x:c r="U38" s="62" t="str">
        <x:v>技术部</x:v>
      </x:c>
      <x:c r="V38" s="62" t="str">
        <x:v>热能动力研究项目阶段评审会</x:v>
      </x:c>
      <x:c r="W38" s="62" t="str">
        <x:v>热能动力研究项目阶段评审会</x:v>
      </x:c>
      <x:c r="X38" s="62" t="str">
        <x:v>中核运维</x:v>
      </x:c>
      <x:c r="Y38" s="62" t="str">
        <x:v>中核运维</x:v>
      </x:c>
      <x:c r="Z38" s="62" t="str">
        <x:v>17</x:v>
      </x:c>
      <x:c r="AA38" s="62" t="str">
        <x:v>热能动力研究</x:v>
      </x:c>
      <x:c r="AB38" s="62" t="str">
        <x:v>PRJ-JS-热能-2025-002</x:v>
      </x:c>
      <x:c r="AC38" s="74" t="n">
        <x:v>46022</x:v>
      </x:c>
      <x:c r="AD38" s="71" t="str">
        <x:v>源记录保留</x:v>
      </x:c>
      <x:c r="AE38" s="71" t="str">
        <x:v>2025年实际执行.xlsx</x:v>
      </x:c>
      <x:c r="AF38" s="71" t="str">
        <x:v>Sheet</x:v>
      </x:c>
      <x:c r="AG38" s="71" t="n">
        <x:v>38</x:v>
      </x:c>
      <x:c r="AH38" s="71" t="str">
        <x:v>2025年实际执行.xlsx/Sheet!38:38</x:v>
      </x:c>
      <x:c r="AI38" s="62" t="str">
        <x:f>IF(F38=MONTH(L38),"OK","FAIL")</x:f>
        <x:v>OK</x:v>
      </x:c>
      <x:c r="AJ38" s="62" t="str">
        <x:f>IF(J38&lt;=L38,"OK","FAIL")</x:f>
        <x:v>OK</x:v>
      </x:c>
      <x:c r="AK38" s="62" t="str">
        <x:f>IF(D38&lt;&gt;"营业收入","OK",IF(AND(P38&lt;0,Q38&gt;0),"OK","FAIL"))</x:f>
        <x:v>OK</x:v>
      </x:c>
      <x:c r="AL38" s="62" t="str">
        <x:f>IF(COUNTIF($A$2:$A$218,A38)=1,"OK","FAIL")</x:f>
        <x:v>OK</x:v>
      </x:c>
    </x:row>
    <x:row r="39" ht="23" customHeight="1">
      <x:c r="A39" s="62" t="str">
        <x:v>DEMO01|2025|DOC2037|10</x:v>
      </x:c>
      <x:c r="B39" s="62" t="str">
        <x:v>SOURCE</x:v>
      </x:c>
      <x:c r="C39" s="62" t="str">
        <x:v>业务支持费</x:v>
      </x:c>
      <x:c r="D39" s="62" t="str">
        <x:v>业务支持费-技术配置</x:v>
      </x:c>
      <x:c r="E39" s="62" t="n">
        <x:v>2</x:v>
      </x:c>
      <x:c r="F39" s="62" t="n">
        <x:v>2</x:v>
      </x:c>
      <x:c r="G39" s="62" t="str">
        <x:v>DOC2037</x:v>
      </x:c>
      <x:c r="H39" s="62" t="n">
        <x:v>10</x:v>
      </x:c>
      <x:c r="I39" s="74" t="n">
        <x:v>45703</x:v>
      </x:c>
      <x:c r="J39" s="74" t="n">
        <x:v>45703</x:v>
      </x:c>
      <x:c r="K39" s="74" t="n">
        <x:v>45703</x:v>
      </x:c>
      <x:c r="L39" s="74" t="n">
        <x:v>45703</x:v>
      </x:c>
      <x:c r="M39" s="77" t="n">
        <x:v>13</x:v>
      </x:c>
      <x:c r="N39" s="77"/>
      <x:c r="O39" s="78"/>
      <x:c r="P39" s="79" t="n">
        <x:f>M39</x:f>
        <x:v>13</x:v>
      </x:c>
      <x:c r="Q39" s="79" t="n">
        <x:f>IF(D39="营业收入",-P39,P39)</x:f>
        <x:v>13</x:v>
      </x:c>
      <x:c r="R39" s="62" t="str">
        <x:v>CNY</x:v>
      </x:c>
      <x:c r="S39" s="62" t="str">
        <x:v>万元</x:v>
      </x:c>
      <x:c r="T39" s="62" t="str">
        <x:v>费用不含税</x:v>
      </x:c>
      <x:c r="U39" s="62" t="str">
        <x:v>技术部</x:v>
      </x:c>
      <x:c r="V39" s="62" t="str">
        <x:v>热能动力研究技术配置_实施阶段</x:v>
      </x:c>
      <x:c r="W39" s="62" t="str">
        <x:v>热能动力研究技术配置_实施阶段</x:v>
      </x:c>
      <x:c r="X39" s="62" t="str">
        <x:v>供应商3</x:v>
      </x:c>
      <x:c r="Y39" s="62" t="str">
        <x:v>供应商3</x:v>
      </x:c>
      <x:c r="Z39" s="62" t="str">
        <x:v>17</x:v>
      </x:c>
      <x:c r="AA39" s="62" t="str">
        <x:v>热能动力研究</x:v>
      </x:c>
      <x:c r="AB39" s="62" t="str">
        <x:v>PRJ-JS-热能-2025-002</x:v>
      </x:c>
      <x:c r="AC39" s="74" t="n">
        <x:v>46022</x:v>
      </x:c>
      <x:c r="AD39" s="71" t="str">
        <x:v>源记录保留</x:v>
      </x:c>
      <x:c r="AE39" s="71" t="str">
        <x:v>2025年实际执行.xlsx</x:v>
      </x:c>
      <x:c r="AF39" s="71" t="str">
        <x:v>Sheet</x:v>
      </x:c>
      <x:c r="AG39" s="71" t="n">
        <x:v>39</x:v>
      </x:c>
      <x:c r="AH39" s="71" t="str">
        <x:v>2025年实际执行.xlsx/Sheet!39:39</x:v>
      </x:c>
      <x:c r="AI39" s="62" t="str">
        <x:f>IF(F39=MONTH(L39),"OK","FAIL")</x:f>
        <x:v>OK</x:v>
      </x:c>
      <x:c r="AJ39" s="62" t="str">
        <x:f>IF(J39&lt;=L39,"OK","FAIL")</x:f>
        <x:v>OK</x:v>
      </x:c>
      <x:c r="AK39" s="62" t="str">
        <x:f>IF(D39&lt;&gt;"营业收入","OK",IF(AND(P39&lt;0,Q39&gt;0),"OK","FAIL"))</x:f>
        <x:v>OK</x:v>
      </x:c>
      <x:c r="AL39" s="62" t="str">
        <x:f>IF(COUNTIF($A$2:$A$218,A39)=1,"OK","FAIL")</x:f>
        <x:v>OK</x:v>
      </x:c>
    </x:row>
    <x:row r="40" ht="23" customHeight="1">
      <x:c r="A40" s="62" t="str">
        <x:v>DEMO01|2025|DOC2038|10</x:v>
      </x:c>
      <x:c r="B40" s="62" t="str">
        <x:v>SOURCE</x:v>
      </x:c>
      <x:c r="C40" s="62" t="str">
        <x:v>生产物料费</x:v>
      </x:c>
      <x:c r="D40" s="62" t="str">
        <x:v>生产物料费</x:v>
      </x:c>
      <x:c r="E40" s="62" t="n">
        <x:v>1</x:v>
      </x:c>
      <x:c r="F40" s="62" t="n">
        <x:v>1</x:v>
      </x:c>
      <x:c r="G40" s="62" t="str">
        <x:v>DOC2038</x:v>
      </x:c>
      <x:c r="H40" s="62" t="n">
        <x:v>10</x:v>
      </x:c>
      <x:c r="I40" s="74" t="n">
        <x:v>45672</x:v>
      </x:c>
      <x:c r="J40" s="74" t="n">
        <x:v>45672</x:v>
      </x:c>
      <x:c r="K40" s="74" t="n">
        <x:v>45672</x:v>
      </x:c>
      <x:c r="L40" s="74" t="n">
        <x:v>45672</x:v>
      </x:c>
      <x:c r="M40" s="77" t="n">
        <x:v>2.283</x:v>
      </x:c>
      <x:c r="N40" s="77"/>
      <x:c r="O40" s="78"/>
      <x:c r="P40" s="79" t="n">
        <x:f>M40</x:f>
        <x:v>2.283</x:v>
      </x:c>
      <x:c r="Q40" s="79" t="n">
        <x:f>IF(D40="营业收入",-P40,P40)</x:f>
        <x:v>2.283</x:v>
      </x:c>
      <x:c r="R40" s="62" t="str">
        <x:v>CNY</x:v>
      </x:c>
      <x:c r="S40" s="62" t="str">
        <x:v>万元</x:v>
      </x:c>
      <x:c r="T40" s="62" t="str">
        <x:v>费用不含税</x:v>
      </x:c>
      <x:c r="U40" s="62" t="str">
        <x:v>技术部</x:v>
      </x:c>
      <x:c r="V40" s="62" t="str">
        <x:v>热能动力研究现场物料采购</x:v>
      </x:c>
      <x:c r="W40" s="62" t="str">
        <x:v>热能动力研究现场物料采购</x:v>
      </x:c>
      <x:c r="X40" s="62" t="str">
        <x:v>中核运维</x:v>
      </x:c>
      <x:c r="Y40" s="62" t="str">
        <x:v>中核运维</x:v>
      </x:c>
      <x:c r="Z40" s="62" t="str">
        <x:v>17</x:v>
      </x:c>
      <x:c r="AA40" s="62" t="str">
        <x:v>热能动力研究</x:v>
      </x:c>
      <x:c r="AB40" s="62" t="str">
        <x:v>PRJ-JS-热能-2025-002</x:v>
      </x:c>
      <x:c r="AC40" s="74" t="n">
        <x:v>46022</x:v>
      </x:c>
      <x:c r="AD40" s="71" t="str">
        <x:v>源记录保留</x:v>
      </x:c>
      <x:c r="AE40" s="71" t="str">
        <x:v>2025年实际执行.xlsx</x:v>
      </x:c>
      <x:c r="AF40" s="71" t="str">
        <x:v>Sheet</x:v>
      </x:c>
      <x:c r="AG40" s="71" t="n">
        <x:v>40</x:v>
      </x:c>
      <x:c r="AH40" s="71" t="str">
        <x:v>2025年实际执行.xlsx/Sheet!40:40</x:v>
      </x:c>
      <x:c r="AI40" s="62" t="str">
        <x:f>IF(F40=MONTH(L40),"OK","FAIL")</x:f>
        <x:v>OK</x:v>
      </x:c>
      <x:c r="AJ40" s="62" t="str">
        <x:f>IF(J40&lt;=L40,"OK","FAIL")</x:f>
        <x:v>OK</x:v>
      </x:c>
      <x:c r="AK40" s="62" t="str">
        <x:f>IF(D40&lt;&gt;"营业收入","OK",IF(AND(P40&lt;0,Q40&gt;0),"OK","FAIL"))</x:f>
        <x:v>OK</x:v>
      </x:c>
      <x:c r="AL40" s="62" t="str">
        <x:f>IF(COUNTIF($A$2:$A$218,A40)=1,"OK","FAIL")</x:f>
        <x:v>OK</x:v>
      </x:c>
    </x:row>
    <x:row r="41" ht="23" customHeight="1">
      <x:c r="A41" s="62" t="str">
        <x:v>DEMO01|2025|DOC2039|10</x:v>
      </x:c>
      <x:c r="B41" s="62" t="str">
        <x:v>SOURCE</x:v>
      </x:c>
      <x:c r="C41" s="62" t="str">
        <x:v>办公费</x:v>
      </x:c>
      <x:c r="D41" s="62" t="str">
        <x:v>办公费</x:v>
      </x:c>
      <x:c r="E41" s="62" t="n">
        <x:v>2</x:v>
      </x:c>
      <x:c r="F41" s="62" t="n">
        <x:v>2</x:v>
      </x:c>
      <x:c r="G41" s="62" t="str">
        <x:v>DOC2039</x:v>
      </x:c>
      <x:c r="H41" s="62" t="n">
        <x:v>10</x:v>
      </x:c>
      <x:c r="I41" s="74" t="n">
        <x:v>45703</x:v>
      </x:c>
      <x:c r="J41" s="74" t="n">
        <x:v>45703</x:v>
      </x:c>
      <x:c r="K41" s="74" t="n">
        <x:v>45703</x:v>
      </x:c>
      <x:c r="L41" s="74" t="n">
        <x:v>45703</x:v>
      </x:c>
      <x:c r="M41" s="77" t="n">
        <x:v>0.4566</x:v>
      </x:c>
      <x:c r="N41" s="77"/>
      <x:c r="O41" s="78"/>
      <x:c r="P41" s="79" t="n">
        <x:f>M41</x:f>
        <x:v>0.4566</x:v>
      </x:c>
      <x:c r="Q41" s="79" t="n">
        <x:f>IF(D41="营业收入",-P41,P41)</x:f>
        <x:v>0.4566</x:v>
      </x:c>
      <x:c r="R41" s="62" t="str">
        <x:v>CNY</x:v>
      </x:c>
      <x:c r="S41" s="62" t="str">
        <x:v>万元</x:v>
      </x:c>
      <x:c r="T41" s="62" t="str">
        <x:v>费用不含税</x:v>
      </x:c>
      <x:c r="U41" s="62" t="str">
        <x:v>技术部</x:v>
      </x:c>
      <x:c r="V41" s="62" t="str">
        <x:v>热能动力研究日常办公</x:v>
      </x:c>
      <x:c r="W41" s="62" t="str">
        <x:v>热能动力研究日常办公</x:v>
      </x:c>
      <x:c r="X41" s="62" t="str">
        <x:v>中核运维</x:v>
      </x:c>
      <x:c r="Y41" s="62" t="str">
        <x:v>中核运维</x:v>
      </x:c>
      <x:c r="Z41" s="62" t="str">
        <x:v>17</x:v>
      </x:c>
      <x:c r="AA41" s="62" t="str">
        <x:v>热能动力研究</x:v>
      </x:c>
      <x:c r="AB41" s="62" t="str">
        <x:v>PRJ-JS-热能-2025-002</x:v>
      </x:c>
      <x:c r="AC41" s="74" t="n">
        <x:v>46022</x:v>
      </x:c>
      <x:c r="AD41" s="71" t="str">
        <x:v>源记录保留</x:v>
      </x:c>
      <x:c r="AE41" s="71" t="str">
        <x:v>2025年实际执行.xlsx</x:v>
      </x:c>
      <x:c r="AF41" s="71" t="str">
        <x:v>Sheet</x:v>
      </x:c>
      <x:c r="AG41" s="71" t="n">
        <x:v>41</x:v>
      </x:c>
      <x:c r="AH41" s="71" t="str">
        <x:v>2025年实际执行.xlsx/Sheet!41:41</x:v>
      </x:c>
      <x:c r="AI41" s="62" t="str">
        <x:f>IF(F41=MONTH(L41),"OK","FAIL")</x:f>
        <x:v>OK</x:v>
      </x:c>
      <x:c r="AJ41" s="62" t="str">
        <x:f>IF(J41&lt;=L41,"OK","FAIL")</x:f>
        <x:v>OK</x:v>
      </x:c>
      <x:c r="AK41" s="62" t="str">
        <x:f>IF(D41&lt;&gt;"营业收入","OK",IF(AND(P41&lt;0,Q41&gt;0),"OK","FAIL"))</x:f>
        <x:v>OK</x:v>
      </x:c>
      <x:c r="AL41" s="62" t="str">
        <x:f>IF(COUNTIF($A$2:$A$218,A41)=1,"OK","FAIL")</x:f>
        <x:v>OK</x:v>
      </x:c>
    </x:row>
    <x:row r="42" ht="23" customHeight="1">
      <x:c r="A42" s="62" t="str">
        <x:v>DEMO01|2025|DOC2040|10</x:v>
      </x:c>
      <x:c r="B42" s="62" t="str">
        <x:v>CORRECTED</x:v>
      </x:c>
      <x:c r="C42" s="62" t="str">
        <x:v>交通运输费</x:v>
      </x:c>
      <x:c r="D42" s="62" t="str">
        <x:v>交通运输费</x:v>
      </x:c>
      <x:c r="E42" s="62" t="n">
        <x:v>3</x:v>
      </x:c>
      <x:c r="F42" s="62" t="n">
        <x:v>3</x:v>
      </x:c>
      <x:c r="G42" s="62" t="str">
        <x:v>DOC2040</x:v>
      </x:c>
      <x:c r="H42" s="62" t="n">
        <x:v>10</x:v>
      </x:c>
      <x:c r="I42" s="74" t="n">
        <x:v>45731</x:v>
      </x:c>
      <x:c r="J42" s="74" t="n">
        <x:v>45731</x:v>
      </x:c>
      <x:c r="K42" s="74" t="n">
        <x:v>45731</x:v>
      </x:c>
      <x:c r="L42" s="74" t="n">
        <x:v>45731</x:v>
      </x:c>
      <x:c r="M42" s="77" t="n">
        <x:v>0.761</x:v>
      </x:c>
      <x:c r="N42" s="77"/>
      <x:c r="O42" s="78"/>
      <x:c r="P42" s="79" t="n">
        <x:f>M42</x:f>
        <x:v>0.761</x:v>
      </x:c>
      <x:c r="Q42" s="79" t="n">
        <x:f>IF(D42="营业收入",-P42,P42)</x:f>
        <x:v>0.761</x:v>
      </x:c>
      <x:c r="R42" s="62" t="str">
        <x:v>CNY</x:v>
      </x:c>
      <x:c r="S42" s="62" t="str">
        <x:v>万元</x:v>
      </x:c>
      <x:c r="T42" s="62" t="str">
        <x:v>费用不含税</x:v>
      </x:c>
      <x:c r="U42" s="62" t="str">
        <x:v>技术部</x:v>
      </x:c>
      <x:c r="V42" s="62" t="str">
        <x:v>热能动力研究材料运输</x:v>
      </x:c>
      <x:c r="W42" s="62" t="str">
        <x:v>热能动力研究材料运输</x:v>
      </x:c>
      <x:c r="X42" s="62" t="str">
        <x:v>中核运维</x:v>
      </x:c>
      <x:c r="Y42" s="62" t="str">
        <x:v>中核运维</x:v>
      </x:c>
      <x:c r="Z42" s="62" t="str">
        <x:v>17</x:v>
      </x:c>
      <x:c r="AA42" s="62" t="str">
        <x:v>热能动力研究</x:v>
      </x:c>
      <x:c r="AB42" s="62" t="str">
        <x:v>PRJ-JS-热能-2025-002</x:v>
      </x:c>
      <x:c r="AC42" s="74" t="n">
        <x:v>46022</x:v>
      </x:c>
      <x:c r="AD42" s="71" t="str">
        <x:v>补凭证行号</x:v>
      </x:c>
      <x:c r="AE42" s="71" t="str">
        <x:v>2025年实际执行.xlsx</x:v>
      </x:c>
      <x:c r="AF42" s="71" t="str">
        <x:v>Sheet</x:v>
      </x:c>
      <x:c r="AG42" s="71" t="n">
        <x:v>42</x:v>
      </x:c>
      <x:c r="AH42" s="71" t="str">
        <x:v>2025年实际执行.xlsx/Sheet!42:42</x:v>
      </x:c>
      <x:c r="AI42" s="62" t="str">
        <x:f>IF(F42=MONTH(L42),"OK","FAIL")</x:f>
        <x:v>OK</x:v>
      </x:c>
      <x:c r="AJ42" s="62" t="str">
        <x:f>IF(J42&lt;=L42,"OK","FAIL")</x:f>
        <x:v>OK</x:v>
      </x:c>
      <x:c r="AK42" s="62" t="str">
        <x:f>IF(D42&lt;&gt;"营业收入","OK",IF(AND(P42&lt;0,Q42&gt;0),"OK","FAIL"))</x:f>
        <x:v>OK</x:v>
      </x:c>
      <x:c r="AL42" s="62" t="str">
        <x:f>IF(COUNTIF($A$2:$A$218,A42)=1,"OK","FAIL")</x:f>
        <x:v>OK</x:v>
      </x:c>
    </x:row>
    <x:row r="43" ht="23" customHeight="1">
      <x:c r="A43" s="62" t="str">
        <x:v>DEMO01|2025|DOC2041|10</x:v>
      </x:c>
      <x:c r="B43" s="62" t="str">
        <x:v>SOURCE</x:v>
      </x:c>
      <x:c r="C43" s="62" t="str">
        <x:v>人工成本</x:v>
      </x:c>
      <x:c r="D43" s="62" t="str">
        <x:v>人工成本</x:v>
      </x:c>
      <x:c r="E43" s="62" t="n">
        <x:v>6</x:v>
      </x:c>
      <x:c r="F43" s="62" t="n">
        <x:v>6</x:v>
      </x:c>
      <x:c r="G43" s="62" t="str">
        <x:v>DOC2041</x:v>
      </x:c>
      <x:c r="H43" s="62" t="n">
        <x:v>10</x:v>
      </x:c>
      <x:c r="I43" s="74" t="n">
        <x:v>45838</x:v>
      </x:c>
      <x:c r="J43" s="74" t="n">
        <x:v>45838</x:v>
      </x:c>
      <x:c r="K43" s="74" t="n">
        <x:v>45838</x:v>
      </x:c>
      <x:c r="L43" s="74" t="n">
        <x:v>45838</x:v>
      </x:c>
      <x:c r="M43" s="77" t="n">
        <x:v>7</x:v>
      </x:c>
      <x:c r="N43" s="77"/>
      <x:c r="O43" s="78"/>
      <x:c r="P43" s="79" t="n">
        <x:f>M43</x:f>
        <x:v>7</x:v>
      </x:c>
      <x:c r="Q43" s="79" t="n">
        <x:f>IF(D43="营业收入",-P43,P43)</x:f>
        <x:v>7</x:v>
      </x:c>
      <x:c r="R43" s="62" t="str">
        <x:v>CNY</x:v>
      </x:c>
      <x:c r="S43" s="62" t="str">
        <x:v>万元</x:v>
      </x:c>
      <x:c r="T43" s="62" t="str">
        <x:v>费用不含税</x:v>
      </x:c>
      <x:c r="U43" s="62" t="str">
        <x:v>技术部</x:v>
      </x:c>
      <x:c r="V43" s="62" t="str">
        <x:v>热能动力研究人工成本分摊</x:v>
      </x:c>
      <x:c r="W43" s="62" t="str">
        <x:v>热能动力研究人工成本分摊</x:v>
      </x:c>
      <x:c r="X43" s="62" t="str">
        <x:v>17</x:v>
      </x:c>
      <x:c r="Y43" s="62" t="str">
        <x:v>17</x:v>
      </x:c>
      <x:c r="Z43" s="62" t="str">
        <x:v>17</x:v>
      </x:c>
      <x:c r="AA43" s="62" t="str">
        <x:v>热能动力研究</x:v>
      </x:c>
      <x:c r="AB43" s="62" t="str">
        <x:v>PRJ-JS-热能-2025-002</x:v>
      </x:c>
      <x:c r="AC43" s="74" t="n">
        <x:v>46022</x:v>
      </x:c>
      <x:c r="AD43" s="71" t="str">
        <x:v>源记录保留</x:v>
      </x:c>
      <x:c r="AE43" s="71" t="str">
        <x:v>2025年实际执行.xlsx</x:v>
      </x:c>
      <x:c r="AF43" s="71" t="str">
        <x:v>Sheet</x:v>
      </x:c>
      <x:c r="AG43" s="71" t="n">
        <x:v>43</x:v>
      </x:c>
      <x:c r="AH43" s="71" t="str">
        <x:v>2025年实际执行.xlsx/Sheet!43:43</x:v>
      </x:c>
      <x:c r="AI43" s="62" t="str">
        <x:f>IF(F43=MONTH(L43),"OK","FAIL")</x:f>
        <x:v>OK</x:v>
      </x:c>
      <x:c r="AJ43" s="62" t="str">
        <x:f>IF(J43&lt;=L43,"OK","FAIL")</x:f>
        <x:v>OK</x:v>
      </x:c>
      <x:c r="AK43" s="62" t="str">
        <x:f>IF(D43&lt;&gt;"营业收入","OK",IF(AND(P43&lt;0,Q43&gt;0),"OK","FAIL"))</x:f>
        <x:v>OK</x:v>
      </x:c>
      <x:c r="AL43" s="62" t="str">
        <x:f>IF(COUNTIF($A$2:$A$218,A43)=1,"OK","FAIL")</x:f>
        <x:v>OK</x:v>
      </x:c>
    </x:row>
    <x:row r="44" ht="23" customHeight="1">
      <x:c r="A44" s="62" t="str">
        <x:v>DEMO01|2025|DOC2042|10</x:v>
      </x:c>
      <x:c r="B44" s="62" t="str">
        <x:v>SOURCE</x:v>
      </x:c>
      <x:c r="C44" s="62" t="str">
        <x:v>折旧摊销</x:v>
      </x:c>
      <x:c r="D44" s="62" t="str">
        <x:v>折旧摊销</x:v>
      </x:c>
      <x:c r="E44" s="62" t="n">
        <x:v>12</x:v>
      </x:c>
      <x:c r="F44" s="62" t="n">
        <x:v>12</x:v>
      </x:c>
      <x:c r="G44" s="62" t="str">
        <x:v>DOC2042</x:v>
      </x:c>
      <x:c r="H44" s="62" t="n">
        <x:v>10</x:v>
      </x:c>
      <x:c r="I44" s="74" t="n">
        <x:v>46022</x:v>
      </x:c>
      <x:c r="J44" s="74" t="n">
        <x:v>46022</x:v>
      </x:c>
      <x:c r="K44" s="74" t="n">
        <x:v>46022</x:v>
      </x:c>
      <x:c r="L44" s="74" t="n">
        <x:v>46022</x:v>
      </x:c>
      <x:c r="M44" s="77" t="n">
        <x:v>1</x:v>
      </x:c>
      <x:c r="N44" s="77"/>
      <x:c r="O44" s="78"/>
      <x:c r="P44" s="79" t="n">
        <x:f>M44</x:f>
        <x:v>1</x:v>
      </x:c>
      <x:c r="Q44" s="79" t="n">
        <x:f>IF(D44="营业收入",-P44,P44)</x:f>
        <x:v>1</x:v>
      </x:c>
      <x:c r="R44" s="62" t="str">
        <x:v>CNY</x:v>
      </x:c>
      <x:c r="S44" s="62" t="str">
        <x:v>万元</x:v>
      </x:c>
      <x:c r="T44" s="62" t="str">
        <x:v>费用不含税</x:v>
      </x:c>
      <x:c r="U44" s="62" t="str">
        <x:v>技术部</x:v>
      </x:c>
      <x:c r="V44" s="62" t="str">
        <x:v>热能动力研究折旧摊销分摊</x:v>
      </x:c>
      <x:c r="W44" s="62" t="str">
        <x:v>热能动力研究折旧摊销分摊</x:v>
      </x:c>
      <x:c r="X44" s="62" t="str">
        <x:v>17</x:v>
      </x:c>
      <x:c r="Y44" s="62" t="str">
        <x:v>17</x:v>
      </x:c>
      <x:c r="Z44" s="62" t="str">
        <x:v>17</x:v>
      </x:c>
      <x:c r="AA44" s="62" t="str">
        <x:v>热能动力研究</x:v>
      </x:c>
      <x:c r="AB44" s="62" t="str">
        <x:v>PRJ-JS-热能-2025-002</x:v>
      </x:c>
      <x:c r="AC44" s="74" t="n">
        <x:v>46022</x:v>
      </x:c>
      <x:c r="AD44" s="71" t="str">
        <x:v>源记录保留</x:v>
      </x:c>
      <x:c r="AE44" s="71" t="str">
        <x:v>2025年实际执行.xlsx</x:v>
      </x:c>
      <x:c r="AF44" s="71" t="str">
        <x:v>Sheet</x:v>
      </x:c>
      <x:c r="AG44" s="71" t="n">
        <x:v>44</x:v>
      </x:c>
      <x:c r="AH44" s="71" t="str">
        <x:v>2025年实际执行.xlsx/Sheet!44:44</x:v>
      </x:c>
      <x:c r="AI44" s="62" t="str">
        <x:f>IF(F44=MONTH(L44),"OK","FAIL")</x:f>
        <x:v>OK</x:v>
      </x:c>
      <x:c r="AJ44" s="62" t="str">
        <x:f>IF(J44&lt;=L44,"OK","FAIL")</x:f>
        <x:v>OK</x:v>
      </x:c>
      <x:c r="AK44" s="62" t="str">
        <x:f>IF(D44&lt;&gt;"营业收入","OK",IF(AND(P44&lt;0,Q44&gt;0),"OK","FAIL"))</x:f>
        <x:v>OK</x:v>
      </x:c>
      <x:c r="AL44" s="62" t="str">
        <x:f>IF(COUNTIF($A$2:$A$218,A44)=1,"OK","FAIL")</x:f>
        <x:v>OK</x:v>
      </x:c>
    </x:row>
    <x:row r="45" ht="23" customHeight="1">
      <x:c r="A45" s="62" t="str">
        <x:v>DEMO01|2025|DOC2043|10</x:v>
      </x:c>
      <x:c r="B45" s="62" t="str">
        <x:v>CORRECTED</x:v>
      </x:c>
      <x:c r="C45" s="62" t="str">
        <x:v>业务支持费</x:v>
      </x:c>
      <x:c r="D45" s="62" t="str">
        <x:v>业务支持费-其他</x:v>
      </x:c>
      <x:c r="E45" s="62" t="n">
        <x:v>4</x:v>
      </x:c>
      <x:c r="F45" s="62" t="n">
        <x:v>3</x:v>
      </x:c>
      <x:c r="G45" s="62" t="str">
        <x:v>DOC2043</x:v>
      </x:c>
      <x:c r="H45" s="62" t="n">
        <x:v>10</x:v>
      </x:c>
      <x:c r="I45" s="74" t="n">
        <x:v>45828</x:v>
      </x:c>
      <x:c r="J45" s="74" t="n">
        <x:v>45736</x:v>
      </x:c>
      <x:c r="K45" s="74" t="n">
        <x:v>45736</x:v>
      </x:c>
      <x:c r="L45" s="74" t="n">
        <x:v>45736</x:v>
      </x:c>
      <x:c r="M45" s="77" t="n">
        <x:v>5</x:v>
      </x:c>
      <x:c r="N45" s="77"/>
      <x:c r="O45" s="78"/>
      <x:c r="P45" s="79" t="n">
        <x:f>M45</x:f>
        <x:v>5</x:v>
      </x:c>
      <x:c r="Q45" s="79" t="n">
        <x:f>IF(D45="营业收入",-P45,P45)</x:f>
        <x:v>5</x:v>
      </x:c>
      <x:c r="R45" s="62" t="str">
        <x:v>CNY</x:v>
      </x:c>
      <x:c r="S45" s="62" t="str">
        <x:v>万元</x:v>
      </x:c>
      <x:c r="T45" s="62" t="str">
        <x:v>费用不含税</x:v>
      </x:c>
      <x:c r="U45" s="62" t="str">
        <x:v>技术部</x:v>
      </x:c>
      <x:c r="V45" s="62" t="str">
        <x:v>确认热能动力研究_实际成本</x:v>
      </x:c>
      <x:c r="W45" s="62" t="str">
        <x:v>确认热能动力研究_实际成本</x:v>
      </x:c>
      <x:c r="X45" s="62" t="str">
        <x:v>中核运维</x:v>
      </x:c>
      <x:c r="Y45" s="62" t="str">
        <x:v>中核运维</x:v>
      </x:c>
      <x:c r="Z45" s="62" t="str">
        <x:v>17</x:v>
      </x:c>
      <x:c r="AA45" s="62" t="str">
        <x:v>热能动力研究</x:v>
      </x:c>
      <x:c r="AB45" s="62" t="str">
        <x:v>PRJ-JS-热能-2025-002</x:v>
      </x:c>
      <x:c r="AC45" s="74" t="n">
        <x:v>46022</x:v>
      </x:c>
      <x:c r="AD45" s="71" t="str">
        <x:v>期间改为过账月；凭证日期改为过账日</x:v>
      </x:c>
      <x:c r="AE45" s="71" t="str">
        <x:v>2025年实际执行.xlsx</x:v>
      </x:c>
      <x:c r="AF45" s="71" t="str">
        <x:v>Sheet</x:v>
      </x:c>
      <x:c r="AG45" s="71" t="n">
        <x:v>45</x:v>
      </x:c>
      <x:c r="AH45" s="71" t="str">
        <x:v>2025年实际执行.xlsx/Sheet!45:45</x:v>
      </x:c>
      <x:c r="AI45" s="62" t="str">
        <x:f>IF(F45=MONTH(L45),"OK","FAIL")</x:f>
        <x:v>OK</x:v>
      </x:c>
      <x:c r="AJ45" s="62" t="str">
        <x:f>IF(J45&lt;=L45,"OK","FAIL")</x:f>
        <x:v>OK</x:v>
      </x:c>
      <x:c r="AK45" s="62" t="str">
        <x:f>IF(D45&lt;&gt;"营业收入","OK",IF(AND(P45&lt;0,Q45&gt;0),"OK","FAIL"))</x:f>
        <x:v>OK</x:v>
      </x:c>
      <x:c r="AL45" s="62" t="str">
        <x:f>IF(COUNTIF($A$2:$A$218,A45)=1,"OK","FAIL")</x:f>
        <x:v>OK</x:v>
      </x:c>
    </x:row>
    <x:row r="46" ht="23" customHeight="1">
      <x:c r="A46" s="62" t="str">
        <x:v>DEMO01|2025|DOC2044|10</x:v>
      </x:c>
      <x:c r="B46" s="62" t="str">
        <x:v>SOURCE</x:v>
      </x:c>
      <x:c r="C46" s="62" t="str">
        <x:v>营业收入</x:v>
      </x:c>
      <x:c r="D46" s="62" t="str">
        <x:v>营业收入</x:v>
      </x:c>
      <x:c r="E46" s="62" t="n">
        <x:v>6</x:v>
      </x:c>
      <x:c r="F46" s="62" t="n">
        <x:v>6</x:v>
      </x:c>
      <x:c r="G46" s="62" t="str">
        <x:v>DOC2044</x:v>
      </x:c>
      <x:c r="H46" s="62" t="n">
        <x:v>10</x:v>
      </x:c>
      <x:c r="I46" s="74" t="n">
        <x:v>45823</x:v>
      </x:c>
      <x:c r="J46" s="74" t="n">
        <x:v>45823</x:v>
      </x:c>
      <x:c r="K46" s="74" t="n">
        <x:v>45823</x:v>
      </x:c>
      <x:c r="L46" s="74" t="n">
        <x:v>45823</x:v>
      </x:c>
      <x:c r="M46" s="77" t="n">
        <x:v>-42.3222215</x:v>
      </x:c>
      <x:c r="N46" s="77"/>
      <x:c r="O46" s="78"/>
      <x:c r="P46" s="79" t="n">
        <x:f>M46</x:f>
        <x:v>-42.3222215</x:v>
      </x:c>
      <x:c r="Q46" s="79" t="n">
        <x:f>IF(D46="营业收入",-P46,P46)</x:f>
        <x:v>42.3222215</x:v>
      </x:c>
      <x:c r="R46" s="62" t="str">
        <x:v>CNY</x:v>
      </x:c>
      <x:c r="S46" s="62" t="str">
        <x:v>万元</x:v>
      </x:c>
      <x:c r="T46" s="62" t="str">
        <x:v>收益；源负号</x:v>
      </x:c>
      <x:c r="U46" s="62" t="str">
        <x:v>技术部</x:v>
      </x:c>
      <x:c r="V46" s="62" t="str">
        <x:v>热能动力研究收入确认</x:v>
      </x:c>
      <x:c r="W46" s="62" t="str">
        <x:v>热能动力研究收入确认</x:v>
      </x:c>
      <x:c r="X46" s="62" t="str">
        <x:v>17</x:v>
      </x:c>
      <x:c r="Y46" s="62" t="str">
        <x:v>17</x:v>
      </x:c>
      <x:c r="Z46" s="62" t="str">
        <x:v>17</x:v>
      </x:c>
      <x:c r="AA46" s="62" t="str">
        <x:v>热能动力研究</x:v>
      </x:c>
      <x:c r="AB46" s="62" t="str">
        <x:v>PRJ-JS-热能-2025-003</x:v>
      </x:c>
      <x:c r="AC46" s="74" t="n">
        <x:v>46022</x:v>
      </x:c>
      <x:c r="AD46" s="71" t="str">
        <x:v>源记录保留</x:v>
      </x:c>
      <x:c r="AE46" s="71" t="str">
        <x:v>2025年实际执行.xlsx</x:v>
      </x:c>
      <x:c r="AF46" s="71" t="str">
        <x:v>Sheet</x:v>
      </x:c>
      <x:c r="AG46" s="71" t="n">
        <x:v>46</x:v>
      </x:c>
      <x:c r="AH46" s="71" t="str">
        <x:v>2025年实际执行.xlsx/Sheet!46:46</x:v>
      </x:c>
      <x:c r="AI46" s="62" t="str">
        <x:f>IF(F46=MONTH(L46),"OK","FAIL")</x:f>
        <x:v>OK</x:v>
      </x:c>
      <x:c r="AJ46" s="62" t="str">
        <x:f>IF(J46&lt;=L46,"OK","FAIL")</x:f>
        <x:v>OK</x:v>
      </x:c>
      <x:c r="AK46" s="62" t="str">
        <x:f>IF(D46&lt;&gt;"营业收入","OK",IF(AND(P46&lt;0,Q46&gt;0),"OK","FAIL"))</x:f>
        <x:v>OK</x:v>
      </x:c>
      <x:c r="AL46" s="62" t="str">
        <x:f>IF(COUNTIF($A$2:$A$218,A46)=1,"OK","FAIL")</x:f>
        <x:v>OK</x:v>
      </x:c>
    </x:row>
    <x:row r="47" ht="23" customHeight="1">
      <x:c r="A47" s="62" t="str">
        <x:v>DEMO01|2025|DOC2045|10</x:v>
      </x:c>
      <x:c r="B47" s="62" t="str">
        <x:v>SOURCE</x:v>
      </x:c>
      <x:c r="C47" s="62" t="str">
        <x:v>会议费</x:v>
      </x:c>
      <x:c r="D47" s="62" t="str">
        <x:v>会议费</x:v>
      </x:c>
      <x:c r="E47" s="62" t="n">
        <x:v>7</x:v>
      </x:c>
      <x:c r="F47" s="62" t="n">
        <x:v>7</x:v>
      </x:c>
      <x:c r="G47" s="62" t="str">
        <x:v>DOC2045</x:v>
      </x:c>
      <x:c r="H47" s="62" t="n">
        <x:v>10</x:v>
      </x:c>
      <x:c r="I47" s="74" t="n">
        <x:v>45853</x:v>
      </x:c>
      <x:c r="J47" s="74" t="n">
        <x:v>45853</x:v>
      </x:c>
      <x:c r="K47" s="74" t="n">
        <x:v>45853</x:v>
      </x:c>
      <x:c r="L47" s="74" t="n">
        <x:v>45853</x:v>
      </x:c>
      <x:c r="M47" s="77" t="n">
        <x:v>4</x:v>
      </x:c>
      <x:c r="N47" s="77"/>
      <x:c r="O47" s="78"/>
      <x:c r="P47" s="79" t="n">
        <x:f>M47</x:f>
        <x:v>4</x:v>
      </x:c>
      <x:c r="Q47" s="79" t="n">
        <x:f>IF(D47="营业收入",-P47,P47)</x:f>
        <x:v>4</x:v>
      </x:c>
      <x:c r="R47" s="62" t="str">
        <x:v>CNY</x:v>
      </x:c>
      <x:c r="S47" s="62" t="str">
        <x:v>万元</x:v>
      </x:c>
      <x:c r="T47" s="62" t="str">
        <x:v>费用不含税</x:v>
      </x:c>
      <x:c r="U47" s="62" t="str">
        <x:v>技术部</x:v>
      </x:c>
      <x:c r="V47" s="62" t="str">
        <x:v>热能动力研究项目阶段评审会</x:v>
      </x:c>
      <x:c r="W47" s="62" t="str">
        <x:v>热能动力研究项目阶段评审会</x:v>
      </x:c>
      <x:c r="X47" s="62" t="str">
        <x:v>北京核工院</x:v>
      </x:c>
      <x:c r="Y47" s="62" t="str">
        <x:v>北京核工院</x:v>
      </x:c>
      <x:c r="Z47" s="62" t="str">
        <x:v>17</x:v>
      </x:c>
      <x:c r="AA47" s="62" t="str">
        <x:v>热能动力研究</x:v>
      </x:c>
      <x:c r="AB47" s="62" t="str">
        <x:v>PRJ-JS-热能-2025-003</x:v>
      </x:c>
      <x:c r="AC47" s="74" t="n">
        <x:v>46022</x:v>
      </x:c>
      <x:c r="AD47" s="71" t="str">
        <x:v>源记录保留</x:v>
      </x:c>
      <x:c r="AE47" s="71" t="str">
        <x:v>2025年实际执行.xlsx</x:v>
      </x:c>
      <x:c r="AF47" s="71" t="str">
        <x:v>Sheet</x:v>
      </x:c>
      <x:c r="AG47" s="71" t="n">
        <x:v>47</x:v>
      </x:c>
      <x:c r="AH47" s="71" t="str">
        <x:v>2025年实际执行.xlsx/Sheet!47:47</x:v>
      </x:c>
      <x:c r="AI47" s="62" t="str">
        <x:f>IF(F47=MONTH(L47),"OK","FAIL")</x:f>
        <x:v>OK</x:v>
      </x:c>
      <x:c r="AJ47" s="62" t="str">
        <x:f>IF(J47&lt;=L47,"OK","FAIL")</x:f>
        <x:v>OK</x:v>
      </x:c>
      <x:c r="AK47" s="62" t="str">
        <x:f>IF(D47&lt;&gt;"营业收入","OK",IF(AND(P47&lt;0,Q47&gt;0),"OK","FAIL"))</x:f>
        <x:v>OK</x:v>
      </x:c>
      <x:c r="AL47" s="62" t="str">
        <x:f>IF(COUNTIF($A$2:$A$218,A47)=1,"OK","FAIL")</x:f>
        <x:v>OK</x:v>
      </x:c>
    </x:row>
    <x:row r="48" ht="23" customHeight="1">
      <x:c r="A48" s="62" t="str">
        <x:v>DEMO01|2025|DOC2046|10</x:v>
      </x:c>
      <x:c r="B48" s="62" t="str">
        <x:v>SOURCE</x:v>
      </x:c>
      <x:c r="C48" s="62" t="str">
        <x:v>业务支持费</x:v>
      </x:c>
      <x:c r="D48" s="62" t="str">
        <x:v>业务支持费-技术配置</x:v>
      </x:c>
      <x:c r="E48" s="62" t="n">
        <x:v>10</x:v>
      </x:c>
      <x:c r="F48" s="62" t="n">
        <x:v>10</x:v>
      </x:c>
      <x:c r="G48" s="62" t="str">
        <x:v>DOC2046</x:v>
      </x:c>
      <x:c r="H48" s="62" t="n">
        <x:v>10</x:v>
      </x:c>
      <x:c r="I48" s="74" t="n">
        <x:v>45945</x:v>
      </x:c>
      <x:c r="J48" s="74" t="n">
        <x:v>45945</x:v>
      </x:c>
      <x:c r="K48" s="74" t="n">
        <x:v>45945</x:v>
      </x:c>
      <x:c r="L48" s="74" t="n">
        <x:v>45945</x:v>
      </x:c>
      <x:c r="M48" s="77" t="n">
        <x:v>13</x:v>
      </x:c>
      <x:c r="N48" s="77"/>
      <x:c r="O48" s="78"/>
      <x:c r="P48" s="79" t="n">
        <x:f>M48</x:f>
        <x:v>13</x:v>
      </x:c>
      <x:c r="Q48" s="79" t="n">
        <x:f>IF(D48="营业收入",-P48,P48)</x:f>
        <x:v>13</x:v>
      </x:c>
      <x:c r="R48" s="62" t="str">
        <x:v>CNY</x:v>
      </x:c>
      <x:c r="S48" s="62" t="str">
        <x:v>万元</x:v>
      </x:c>
      <x:c r="T48" s="62" t="str">
        <x:v>费用不含税</x:v>
      </x:c>
      <x:c r="U48" s="62" t="str">
        <x:v>技术部</x:v>
      </x:c>
      <x:c r="V48" s="62" t="str">
        <x:v>热能动力研究技术配置_实施阶段</x:v>
      </x:c>
      <x:c r="W48" s="62" t="str">
        <x:v>热能动力研究技术配置_实施阶段</x:v>
      </x:c>
      <x:c r="X48" s="62" t="str">
        <x:v>供应商1</x:v>
      </x:c>
      <x:c r="Y48" s="62" t="str">
        <x:v>供应商1</x:v>
      </x:c>
      <x:c r="Z48" s="62" t="str">
        <x:v>17</x:v>
      </x:c>
      <x:c r="AA48" s="62" t="str">
        <x:v>热能动力研究</x:v>
      </x:c>
      <x:c r="AB48" s="62" t="str">
        <x:v>PRJ-JS-热能-2025-003</x:v>
      </x:c>
      <x:c r="AC48" s="74" t="n">
        <x:v>46022</x:v>
      </x:c>
      <x:c r="AD48" s="71" t="str">
        <x:v>源记录保留</x:v>
      </x:c>
      <x:c r="AE48" s="71" t="str">
        <x:v>2025年实际执行.xlsx</x:v>
      </x:c>
      <x:c r="AF48" s="71" t="str">
        <x:v>Sheet</x:v>
      </x:c>
      <x:c r="AG48" s="71" t="n">
        <x:v>48</x:v>
      </x:c>
      <x:c r="AH48" s="71" t="str">
        <x:v>2025年实际执行.xlsx/Sheet!48:48</x:v>
      </x:c>
      <x:c r="AI48" s="62" t="str">
        <x:f>IF(F48=MONTH(L48),"OK","FAIL")</x:f>
        <x:v>OK</x:v>
      </x:c>
      <x:c r="AJ48" s="62" t="str">
        <x:f>IF(J48&lt;=L48,"OK","FAIL")</x:f>
        <x:v>OK</x:v>
      </x:c>
      <x:c r="AK48" s="62" t="str">
        <x:f>IF(D48&lt;&gt;"营业收入","OK",IF(AND(P48&lt;0,Q48&gt;0),"OK","FAIL"))</x:f>
        <x:v>OK</x:v>
      </x:c>
      <x:c r="AL48" s="62" t="str">
        <x:f>IF(COUNTIF($A$2:$A$218,A48)=1,"OK","FAIL")</x:f>
        <x:v>OK</x:v>
      </x:c>
    </x:row>
    <x:row r="49" ht="23" customHeight="1">
      <x:c r="A49" s="62" t="str">
        <x:v>DEMO01|2025|DOC2047|10</x:v>
      </x:c>
      <x:c r="B49" s="62" t="str">
        <x:v>SOURCE</x:v>
      </x:c>
      <x:c r="C49" s="62" t="str">
        <x:v>生产物料费</x:v>
      </x:c>
      <x:c r="D49" s="62" t="str">
        <x:v>生产物料费</x:v>
      </x:c>
      <x:c r="E49" s="62" t="n">
        <x:v>8</x:v>
      </x:c>
      <x:c r="F49" s="62" t="n">
        <x:v>8</x:v>
      </x:c>
      <x:c r="G49" s="62" t="str">
        <x:v>DOC2047</x:v>
      </x:c>
      <x:c r="H49" s="62" t="n">
        <x:v>10</x:v>
      </x:c>
      <x:c r="I49" s="74" t="n">
        <x:v>45884</x:v>
      </x:c>
      <x:c r="J49" s="74" t="n">
        <x:v>45884</x:v>
      </x:c>
      <x:c r="K49" s="74" t="n">
        <x:v>45884</x:v>
      </x:c>
      <x:c r="L49" s="74" t="n">
        <x:v>45884</x:v>
      </x:c>
      <x:c r="M49" s="77" t="n">
        <x:v>2.2155</x:v>
      </x:c>
      <x:c r="N49" s="77"/>
      <x:c r="O49" s="78"/>
      <x:c r="P49" s="79" t="n">
        <x:f>M49</x:f>
        <x:v>2.2155</x:v>
      </x:c>
      <x:c r="Q49" s="79" t="n">
        <x:f>IF(D49="营业收入",-P49,P49)</x:f>
        <x:v>2.2155</x:v>
      </x:c>
      <x:c r="R49" s="62" t="str">
        <x:v>CNY</x:v>
      </x:c>
      <x:c r="S49" s="62" t="str">
        <x:v>万元</x:v>
      </x:c>
      <x:c r="T49" s="62" t="str">
        <x:v>费用不含税</x:v>
      </x:c>
      <x:c r="U49" s="62" t="str">
        <x:v>技术部</x:v>
      </x:c>
      <x:c r="V49" s="62" t="str">
        <x:v>热能动力研究现场物料采购</x:v>
      </x:c>
      <x:c r="W49" s="62" t="str">
        <x:v>热能动力研究现场物料采购</x:v>
      </x:c>
      <x:c r="X49" s="62" t="str">
        <x:v>北京核工院</x:v>
      </x:c>
      <x:c r="Y49" s="62" t="str">
        <x:v>北京核工院</x:v>
      </x:c>
      <x:c r="Z49" s="62" t="str">
        <x:v>17</x:v>
      </x:c>
      <x:c r="AA49" s="62" t="str">
        <x:v>热能动力研究</x:v>
      </x:c>
      <x:c r="AB49" s="62" t="str">
        <x:v>PRJ-JS-热能-2025-003</x:v>
      </x:c>
      <x:c r="AC49" s="74" t="n">
        <x:v>46022</x:v>
      </x:c>
      <x:c r="AD49" s="71" t="str">
        <x:v>源记录保留</x:v>
      </x:c>
      <x:c r="AE49" s="71" t="str">
        <x:v>2025年实际执行.xlsx</x:v>
      </x:c>
      <x:c r="AF49" s="71" t="str">
        <x:v>Sheet</x:v>
      </x:c>
      <x:c r="AG49" s="71" t="n">
        <x:v>49</x:v>
      </x:c>
      <x:c r="AH49" s="71" t="str">
        <x:v>2025年实际执行.xlsx/Sheet!49:49</x:v>
      </x:c>
      <x:c r="AI49" s="62" t="str">
        <x:f>IF(F49=MONTH(L49),"OK","FAIL")</x:f>
        <x:v>OK</x:v>
      </x:c>
      <x:c r="AJ49" s="62" t="str">
        <x:f>IF(J49&lt;=L49,"OK","FAIL")</x:f>
        <x:v>OK</x:v>
      </x:c>
      <x:c r="AK49" s="62" t="str">
        <x:f>IF(D49&lt;&gt;"营业收入","OK",IF(AND(P49&lt;0,Q49&gt;0),"OK","FAIL"))</x:f>
        <x:v>OK</x:v>
      </x:c>
      <x:c r="AL49" s="62" t="str">
        <x:f>IF(COUNTIF($A$2:$A$218,A49)=1,"OK","FAIL")</x:f>
        <x:v>OK</x:v>
      </x:c>
    </x:row>
    <x:row r="50" ht="23" customHeight="1">
      <x:c r="A50" s="62" t="str">
        <x:v>DEMO01|2025|DOC2048|10</x:v>
      </x:c>
      <x:c r="B50" s="62" t="str">
        <x:v>SOURCE</x:v>
      </x:c>
      <x:c r="C50" s="62" t="str">
        <x:v>办公费</x:v>
      </x:c>
      <x:c r="D50" s="62" t="str">
        <x:v>办公费</x:v>
      </x:c>
      <x:c r="E50" s="62" t="n">
        <x:v>9</x:v>
      </x:c>
      <x:c r="F50" s="62" t="n">
        <x:v>9</x:v>
      </x:c>
      <x:c r="G50" s="62" t="str">
        <x:v>DOC2048</x:v>
      </x:c>
      <x:c r="H50" s="62" t="n">
        <x:v>10</x:v>
      </x:c>
      <x:c r="I50" s="74" t="n">
        <x:v>45915</x:v>
      </x:c>
      <x:c r="J50" s="74" t="n">
        <x:v>45915</x:v>
      </x:c>
      <x:c r="K50" s="74" t="n">
        <x:v>45915</x:v>
      </x:c>
      <x:c r="L50" s="74" t="n">
        <x:v>45915</x:v>
      </x:c>
      <x:c r="M50" s="77" t="n">
        <x:v>0.4431</x:v>
      </x:c>
      <x:c r="N50" s="77"/>
      <x:c r="O50" s="78"/>
      <x:c r="P50" s="79" t="n">
        <x:f>M50</x:f>
        <x:v>0.4431</x:v>
      </x:c>
      <x:c r="Q50" s="79" t="n">
        <x:f>IF(D50="营业收入",-P50,P50)</x:f>
        <x:v>0.4431</x:v>
      </x:c>
      <x:c r="R50" s="62" t="str">
        <x:v>CNY</x:v>
      </x:c>
      <x:c r="S50" s="62" t="str">
        <x:v>万元</x:v>
      </x:c>
      <x:c r="T50" s="62" t="str">
        <x:v>费用不含税</x:v>
      </x:c>
      <x:c r="U50" s="62" t="str">
        <x:v>技术部</x:v>
      </x:c>
      <x:c r="V50" s="62" t="str">
        <x:v>热能动力研究日常办公</x:v>
      </x:c>
      <x:c r="W50" s="62" t="str">
        <x:v>热能动力研究日常办公</x:v>
      </x:c>
      <x:c r="X50" s="62" t="str">
        <x:v>北京核工院</x:v>
      </x:c>
      <x:c r="Y50" s="62" t="str">
        <x:v>北京核工院</x:v>
      </x:c>
      <x:c r="Z50" s="62" t="str">
        <x:v>17</x:v>
      </x:c>
      <x:c r="AA50" s="62" t="str">
        <x:v>热能动力研究</x:v>
      </x:c>
      <x:c r="AB50" s="62" t="str">
        <x:v>PRJ-JS-热能-2025-003</x:v>
      </x:c>
      <x:c r="AC50" s="74" t="n">
        <x:v>46022</x:v>
      </x:c>
      <x:c r="AD50" s="71" t="str">
        <x:v>源记录保留</x:v>
      </x:c>
      <x:c r="AE50" s="71" t="str">
        <x:v>2025年实际执行.xlsx</x:v>
      </x:c>
      <x:c r="AF50" s="71" t="str">
        <x:v>Sheet</x:v>
      </x:c>
      <x:c r="AG50" s="71" t="n">
        <x:v>50</x:v>
      </x:c>
      <x:c r="AH50" s="71" t="str">
        <x:v>2025年实际执行.xlsx/Sheet!50:50</x:v>
      </x:c>
      <x:c r="AI50" s="62" t="str">
        <x:f>IF(F50=MONTH(L50),"OK","FAIL")</x:f>
        <x:v>OK</x:v>
      </x:c>
      <x:c r="AJ50" s="62" t="str">
        <x:f>IF(J50&lt;=L50,"OK","FAIL")</x:f>
        <x:v>OK</x:v>
      </x:c>
      <x:c r="AK50" s="62" t="str">
        <x:f>IF(D50&lt;&gt;"营业收入","OK",IF(AND(P50&lt;0,Q50&gt;0),"OK","FAIL"))</x:f>
        <x:v>OK</x:v>
      </x:c>
      <x:c r="AL50" s="62" t="str">
        <x:f>IF(COUNTIF($A$2:$A$218,A50)=1,"OK","FAIL")</x:f>
        <x:v>OK</x:v>
      </x:c>
    </x:row>
    <x:row r="51" ht="23" customHeight="1">
      <x:c r="A51" s="62" t="str">
        <x:v>DEMO01|2025|DOC2049|10</x:v>
      </x:c>
      <x:c r="B51" s="62" t="str">
        <x:v>CORRECTED</x:v>
      </x:c>
      <x:c r="C51" s="62" t="str">
        <x:v>交通运输费</x:v>
      </x:c>
      <x:c r="D51" s="62" t="str">
        <x:v>交通运输费</x:v>
      </x:c>
      <x:c r="E51" s="62" t="n">
        <x:v>5</x:v>
      </x:c>
      <x:c r="F51" s="62" t="n">
        <x:v>5</x:v>
      </x:c>
      <x:c r="G51" s="62" t="str">
        <x:v>DOC2049</x:v>
      </x:c>
      <x:c r="H51" s="62" t="n">
        <x:v>10</x:v>
      </x:c>
      <x:c r="I51" s="74" t="n">
        <x:v>45792</x:v>
      </x:c>
      <x:c r="J51" s="74" t="n">
        <x:v>45792</x:v>
      </x:c>
      <x:c r="K51" s="74" t="n">
        <x:v>45792</x:v>
      </x:c>
      <x:c r="L51" s="74" t="n">
        <x:v>45792</x:v>
      </x:c>
      <x:c r="M51" s="77" t="n">
        <x:v>0.7385</x:v>
      </x:c>
      <x:c r="N51" s="77"/>
      <x:c r="O51" s="78"/>
      <x:c r="P51" s="79" t="n">
        <x:f>M51</x:f>
        <x:v>0.7385</x:v>
      </x:c>
      <x:c r="Q51" s="79" t="n">
        <x:f>IF(D51="营业收入",-P51,P51)</x:f>
        <x:v>0.7385</x:v>
      </x:c>
      <x:c r="R51" s="62" t="str">
        <x:v>CNY</x:v>
      </x:c>
      <x:c r="S51" s="62" t="str">
        <x:v>万元</x:v>
      </x:c>
      <x:c r="T51" s="62" t="str">
        <x:v>费用不含税</x:v>
      </x:c>
      <x:c r="U51" s="62" t="str">
        <x:v>技术部</x:v>
      </x:c>
      <x:c r="V51" s="62" t="str">
        <x:v>热能动力研究材料运输</x:v>
      </x:c>
      <x:c r="W51" s="62" t="str">
        <x:v>热能动力研究材料运输</x:v>
      </x:c>
      <x:c r="X51" s="62" t="str">
        <x:v>北京核工院</x:v>
      </x:c>
      <x:c r="Y51" s="62" t="str">
        <x:v>北京核工院</x:v>
      </x:c>
      <x:c r="Z51" s="62" t="str">
        <x:v>17</x:v>
      </x:c>
      <x:c r="AA51" s="62" t="str">
        <x:v>热能动力研究</x:v>
      </x:c>
      <x:c r="AB51" s="62" t="str">
        <x:v>PRJ-JS-热能-2025-003</x:v>
      </x:c>
      <x:c r="AC51" s="74" t="n">
        <x:v>46022</x:v>
      </x:c>
      <x:c r="AD51" s="71" t="str">
        <x:v>补凭证行号</x:v>
      </x:c>
      <x:c r="AE51" s="71" t="str">
        <x:v>2025年实际执行.xlsx</x:v>
      </x:c>
      <x:c r="AF51" s="71" t="str">
        <x:v>Sheet</x:v>
      </x:c>
      <x:c r="AG51" s="71" t="n">
        <x:v>51</x:v>
      </x:c>
      <x:c r="AH51" s="71" t="str">
        <x:v>2025年实际执行.xlsx/Sheet!51:51</x:v>
      </x:c>
      <x:c r="AI51" s="62" t="str">
        <x:f>IF(F51=MONTH(L51),"OK","FAIL")</x:f>
        <x:v>OK</x:v>
      </x:c>
      <x:c r="AJ51" s="62" t="str">
        <x:f>IF(J51&lt;=L51,"OK","FAIL")</x:f>
        <x:v>OK</x:v>
      </x:c>
      <x:c r="AK51" s="62" t="str">
        <x:f>IF(D51&lt;&gt;"营业收入","OK",IF(AND(P51&lt;0,Q51&gt;0),"OK","FAIL"))</x:f>
        <x:v>OK</x:v>
      </x:c>
      <x:c r="AL51" s="62" t="str">
        <x:f>IF(COUNTIF($A$2:$A$218,A51)=1,"OK","FAIL")</x:f>
        <x:v>OK</x:v>
      </x:c>
    </x:row>
    <x:row r="52" ht="23" customHeight="1">
      <x:c r="A52" s="62" t="str">
        <x:v>DEMO01|2025|DOC2050|10</x:v>
      </x:c>
      <x:c r="B52" s="62" t="str">
        <x:v>SOURCE</x:v>
      </x:c>
      <x:c r="C52" s="62" t="str">
        <x:v>人工成本</x:v>
      </x:c>
      <x:c r="D52" s="62" t="str">
        <x:v>人工成本</x:v>
      </x:c>
      <x:c r="E52" s="62" t="n">
        <x:v>6</x:v>
      </x:c>
      <x:c r="F52" s="62" t="n">
        <x:v>6</x:v>
      </x:c>
      <x:c r="G52" s="62" t="str">
        <x:v>DOC2050</x:v>
      </x:c>
      <x:c r="H52" s="62" t="n">
        <x:v>10</x:v>
      </x:c>
      <x:c r="I52" s="74" t="n">
        <x:v>45838</x:v>
      </x:c>
      <x:c r="J52" s="74" t="n">
        <x:v>45838</x:v>
      </x:c>
      <x:c r="K52" s="74" t="n">
        <x:v>45838</x:v>
      </x:c>
      <x:c r="L52" s="74" t="n">
        <x:v>45838</x:v>
      </x:c>
      <x:c r="M52" s="77" t="n">
        <x:v>8</x:v>
      </x:c>
      <x:c r="N52" s="77"/>
      <x:c r="O52" s="78"/>
      <x:c r="P52" s="79" t="n">
        <x:f>M52</x:f>
        <x:v>8</x:v>
      </x:c>
      <x:c r="Q52" s="79" t="n">
        <x:f>IF(D52="营业收入",-P52,P52)</x:f>
        <x:v>8</x:v>
      </x:c>
      <x:c r="R52" s="62" t="str">
        <x:v>CNY</x:v>
      </x:c>
      <x:c r="S52" s="62" t="str">
        <x:v>万元</x:v>
      </x:c>
      <x:c r="T52" s="62" t="str">
        <x:v>费用不含税</x:v>
      </x:c>
      <x:c r="U52" s="62" t="str">
        <x:v>技术部</x:v>
      </x:c>
      <x:c r="V52" s="62" t="str">
        <x:v>热能动力研究人工成本分摊</x:v>
      </x:c>
      <x:c r="W52" s="62" t="str">
        <x:v>热能动力研究人工成本分摊</x:v>
      </x:c>
      <x:c r="X52" s="62" t="str">
        <x:v>17</x:v>
      </x:c>
      <x:c r="Y52" s="62" t="str">
        <x:v>17</x:v>
      </x:c>
      <x:c r="Z52" s="62" t="str">
        <x:v>17</x:v>
      </x:c>
      <x:c r="AA52" s="62" t="str">
        <x:v>热能动力研究</x:v>
      </x:c>
      <x:c r="AB52" s="62" t="str">
        <x:v>PRJ-JS-热能-2025-003</x:v>
      </x:c>
      <x:c r="AC52" s="74" t="n">
        <x:v>46022</x:v>
      </x:c>
      <x:c r="AD52" s="71" t="str">
        <x:v>源记录保留</x:v>
      </x:c>
      <x:c r="AE52" s="71" t="str">
        <x:v>2025年实际执行.xlsx</x:v>
      </x:c>
      <x:c r="AF52" s="71" t="str">
        <x:v>Sheet</x:v>
      </x:c>
      <x:c r="AG52" s="71" t="n">
        <x:v>52</x:v>
      </x:c>
      <x:c r="AH52" s="71" t="str">
        <x:v>2025年实际执行.xlsx/Sheet!52:52</x:v>
      </x:c>
      <x:c r="AI52" s="62" t="str">
        <x:f>IF(F52=MONTH(L52),"OK","FAIL")</x:f>
        <x:v>OK</x:v>
      </x:c>
      <x:c r="AJ52" s="62" t="str">
        <x:f>IF(J52&lt;=L52,"OK","FAIL")</x:f>
        <x:v>OK</x:v>
      </x:c>
      <x:c r="AK52" s="62" t="str">
        <x:f>IF(D52&lt;&gt;"营业收入","OK",IF(AND(P52&lt;0,Q52&gt;0),"OK","FAIL"))</x:f>
        <x:v>OK</x:v>
      </x:c>
      <x:c r="AL52" s="62" t="str">
        <x:f>IF(COUNTIF($A$2:$A$218,A52)=1,"OK","FAIL")</x:f>
        <x:v>OK</x:v>
      </x:c>
    </x:row>
    <x:row r="53" ht="23" customHeight="1">
      <x:c r="A53" s="62" t="str">
        <x:v>DEMO01|2025|DOC2051|10</x:v>
      </x:c>
      <x:c r="B53" s="62" t="str">
        <x:v>SOURCE</x:v>
      </x:c>
      <x:c r="C53" s="62" t="str">
        <x:v>折旧摊销</x:v>
      </x:c>
      <x:c r="D53" s="62" t="str">
        <x:v>折旧摊销</x:v>
      </x:c>
      <x:c r="E53" s="62" t="n">
        <x:v>12</x:v>
      </x:c>
      <x:c r="F53" s="62" t="n">
        <x:v>12</x:v>
      </x:c>
      <x:c r="G53" s="62" t="str">
        <x:v>DOC2051</x:v>
      </x:c>
      <x:c r="H53" s="62" t="n">
        <x:v>10</x:v>
      </x:c>
      <x:c r="I53" s="74" t="n">
        <x:v>46022</x:v>
      </x:c>
      <x:c r="J53" s="74" t="n">
        <x:v>46022</x:v>
      </x:c>
      <x:c r="K53" s="74" t="n">
        <x:v>46022</x:v>
      </x:c>
      <x:c r="L53" s="74" t="n">
        <x:v>46022</x:v>
      </x:c>
      <x:c r="M53" s="77" t="n">
        <x:v>2</x:v>
      </x:c>
      <x:c r="N53" s="77"/>
      <x:c r="O53" s="78"/>
      <x:c r="P53" s="79" t="n">
        <x:f>M53</x:f>
        <x:v>2</x:v>
      </x:c>
      <x:c r="Q53" s="79" t="n">
        <x:f>IF(D53="营业收入",-P53,P53)</x:f>
        <x:v>2</x:v>
      </x:c>
      <x:c r="R53" s="62" t="str">
        <x:v>CNY</x:v>
      </x:c>
      <x:c r="S53" s="62" t="str">
        <x:v>万元</x:v>
      </x:c>
      <x:c r="T53" s="62" t="str">
        <x:v>费用不含税</x:v>
      </x:c>
      <x:c r="U53" s="62" t="str">
        <x:v>技术部</x:v>
      </x:c>
      <x:c r="V53" s="62" t="str">
        <x:v>热能动力研究折旧摊销分摊</x:v>
      </x:c>
      <x:c r="W53" s="62" t="str">
        <x:v>热能动力研究折旧摊销分摊</x:v>
      </x:c>
      <x:c r="X53" s="62" t="str">
        <x:v>17</x:v>
      </x:c>
      <x:c r="Y53" s="62" t="str">
        <x:v>17</x:v>
      </x:c>
      <x:c r="Z53" s="62" t="str">
        <x:v>17</x:v>
      </x:c>
      <x:c r="AA53" s="62" t="str">
        <x:v>热能动力研究</x:v>
      </x:c>
      <x:c r="AB53" s="62" t="str">
        <x:v>PRJ-JS-热能-2025-003</x:v>
      </x:c>
      <x:c r="AC53" s="74" t="n">
        <x:v>46022</x:v>
      </x:c>
      <x:c r="AD53" s="71" t="str">
        <x:v>源记录保留</x:v>
      </x:c>
      <x:c r="AE53" s="71" t="str">
        <x:v>2025年实际执行.xlsx</x:v>
      </x:c>
      <x:c r="AF53" s="71" t="str">
        <x:v>Sheet</x:v>
      </x:c>
      <x:c r="AG53" s="71" t="n">
        <x:v>53</x:v>
      </x:c>
      <x:c r="AH53" s="71" t="str">
        <x:v>2025年实际执行.xlsx/Sheet!53:53</x:v>
      </x:c>
      <x:c r="AI53" s="62" t="str">
        <x:f>IF(F53=MONTH(L53),"OK","FAIL")</x:f>
        <x:v>OK</x:v>
      </x:c>
      <x:c r="AJ53" s="62" t="str">
        <x:f>IF(J53&lt;=L53,"OK","FAIL")</x:f>
        <x:v>OK</x:v>
      </x:c>
      <x:c r="AK53" s="62" t="str">
        <x:f>IF(D53&lt;&gt;"营业收入","OK",IF(AND(P53&lt;0,Q53&gt;0),"OK","FAIL"))</x:f>
        <x:v>OK</x:v>
      </x:c>
      <x:c r="AL53" s="62" t="str">
        <x:f>IF(COUNTIF($A$2:$A$218,A53)=1,"OK","FAIL")</x:f>
        <x:v>OK</x:v>
      </x:c>
    </x:row>
    <x:row r="54" ht="23" customHeight="1">
      <x:c r="A54" s="62" t="str">
        <x:v>DEMO01|2025|DOC2052|10</x:v>
      </x:c>
      <x:c r="B54" s="62" t="str">
        <x:v>SOURCE</x:v>
      </x:c>
      <x:c r="C54" s="62" t="str">
        <x:v>营业收入</x:v>
      </x:c>
      <x:c r="D54" s="62" t="str">
        <x:v>营业收入</x:v>
      </x:c>
      <x:c r="E54" s="62" t="n">
        <x:v>6</x:v>
      </x:c>
      <x:c r="F54" s="62" t="n">
        <x:v>6</x:v>
      </x:c>
      <x:c r="G54" s="62" t="str">
        <x:v>DOC2052</x:v>
      </x:c>
      <x:c r="H54" s="62" t="n">
        <x:v>10</x:v>
      </x:c>
      <x:c r="I54" s="74" t="n">
        <x:v>45823</x:v>
      </x:c>
      <x:c r="J54" s="74" t="n">
        <x:v>45823</x:v>
      </x:c>
      <x:c r="K54" s="74" t="n">
        <x:v>45823</x:v>
      </x:c>
      <x:c r="L54" s="74" t="n">
        <x:v>45823</x:v>
      </x:c>
      <x:c r="M54" s="77" t="n">
        <x:v>-48.0277785</x:v>
      </x:c>
      <x:c r="N54" s="77"/>
      <x:c r="O54" s="78"/>
      <x:c r="P54" s="79" t="n">
        <x:f>M54</x:f>
        <x:v>-48.0277785</x:v>
      </x:c>
      <x:c r="Q54" s="79" t="n">
        <x:f>IF(D54="营业收入",-P54,P54)</x:f>
        <x:v>48.0277785</x:v>
      </x:c>
      <x:c r="R54" s="62" t="str">
        <x:v>CNY</x:v>
      </x:c>
      <x:c r="S54" s="62" t="str">
        <x:v>万元</x:v>
      </x:c>
      <x:c r="T54" s="62" t="str">
        <x:v>收益；源负号</x:v>
      </x:c>
      <x:c r="U54" s="62" t="str">
        <x:v>技术部</x:v>
      </x:c>
      <x:c r="V54" s="62" t="str">
        <x:v>经验反馈改进收入确认</x:v>
      </x:c>
      <x:c r="W54" s="62" t="str">
        <x:v>经验反馈改进收入确认</x:v>
      </x:c>
      <x:c r="X54" s="62" t="str">
        <x:v>17</x:v>
      </x:c>
      <x:c r="Y54" s="62" t="str">
        <x:v>17</x:v>
      </x:c>
      <x:c r="Z54" s="62" t="str">
        <x:v>17</x:v>
      </x:c>
      <x:c r="AA54" s="62" t="str">
        <x:v>经验反馈改进</x:v>
      </x:c>
      <x:c r="AB54" s="62" t="str">
        <x:v>PRJ-JS-经验-2024-001</x:v>
      </x:c>
      <x:c r="AC54" s="74" t="n">
        <x:v>46022</x:v>
      </x:c>
      <x:c r="AD54" s="71" t="str">
        <x:v>源记录保留</x:v>
      </x:c>
      <x:c r="AE54" s="71" t="str">
        <x:v>2025年实际执行.xlsx</x:v>
      </x:c>
      <x:c r="AF54" s="71" t="str">
        <x:v>Sheet</x:v>
      </x:c>
      <x:c r="AG54" s="71" t="n">
        <x:v>54</x:v>
      </x:c>
      <x:c r="AH54" s="71" t="str">
        <x:v>2025年实际执行.xlsx/Sheet!54:54</x:v>
      </x:c>
      <x:c r="AI54" s="62" t="str">
        <x:f>IF(F54=MONTH(L54),"OK","FAIL")</x:f>
        <x:v>OK</x:v>
      </x:c>
      <x:c r="AJ54" s="62" t="str">
        <x:f>IF(J54&lt;=L54,"OK","FAIL")</x:f>
        <x:v>OK</x:v>
      </x:c>
      <x:c r="AK54" s="62" t="str">
        <x:f>IF(D54&lt;&gt;"营业收入","OK",IF(AND(P54&lt;0,Q54&gt;0),"OK","FAIL"))</x:f>
        <x:v>OK</x:v>
      </x:c>
      <x:c r="AL54" s="62" t="str">
        <x:f>IF(COUNTIF($A$2:$A$218,A54)=1,"OK","FAIL")</x:f>
        <x:v>OK</x:v>
      </x:c>
    </x:row>
    <x:row r="55" ht="23" customHeight="1">
      <x:c r="A55" s="62" t="str">
        <x:v>DEMO01|2025|DOC2053|10</x:v>
      </x:c>
      <x:c r="B55" s="62" t="str">
        <x:v>SOURCE</x:v>
      </x:c>
      <x:c r="C55" s="62" t="str">
        <x:v>会议费</x:v>
      </x:c>
      <x:c r="D55" s="62" t="str">
        <x:v>会议费</x:v>
      </x:c>
      <x:c r="E55" s="62" t="n">
        <x:v>1</x:v>
      </x:c>
      <x:c r="F55" s="62" t="n">
        <x:v>1</x:v>
      </x:c>
      <x:c r="G55" s="62" t="str">
        <x:v>DOC2053</x:v>
      </x:c>
      <x:c r="H55" s="62" t="n">
        <x:v>10</x:v>
      </x:c>
      <x:c r="I55" s="74" t="n">
        <x:v>45672</x:v>
      </x:c>
      <x:c r="J55" s="74" t="n">
        <x:v>45672</x:v>
      </x:c>
      <x:c r="K55" s="74" t="n">
        <x:v>45672</x:v>
      </x:c>
      <x:c r="L55" s="74" t="n">
        <x:v>45672</x:v>
      </x:c>
      <x:c r="M55" s="77" t="n">
        <x:v>3</x:v>
      </x:c>
      <x:c r="N55" s="77"/>
      <x:c r="O55" s="78"/>
      <x:c r="P55" s="79" t="n">
        <x:f>M55</x:f>
        <x:v>3</x:v>
      </x:c>
      <x:c r="Q55" s="79" t="n">
        <x:f>IF(D55="营业收入",-P55,P55)</x:f>
        <x:v>3</x:v>
      </x:c>
      <x:c r="R55" s="62" t="str">
        <x:v>CNY</x:v>
      </x:c>
      <x:c r="S55" s="62" t="str">
        <x:v>万元</x:v>
      </x:c>
      <x:c r="T55" s="62" t="str">
        <x:v>费用不含税</x:v>
      </x:c>
      <x:c r="U55" s="62" t="str">
        <x:v>技术部</x:v>
      </x:c>
      <x:c r="V55" s="62" t="str">
        <x:v>经验反馈改进项目阶段评审会</x:v>
      </x:c>
      <x:c r="W55" s="62" t="str">
        <x:v>经验反馈改进项目阶段评审会</x:v>
      </x:c>
      <x:c r="X55" s="62" t="str">
        <x:v>华能服务</x:v>
      </x:c>
      <x:c r="Y55" s="62" t="str">
        <x:v>华能服务</x:v>
      </x:c>
      <x:c r="Z55" s="62" t="str">
        <x:v>17</x:v>
      </x:c>
      <x:c r="AA55" s="62" t="str">
        <x:v>经验反馈改进</x:v>
      </x:c>
      <x:c r="AB55" s="62" t="str">
        <x:v>PRJ-JS-经验-2024-001</x:v>
      </x:c>
      <x:c r="AC55" s="74" t="n">
        <x:v>46022</x:v>
      </x:c>
      <x:c r="AD55" s="71" t="str">
        <x:v>源记录保留</x:v>
      </x:c>
      <x:c r="AE55" s="71" t="str">
        <x:v>2025年实际执行.xlsx</x:v>
      </x:c>
      <x:c r="AF55" s="71" t="str">
        <x:v>Sheet</x:v>
      </x:c>
      <x:c r="AG55" s="71" t="n">
        <x:v>55</x:v>
      </x:c>
      <x:c r="AH55" s="71" t="str">
        <x:v>2025年实际执行.xlsx/Sheet!55:55</x:v>
      </x:c>
      <x:c r="AI55" s="62" t="str">
        <x:f>IF(F55=MONTH(L55),"OK","FAIL")</x:f>
        <x:v>OK</x:v>
      </x:c>
      <x:c r="AJ55" s="62" t="str">
        <x:f>IF(J55&lt;=L55,"OK","FAIL")</x:f>
        <x:v>OK</x:v>
      </x:c>
      <x:c r="AK55" s="62" t="str">
        <x:f>IF(D55&lt;&gt;"营业收入","OK",IF(AND(P55&lt;0,Q55&gt;0),"OK","FAIL"))</x:f>
        <x:v>OK</x:v>
      </x:c>
      <x:c r="AL55" s="62" t="str">
        <x:f>IF(COUNTIF($A$2:$A$218,A55)=1,"OK","FAIL")</x:f>
        <x:v>OK</x:v>
      </x:c>
    </x:row>
    <x:row r="56" ht="23" customHeight="1">
      <x:c r="A56" s="62" t="str">
        <x:v>DEMO01|2025|DOC2054|10</x:v>
      </x:c>
      <x:c r="B56" s="62" t="str">
        <x:v>SOURCE</x:v>
      </x:c>
      <x:c r="C56" s="62" t="str">
        <x:v>业务支持费</x:v>
      </x:c>
      <x:c r="D56" s="62" t="str">
        <x:v>业务支持费-技术配置</x:v>
      </x:c>
      <x:c r="E56" s="62" t="n">
        <x:v>11</x:v>
      </x:c>
      <x:c r="F56" s="62" t="n">
        <x:v>11</x:v>
      </x:c>
      <x:c r="G56" s="62" t="str">
        <x:v>DOC2054</x:v>
      </x:c>
      <x:c r="H56" s="62" t="n">
        <x:v>10</x:v>
      </x:c>
      <x:c r="I56" s="74" t="n">
        <x:v>45976</x:v>
      </x:c>
      <x:c r="J56" s="74" t="n">
        <x:v>45976</x:v>
      </x:c>
      <x:c r="K56" s="74" t="n">
        <x:v>45976</x:v>
      </x:c>
      <x:c r="L56" s="74" t="n">
        <x:v>45976</x:v>
      </x:c>
      <x:c r="M56" s="77" t="n">
        <x:v>16</x:v>
      </x:c>
      <x:c r="N56" s="77"/>
      <x:c r="O56" s="78"/>
      <x:c r="P56" s="79" t="n">
        <x:f>M56</x:f>
        <x:v>16</x:v>
      </x:c>
      <x:c r="Q56" s="79" t="n">
        <x:f>IF(D56="营业收入",-P56,P56)</x:f>
        <x:v>16</x:v>
      </x:c>
      <x:c r="R56" s="62" t="str">
        <x:v>CNY</x:v>
      </x:c>
      <x:c r="S56" s="62" t="str">
        <x:v>万元</x:v>
      </x:c>
      <x:c r="T56" s="62" t="str">
        <x:v>费用不含税</x:v>
      </x:c>
      <x:c r="U56" s="62" t="str">
        <x:v>技术部</x:v>
      </x:c>
      <x:c r="V56" s="62" t="str">
        <x:v>经验反馈改进技术配置_实施阶段</x:v>
      </x:c>
      <x:c r="W56" s="62" t="str">
        <x:v>经验反馈改进技术配置_实施阶段</x:v>
      </x:c>
      <x:c r="X56" s="62" t="str">
        <x:v>供应商2</x:v>
      </x:c>
      <x:c r="Y56" s="62" t="str">
        <x:v>供应商2</x:v>
      </x:c>
      <x:c r="Z56" s="62" t="str">
        <x:v>17</x:v>
      </x:c>
      <x:c r="AA56" s="62" t="str">
        <x:v>经验反馈改进</x:v>
      </x:c>
      <x:c r="AB56" s="62" t="str">
        <x:v>PRJ-JS-经验-2024-001</x:v>
      </x:c>
      <x:c r="AC56" s="74" t="n">
        <x:v>46022</x:v>
      </x:c>
      <x:c r="AD56" s="71" t="str">
        <x:v>源记录保留</x:v>
      </x:c>
      <x:c r="AE56" s="71" t="str">
        <x:v>2025年实际执行.xlsx</x:v>
      </x:c>
      <x:c r="AF56" s="71" t="str">
        <x:v>Sheet</x:v>
      </x:c>
      <x:c r="AG56" s="71" t="n">
        <x:v>56</x:v>
      </x:c>
      <x:c r="AH56" s="71" t="str">
        <x:v>2025年实际执行.xlsx/Sheet!56:56</x:v>
      </x:c>
      <x:c r="AI56" s="62" t="str">
        <x:f>IF(F56=MONTH(L56),"OK","FAIL")</x:f>
        <x:v>OK</x:v>
      </x:c>
      <x:c r="AJ56" s="62" t="str">
        <x:f>IF(J56&lt;=L56,"OK","FAIL")</x:f>
        <x:v>OK</x:v>
      </x:c>
      <x:c r="AK56" s="62" t="str">
        <x:f>IF(D56&lt;&gt;"营业收入","OK",IF(AND(P56&lt;0,Q56&gt;0),"OK","FAIL"))</x:f>
        <x:v>OK</x:v>
      </x:c>
      <x:c r="AL56" s="62" t="str">
        <x:f>IF(COUNTIF($A$2:$A$218,A56)=1,"OK","FAIL")</x:f>
        <x:v>OK</x:v>
      </x:c>
    </x:row>
    <x:row r="57" ht="23" customHeight="1">
      <x:c r="A57" s="62" t="str">
        <x:v>DEMO01|2025|DOC2055|10</x:v>
      </x:c>
      <x:c r="B57" s="62" t="str">
        <x:v>SOURCE</x:v>
      </x:c>
      <x:c r="C57" s="62" t="str">
        <x:v>生产物料费</x:v>
      </x:c>
      <x:c r="D57" s="62" t="str">
        <x:v>生产物料费</x:v>
      </x:c>
      <x:c r="E57" s="62" t="n">
        <x:v>12</x:v>
      </x:c>
      <x:c r="F57" s="62" t="n">
        <x:v>12</x:v>
      </x:c>
      <x:c r="G57" s="62" t="str">
        <x:v>DOC2055</x:v>
      </x:c>
      <x:c r="H57" s="62" t="n">
        <x:v>10</x:v>
      </x:c>
      <x:c r="I57" s="74" t="n">
        <x:v>46006</x:v>
      </x:c>
      <x:c r="J57" s="74" t="n">
        <x:v>46006</x:v>
      </x:c>
      <x:c r="K57" s="74" t="n">
        <x:v>46006</x:v>
      </x:c>
      <x:c r="L57" s="74" t="n">
        <x:v>46006</x:v>
      </x:c>
      <x:c r="M57" s="77" t="n">
        <x:v>2.514</x:v>
      </x:c>
      <x:c r="N57" s="77"/>
      <x:c r="O57" s="78"/>
      <x:c r="P57" s="79" t="n">
        <x:f>M57</x:f>
        <x:v>2.514</x:v>
      </x:c>
      <x:c r="Q57" s="79" t="n">
        <x:f>IF(D57="营业收入",-P57,P57)</x:f>
        <x:v>2.514</x:v>
      </x:c>
      <x:c r="R57" s="62" t="str">
        <x:v>CNY</x:v>
      </x:c>
      <x:c r="S57" s="62" t="str">
        <x:v>万元</x:v>
      </x:c>
      <x:c r="T57" s="62" t="str">
        <x:v>费用不含税</x:v>
      </x:c>
      <x:c r="U57" s="62" t="str">
        <x:v>技术部</x:v>
      </x:c>
      <x:c r="V57" s="62" t="str">
        <x:v>经验反馈改进现场物料采购</x:v>
      </x:c>
      <x:c r="W57" s="62" t="str">
        <x:v>经验反馈改进现场物料采购</x:v>
      </x:c>
      <x:c r="X57" s="62" t="str">
        <x:v>华能服务</x:v>
      </x:c>
      <x:c r="Y57" s="62" t="str">
        <x:v>华能服务</x:v>
      </x:c>
      <x:c r="Z57" s="62" t="str">
        <x:v>17</x:v>
      </x:c>
      <x:c r="AA57" s="62" t="str">
        <x:v>经验反馈改进</x:v>
      </x:c>
      <x:c r="AB57" s="62" t="str">
        <x:v>PRJ-JS-经验-2024-001</x:v>
      </x:c>
      <x:c r="AC57" s="74" t="n">
        <x:v>46022</x:v>
      </x:c>
      <x:c r="AD57" s="71" t="str">
        <x:v>源记录保留</x:v>
      </x:c>
      <x:c r="AE57" s="71" t="str">
        <x:v>2025年实际执行.xlsx</x:v>
      </x:c>
      <x:c r="AF57" s="71" t="str">
        <x:v>Sheet</x:v>
      </x:c>
      <x:c r="AG57" s="71" t="n">
        <x:v>57</x:v>
      </x:c>
      <x:c r="AH57" s="71" t="str">
        <x:v>2025年实际执行.xlsx/Sheet!57:57</x:v>
      </x:c>
      <x:c r="AI57" s="62" t="str">
        <x:f>IF(F57=MONTH(L57),"OK","FAIL")</x:f>
        <x:v>OK</x:v>
      </x:c>
      <x:c r="AJ57" s="62" t="str">
        <x:f>IF(J57&lt;=L57,"OK","FAIL")</x:f>
        <x:v>OK</x:v>
      </x:c>
      <x:c r="AK57" s="62" t="str">
        <x:f>IF(D57&lt;&gt;"营业收入","OK",IF(AND(P57&lt;0,Q57&gt;0),"OK","FAIL"))</x:f>
        <x:v>OK</x:v>
      </x:c>
      <x:c r="AL57" s="62" t="str">
        <x:f>IF(COUNTIF($A$2:$A$218,A57)=1,"OK","FAIL")</x:f>
        <x:v>OK</x:v>
      </x:c>
    </x:row>
    <x:row r="58" ht="23" customHeight="1">
      <x:c r="A58" s="62" t="str">
        <x:v>DEMO01|2025|DOC2056|10</x:v>
      </x:c>
      <x:c r="B58" s="62" t="str">
        <x:v>SOURCE</x:v>
      </x:c>
      <x:c r="C58" s="62" t="str">
        <x:v>办公费</x:v>
      </x:c>
      <x:c r="D58" s="62" t="str">
        <x:v>办公费</x:v>
      </x:c>
      <x:c r="E58" s="62" t="n">
        <x:v>2</x:v>
      </x:c>
      <x:c r="F58" s="62" t="n">
        <x:v>2</x:v>
      </x:c>
      <x:c r="G58" s="62" t="str">
        <x:v>DOC2056</x:v>
      </x:c>
      <x:c r="H58" s="62" t="n">
        <x:v>10</x:v>
      </x:c>
      <x:c r="I58" s="74" t="n">
        <x:v>45703</x:v>
      </x:c>
      <x:c r="J58" s="74" t="n">
        <x:v>45703</x:v>
      </x:c>
      <x:c r="K58" s="74" t="n">
        <x:v>45703</x:v>
      </x:c>
      <x:c r="L58" s="74" t="n">
        <x:v>45703</x:v>
      </x:c>
      <x:c r="M58" s="77" t="n">
        <x:v>0.5028</x:v>
      </x:c>
      <x:c r="N58" s="77"/>
      <x:c r="O58" s="78"/>
      <x:c r="P58" s="79" t="n">
        <x:f>M58</x:f>
        <x:v>0.5028</x:v>
      </x:c>
      <x:c r="Q58" s="79" t="n">
        <x:f>IF(D58="营业收入",-P58,P58)</x:f>
        <x:v>0.5028</x:v>
      </x:c>
      <x:c r="R58" s="62" t="str">
        <x:v>CNY</x:v>
      </x:c>
      <x:c r="S58" s="62" t="str">
        <x:v>万元</x:v>
      </x:c>
      <x:c r="T58" s="62" t="str">
        <x:v>费用不含税</x:v>
      </x:c>
      <x:c r="U58" s="62" t="str">
        <x:v>技术部</x:v>
      </x:c>
      <x:c r="V58" s="62" t="str">
        <x:v>经验反馈改进日常办公</x:v>
      </x:c>
      <x:c r="W58" s="62" t="str">
        <x:v>经验反馈改进日常办公</x:v>
      </x:c>
      <x:c r="X58" s="62" t="str">
        <x:v>华能服务</x:v>
      </x:c>
      <x:c r="Y58" s="62" t="str">
        <x:v>华能服务</x:v>
      </x:c>
      <x:c r="Z58" s="62" t="str">
        <x:v>17</x:v>
      </x:c>
      <x:c r="AA58" s="62" t="str">
        <x:v>经验反馈改进</x:v>
      </x:c>
      <x:c r="AB58" s="62" t="str">
        <x:v>PRJ-JS-经验-2024-001</x:v>
      </x:c>
      <x:c r="AC58" s="74" t="n">
        <x:v>46022</x:v>
      </x:c>
      <x:c r="AD58" s="71" t="str">
        <x:v>源记录保留</x:v>
      </x:c>
      <x:c r="AE58" s="71" t="str">
        <x:v>2025年实际执行.xlsx</x:v>
      </x:c>
      <x:c r="AF58" s="71" t="str">
        <x:v>Sheet</x:v>
      </x:c>
      <x:c r="AG58" s="71" t="n">
        <x:v>58</x:v>
      </x:c>
      <x:c r="AH58" s="71" t="str">
        <x:v>2025年实际执行.xlsx/Sheet!58:58</x:v>
      </x:c>
      <x:c r="AI58" s="62" t="str">
        <x:f>IF(F58=MONTH(L58),"OK","FAIL")</x:f>
        <x:v>OK</x:v>
      </x:c>
      <x:c r="AJ58" s="62" t="str">
        <x:f>IF(J58&lt;=L58,"OK","FAIL")</x:f>
        <x:v>OK</x:v>
      </x:c>
      <x:c r="AK58" s="62" t="str">
        <x:f>IF(D58&lt;&gt;"营业收入","OK",IF(AND(P58&lt;0,Q58&gt;0),"OK","FAIL"))</x:f>
        <x:v>OK</x:v>
      </x:c>
      <x:c r="AL58" s="62" t="str">
        <x:f>IF(COUNTIF($A$2:$A$218,A58)=1,"OK","FAIL")</x:f>
        <x:v>OK</x:v>
      </x:c>
    </x:row>
    <x:row r="59" ht="23" customHeight="1">
      <x:c r="A59" s="62" t="str">
        <x:v>DEMO01|2025|DOC2057|10</x:v>
      </x:c>
      <x:c r="B59" s="62" t="str">
        <x:v>CORRECTED</x:v>
      </x:c>
      <x:c r="C59" s="62" t="str">
        <x:v>交通运输费</x:v>
      </x:c>
      <x:c r="D59" s="62" t="str">
        <x:v>交通运输费</x:v>
      </x:c>
      <x:c r="E59" s="62" t="n">
        <x:v>11</x:v>
      </x:c>
      <x:c r="F59" s="62" t="n">
        <x:v>11</x:v>
      </x:c>
      <x:c r="G59" s="62" t="str">
        <x:v>DOC2057</x:v>
      </x:c>
      <x:c r="H59" s="62" t="n">
        <x:v>10</x:v>
      </x:c>
      <x:c r="I59" s="74" t="n">
        <x:v>45976</x:v>
      </x:c>
      <x:c r="J59" s="74" t="n">
        <x:v>45976</x:v>
      </x:c>
      <x:c r="K59" s="74" t="n">
        <x:v>45976</x:v>
      </x:c>
      <x:c r="L59" s="74" t="n">
        <x:v>45976</x:v>
      </x:c>
      <x:c r="M59" s="77" t="n">
        <x:v>0.838</x:v>
      </x:c>
      <x:c r="N59" s="77"/>
      <x:c r="O59" s="78"/>
      <x:c r="P59" s="79" t="n">
        <x:f>M59</x:f>
        <x:v>0.838</x:v>
      </x:c>
      <x:c r="Q59" s="79" t="n">
        <x:f>IF(D59="营业收入",-P59,P59)</x:f>
        <x:v>0.838</x:v>
      </x:c>
      <x:c r="R59" s="62" t="str">
        <x:v>CNY</x:v>
      </x:c>
      <x:c r="S59" s="62" t="str">
        <x:v>万元</x:v>
      </x:c>
      <x:c r="T59" s="62" t="str">
        <x:v>费用不含税</x:v>
      </x:c>
      <x:c r="U59" s="62" t="str">
        <x:v>技术部</x:v>
      </x:c>
      <x:c r="V59" s="62" t="str">
        <x:v>经验反馈改进材料运输</x:v>
      </x:c>
      <x:c r="W59" s="62" t="str">
        <x:v>经验反馈改进材料运输</x:v>
      </x:c>
      <x:c r="X59" s="62" t="str">
        <x:v>华能服务</x:v>
      </x:c>
      <x:c r="Y59" s="62" t="str">
        <x:v>华能服务</x:v>
      </x:c>
      <x:c r="Z59" s="62" t="str">
        <x:v>17</x:v>
      </x:c>
      <x:c r="AA59" s="62" t="str">
        <x:v>经验反馈改进</x:v>
      </x:c>
      <x:c r="AB59" s="62" t="str">
        <x:v>PRJ-JS-经验-2024-001</x:v>
      </x:c>
      <x:c r="AC59" s="74" t="n">
        <x:v>46022</x:v>
      </x:c>
      <x:c r="AD59" s="71" t="str">
        <x:v>补凭证行号</x:v>
      </x:c>
      <x:c r="AE59" s="71" t="str">
        <x:v>2025年实际执行.xlsx</x:v>
      </x:c>
      <x:c r="AF59" s="71" t="str">
        <x:v>Sheet</x:v>
      </x:c>
      <x:c r="AG59" s="71" t="n">
        <x:v>59</x:v>
      </x:c>
      <x:c r="AH59" s="71" t="str">
        <x:v>2025年实际执行.xlsx/Sheet!59:59</x:v>
      </x:c>
      <x:c r="AI59" s="62" t="str">
        <x:f>IF(F59=MONTH(L59),"OK","FAIL")</x:f>
        <x:v>OK</x:v>
      </x:c>
      <x:c r="AJ59" s="62" t="str">
        <x:f>IF(J59&lt;=L59,"OK","FAIL")</x:f>
        <x:v>OK</x:v>
      </x:c>
      <x:c r="AK59" s="62" t="str">
        <x:f>IF(D59&lt;&gt;"营业收入","OK",IF(AND(P59&lt;0,Q59&gt;0),"OK","FAIL"))</x:f>
        <x:v>OK</x:v>
      </x:c>
      <x:c r="AL59" s="62" t="str">
        <x:f>IF(COUNTIF($A$2:$A$218,A59)=1,"OK","FAIL")</x:f>
        <x:v>OK</x:v>
      </x:c>
    </x:row>
    <x:row r="60" ht="23" customHeight="1">
      <x:c r="A60" s="62" t="str">
        <x:v>DEMO01|2025|DOC2058|10</x:v>
      </x:c>
      <x:c r="B60" s="62" t="str">
        <x:v>SOURCE</x:v>
      </x:c>
      <x:c r="C60" s="62" t="str">
        <x:v>人工成本</x:v>
      </x:c>
      <x:c r="D60" s="62" t="str">
        <x:v>人工成本</x:v>
      </x:c>
      <x:c r="E60" s="62" t="n">
        <x:v>6</x:v>
      </x:c>
      <x:c r="F60" s="62" t="n">
        <x:v>6</x:v>
      </x:c>
      <x:c r="G60" s="62" t="str">
        <x:v>DOC2058</x:v>
      </x:c>
      <x:c r="H60" s="62" t="n">
        <x:v>10</x:v>
      </x:c>
      <x:c r="I60" s="74" t="n">
        <x:v>45838</x:v>
      </x:c>
      <x:c r="J60" s="74" t="n">
        <x:v>45838</x:v>
      </x:c>
      <x:c r="K60" s="74" t="n">
        <x:v>45838</x:v>
      </x:c>
      <x:c r="L60" s="74" t="n">
        <x:v>45838</x:v>
      </x:c>
      <x:c r="M60" s="77" t="n">
        <x:v>6</x:v>
      </x:c>
      <x:c r="N60" s="77"/>
      <x:c r="O60" s="78"/>
      <x:c r="P60" s="79" t="n">
        <x:f>M60</x:f>
        <x:v>6</x:v>
      </x:c>
      <x:c r="Q60" s="79" t="n">
        <x:f>IF(D60="营业收入",-P60,P60)</x:f>
        <x:v>6</x:v>
      </x:c>
      <x:c r="R60" s="62" t="str">
        <x:v>CNY</x:v>
      </x:c>
      <x:c r="S60" s="62" t="str">
        <x:v>万元</x:v>
      </x:c>
      <x:c r="T60" s="62" t="str">
        <x:v>费用不含税</x:v>
      </x:c>
      <x:c r="U60" s="62" t="str">
        <x:v>技术部</x:v>
      </x:c>
      <x:c r="V60" s="62" t="str">
        <x:v>经验反馈改进人工成本分摊</x:v>
      </x:c>
      <x:c r="W60" s="62" t="str">
        <x:v>经验反馈改进人工成本分摊</x:v>
      </x:c>
      <x:c r="X60" s="62" t="str">
        <x:v>17</x:v>
      </x:c>
      <x:c r="Y60" s="62" t="str">
        <x:v>17</x:v>
      </x:c>
      <x:c r="Z60" s="62" t="str">
        <x:v>17</x:v>
      </x:c>
      <x:c r="AA60" s="62" t="str">
        <x:v>经验反馈改进</x:v>
      </x:c>
      <x:c r="AB60" s="62" t="str">
        <x:v>PRJ-JS-经验-2024-001</x:v>
      </x:c>
      <x:c r="AC60" s="74" t="n">
        <x:v>46022</x:v>
      </x:c>
      <x:c r="AD60" s="71" t="str">
        <x:v>源记录保留</x:v>
      </x:c>
      <x:c r="AE60" s="71" t="str">
        <x:v>2025年实际执行.xlsx</x:v>
      </x:c>
      <x:c r="AF60" s="71" t="str">
        <x:v>Sheet</x:v>
      </x:c>
      <x:c r="AG60" s="71" t="n">
        <x:v>60</x:v>
      </x:c>
      <x:c r="AH60" s="71" t="str">
        <x:v>2025年实际执行.xlsx/Sheet!60:60</x:v>
      </x:c>
      <x:c r="AI60" s="62" t="str">
        <x:f>IF(F60=MONTH(L60),"OK","FAIL")</x:f>
        <x:v>OK</x:v>
      </x:c>
      <x:c r="AJ60" s="62" t="str">
        <x:f>IF(J60&lt;=L60,"OK","FAIL")</x:f>
        <x:v>OK</x:v>
      </x:c>
      <x:c r="AK60" s="62" t="str">
        <x:f>IF(D60&lt;&gt;"营业收入","OK",IF(AND(P60&lt;0,Q60&gt;0),"OK","FAIL"))</x:f>
        <x:v>OK</x:v>
      </x:c>
      <x:c r="AL60" s="62" t="str">
        <x:f>IF(COUNTIF($A$2:$A$218,A60)=1,"OK","FAIL")</x:f>
        <x:v>OK</x:v>
      </x:c>
    </x:row>
    <x:row r="61" ht="23" customHeight="1">
      <x:c r="A61" s="62" t="str">
        <x:v>DEMO01|2025|DOC2059|10</x:v>
      </x:c>
      <x:c r="B61" s="62" t="str">
        <x:v>SOURCE</x:v>
      </x:c>
      <x:c r="C61" s="62" t="str">
        <x:v>折旧摊销</x:v>
      </x:c>
      <x:c r="D61" s="62" t="str">
        <x:v>折旧摊销</x:v>
      </x:c>
      <x:c r="E61" s="62" t="n">
        <x:v>12</x:v>
      </x:c>
      <x:c r="F61" s="62" t="n">
        <x:v>12</x:v>
      </x:c>
      <x:c r="G61" s="62" t="str">
        <x:v>DOC2059</x:v>
      </x:c>
      <x:c r="H61" s="62" t="n">
        <x:v>10</x:v>
      </x:c>
      <x:c r="I61" s="74" t="n">
        <x:v>46022</x:v>
      </x:c>
      <x:c r="J61" s="74" t="n">
        <x:v>46022</x:v>
      </x:c>
      <x:c r="K61" s="74" t="n">
        <x:v>46022</x:v>
      </x:c>
      <x:c r="L61" s="74" t="n">
        <x:v>46022</x:v>
      </x:c>
      <x:c r="M61" s="77" t="n">
        <x:v>2</x:v>
      </x:c>
      <x:c r="N61" s="77"/>
      <x:c r="O61" s="78"/>
      <x:c r="P61" s="79" t="n">
        <x:f>M61</x:f>
        <x:v>2</x:v>
      </x:c>
      <x:c r="Q61" s="79" t="n">
        <x:f>IF(D61="营业收入",-P61,P61)</x:f>
        <x:v>2</x:v>
      </x:c>
      <x:c r="R61" s="62" t="str">
        <x:v>CNY</x:v>
      </x:c>
      <x:c r="S61" s="62" t="str">
        <x:v>万元</x:v>
      </x:c>
      <x:c r="T61" s="62" t="str">
        <x:v>费用不含税</x:v>
      </x:c>
      <x:c r="U61" s="62" t="str">
        <x:v>技术部</x:v>
      </x:c>
      <x:c r="V61" s="62" t="str">
        <x:v>经验反馈改进折旧摊销分摊</x:v>
      </x:c>
      <x:c r="W61" s="62" t="str">
        <x:v>经验反馈改进折旧摊销分摊</x:v>
      </x:c>
      <x:c r="X61" s="62" t="str">
        <x:v>17</x:v>
      </x:c>
      <x:c r="Y61" s="62" t="str">
        <x:v>17</x:v>
      </x:c>
      <x:c r="Z61" s="62" t="str">
        <x:v>17</x:v>
      </x:c>
      <x:c r="AA61" s="62" t="str">
        <x:v>经验反馈改进</x:v>
      </x:c>
      <x:c r="AB61" s="62" t="str">
        <x:v>PRJ-JS-经验-2024-001</x:v>
      </x:c>
      <x:c r="AC61" s="74" t="n">
        <x:v>46022</x:v>
      </x:c>
      <x:c r="AD61" s="71" t="str">
        <x:v>源记录保留</x:v>
      </x:c>
      <x:c r="AE61" s="71" t="str">
        <x:v>2025年实际执行.xlsx</x:v>
      </x:c>
      <x:c r="AF61" s="71" t="str">
        <x:v>Sheet</x:v>
      </x:c>
      <x:c r="AG61" s="71" t="n">
        <x:v>61</x:v>
      </x:c>
      <x:c r="AH61" s="71" t="str">
        <x:v>2025年实际执行.xlsx/Sheet!61:61</x:v>
      </x:c>
      <x:c r="AI61" s="62" t="str">
        <x:f>IF(F61=MONTH(L61),"OK","FAIL")</x:f>
        <x:v>OK</x:v>
      </x:c>
      <x:c r="AJ61" s="62" t="str">
        <x:f>IF(J61&lt;=L61,"OK","FAIL")</x:f>
        <x:v>OK</x:v>
      </x:c>
      <x:c r="AK61" s="62" t="str">
        <x:f>IF(D61&lt;&gt;"营业收入","OK",IF(AND(P61&lt;0,Q61&gt;0),"OK","FAIL"))</x:f>
        <x:v>OK</x:v>
      </x:c>
      <x:c r="AL61" s="62" t="str">
        <x:f>IF(COUNTIF($A$2:$A$218,A61)=1,"OK","FAIL")</x:f>
        <x:v>OK</x:v>
      </x:c>
    </x:row>
    <x:row r="62" ht="23" customHeight="1">
      <x:c r="A62" s="62" t="str">
        <x:v>DEMO01|2025|DOC2060|10</x:v>
      </x:c>
      <x:c r="B62" s="62" t="str">
        <x:v>CORRECTED</x:v>
      </x:c>
      <x:c r="C62" s="62" t="str">
        <x:v>业务支持费</x:v>
      </x:c>
      <x:c r="D62" s="62" t="str">
        <x:v>业务支持费-其他</x:v>
      </x:c>
      <x:c r="E62" s="62" t="n">
        <x:v>5</x:v>
      </x:c>
      <x:c r="F62" s="62" t="n">
        <x:v>3</x:v>
      </x:c>
      <x:c r="G62" s="62" t="str">
        <x:v>DOC2060</x:v>
      </x:c>
      <x:c r="H62" s="62" t="n">
        <x:v>10</x:v>
      </x:c>
      <x:c r="I62" s="74" t="n">
        <x:v>45797</x:v>
      </x:c>
      <x:c r="J62" s="74" t="n">
        <x:v>45736</x:v>
      </x:c>
      <x:c r="K62" s="74" t="n">
        <x:v>45736</x:v>
      </x:c>
      <x:c r="L62" s="74" t="n">
        <x:v>45736</x:v>
      </x:c>
      <x:c r="M62" s="77" t="n">
        <x:v>5</x:v>
      </x:c>
      <x:c r="N62" s="77"/>
      <x:c r="O62" s="78"/>
      <x:c r="P62" s="79" t="n">
        <x:f>M62</x:f>
        <x:v>5</x:v>
      </x:c>
      <x:c r="Q62" s="79" t="n">
        <x:f>IF(D62="营业收入",-P62,P62)</x:f>
        <x:v>5</x:v>
      </x:c>
      <x:c r="R62" s="62" t="str">
        <x:v>CNY</x:v>
      </x:c>
      <x:c r="S62" s="62" t="str">
        <x:v>万元</x:v>
      </x:c>
      <x:c r="T62" s="62" t="str">
        <x:v>费用不含税</x:v>
      </x:c>
      <x:c r="U62" s="62" t="str">
        <x:v>技术部</x:v>
      </x:c>
      <x:c r="V62" s="62" t="str">
        <x:v>确认经验反馈改进_实际成本</x:v>
      </x:c>
      <x:c r="W62" s="62" t="str">
        <x:v>确认经验反馈改进_实际成本</x:v>
      </x:c>
      <x:c r="X62" s="62" t="str">
        <x:v>华能服务</x:v>
      </x:c>
      <x:c r="Y62" s="62" t="str">
        <x:v>华能服务</x:v>
      </x:c>
      <x:c r="Z62" s="62" t="str">
        <x:v>17</x:v>
      </x:c>
      <x:c r="AA62" s="62" t="str">
        <x:v>经验反馈改进</x:v>
      </x:c>
      <x:c r="AB62" s="62" t="str">
        <x:v>PRJ-JS-经验-2024-001</x:v>
      </x:c>
      <x:c r="AC62" s="74" t="n">
        <x:v>46022</x:v>
      </x:c>
      <x:c r="AD62" s="71" t="str">
        <x:v>期间改为过账月；凭证日期改为过账日</x:v>
      </x:c>
      <x:c r="AE62" s="71" t="str">
        <x:v>2025年实际执行.xlsx</x:v>
      </x:c>
      <x:c r="AF62" s="71" t="str">
        <x:v>Sheet</x:v>
      </x:c>
      <x:c r="AG62" s="71" t="n">
        <x:v>62</x:v>
      </x:c>
      <x:c r="AH62" s="71" t="str">
        <x:v>2025年实际执行.xlsx/Sheet!62:62</x:v>
      </x:c>
      <x:c r="AI62" s="62" t="str">
        <x:f>IF(F62=MONTH(L62),"OK","FAIL")</x:f>
        <x:v>OK</x:v>
      </x:c>
      <x:c r="AJ62" s="62" t="str">
        <x:f>IF(J62&lt;=L62,"OK","FAIL")</x:f>
        <x:v>OK</x:v>
      </x:c>
      <x:c r="AK62" s="62" t="str">
        <x:f>IF(D62&lt;&gt;"营业收入","OK",IF(AND(P62&lt;0,Q62&gt;0),"OK","FAIL"))</x:f>
        <x:v>OK</x:v>
      </x:c>
      <x:c r="AL62" s="62" t="str">
        <x:f>IF(COUNTIF($A$2:$A$218,A62)=1,"OK","FAIL")</x:f>
        <x:v>OK</x:v>
      </x:c>
    </x:row>
    <x:row r="63" ht="23" customHeight="1">
      <x:c r="A63" s="62" t="str">
        <x:v>DEMO01|2025|DOC2061|10</x:v>
      </x:c>
      <x:c r="B63" s="62" t="str">
        <x:v>SOURCE</x:v>
      </x:c>
      <x:c r="C63" s="62" t="str">
        <x:v>营业收入</x:v>
      </x:c>
      <x:c r="D63" s="62" t="str">
        <x:v>营业收入</x:v>
      </x:c>
      <x:c r="E63" s="62" t="n">
        <x:v>6</x:v>
      </x:c>
      <x:c r="F63" s="62" t="n">
        <x:v>6</x:v>
      </x:c>
      <x:c r="G63" s="62" t="str">
        <x:v>DOC2061</x:v>
      </x:c>
      <x:c r="H63" s="62" t="n">
        <x:v>10</x:v>
      </x:c>
      <x:c r="I63" s="74" t="n">
        <x:v>45823</x:v>
      </x:c>
      <x:c r="J63" s="74" t="n">
        <x:v>45823</x:v>
      </x:c>
      <x:c r="K63" s="74" t="n">
        <x:v>45823</x:v>
      </x:c>
      <x:c r="L63" s="74" t="n">
        <x:v>45823</x:v>
      </x:c>
      <x:c r="M63" s="77" t="n">
        <x:v>-46.511114</x:v>
      </x:c>
      <x:c r="N63" s="77"/>
      <x:c r="O63" s="78"/>
      <x:c r="P63" s="79" t="n">
        <x:f>M63</x:f>
        <x:v>-46.511114</x:v>
      </x:c>
      <x:c r="Q63" s="79" t="n">
        <x:f>IF(D63="营业收入",-P63,P63)</x:f>
        <x:v>46.511114</x:v>
      </x:c>
      <x:c r="R63" s="62" t="str">
        <x:v>CNY</x:v>
      </x:c>
      <x:c r="S63" s="62" t="str">
        <x:v>万元</x:v>
      </x:c>
      <x:c r="T63" s="62" t="str">
        <x:v>收益；源负号</x:v>
      </x:c>
      <x:c r="U63" s="62" t="str">
        <x:v>技术部</x:v>
      </x:c>
      <x:c r="V63" s="62" t="str">
        <x:v>经验反馈改进收入确认</x:v>
      </x:c>
      <x:c r="W63" s="62" t="str">
        <x:v>经验反馈改进收入确认</x:v>
      </x:c>
      <x:c r="X63" s="62" t="str">
        <x:v>17</x:v>
      </x:c>
      <x:c r="Y63" s="62" t="str">
        <x:v>17</x:v>
      </x:c>
      <x:c r="Z63" s="62" t="str">
        <x:v>17</x:v>
      </x:c>
      <x:c r="AA63" s="62" t="str">
        <x:v>经验反馈改进</x:v>
      </x:c>
      <x:c r="AB63" s="62" t="str">
        <x:v>PRJ-JS-经验-2025-002</x:v>
      </x:c>
      <x:c r="AC63" s="74" t="n">
        <x:v>46022</x:v>
      </x:c>
      <x:c r="AD63" s="71" t="str">
        <x:v>源记录保留</x:v>
      </x:c>
      <x:c r="AE63" s="71" t="str">
        <x:v>2025年实际执行.xlsx</x:v>
      </x:c>
      <x:c r="AF63" s="71" t="str">
        <x:v>Sheet</x:v>
      </x:c>
      <x:c r="AG63" s="71" t="n">
        <x:v>63</x:v>
      </x:c>
      <x:c r="AH63" s="71" t="str">
        <x:v>2025年实际执行.xlsx/Sheet!63:63</x:v>
      </x:c>
      <x:c r="AI63" s="62" t="str">
        <x:f>IF(F63=MONTH(L63),"OK","FAIL")</x:f>
        <x:v>OK</x:v>
      </x:c>
      <x:c r="AJ63" s="62" t="str">
        <x:f>IF(J63&lt;=L63,"OK","FAIL")</x:f>
        <x:v>OK</x:v>
      </x:c>
      <x:c r="AK63" s="62" t="str">
        <x:f>IF(D63&lt;&gt;"营业收入","OK",IF(AND(P63&lt;0,Q63&gt;0),"OK","FAIL"))</x:f>
        <x:v>OK</x:v>
      </x:c>
      <x:c r="AL63" s="62" t="str">
        <x:f>IF(COUNTIF($A$2:$A$218,A63)=1,"OK","FAIL")</x:f>
        <x:v>OK</x:v>
      </x:c>
    </x:row>
    <x:row r="64" ht="23" customHeight="1">
      <x:c r="A64" s="62" t="str">
        <x:v>DEMO01|2025|DOC2062|10</x:v>
      </x:c>
      <x:c r="B64" s="62" t="str">
        <x:v>SOURCE</x:v>
      </x:c>
      <x:c r="C64" s="62" t="str">
        <x:v>会议费</x:v>
      </x:c>
      <x:c r="D64" s="62" t="str">
        <x:v>会议费</x:v>
      </x:c>
      <x:c r="E64" s="62" t="n">
        <x:v>7</x:v>
      </x:c>
      <x:c r="F64" s="62" t="n">
        <x:v>7</x:v>
      </x:c>
      <x:c r="G64" s="62" t="str">
        <x:v>DOC2062</x:v>
      </x:c>
      <x:c r="H64" s="62" t="n">
        <x:v>10</x:v>
      </x:c>
      <x:c r="I64" s="74" t="n">
        <x:v>45853</x:v>
      </x:c>
      <x:c r="J64" s="74" t="n">
        <x:v>45853</x:v>
      </x:c>
      <x:c r="K64" s="74" t="n">
        <x:v>45853</x:v>
      </x:c>
      <x:c r="L64" s="74" t="n">
        <x:v>45853</x:v>
      </x:c>
      <x:c r="M64" s="77" t="n">
        <x:v>2</x:v>
      </x:c>
      <x:c r="N64" s="77"/>
      <x:c r="O64" s="78"/>
      <x:c r="P64" s="79" t="n">
        <x:f>M64</x:f>
        <x:v>2</x:v>
      </x:c>
      <x:c r="Q64" s="79" t="n">
        <x:f>IF(D64="营业收入",-P64,P64)</x:f>
        <x:v>2</x:v>
      </x:c>
      <x:c r="R64" s="62" t="str">
        <x:v>CNY</x:v>
      </x:c>
      <x:c r="S64" s="62" t="str">
        <x:v>万元</x:v>
      </x:c>
      <x:c r="T64" s="62" t="str">
        <x:v>费用不含税</x:v>
      </x:c>
      <x:c r="U64" s="62" t="str">
        <x:v>技术部</x:v>
      </x:c>
      <x:c r="V64" s="62" t="str">
        <x:v>经验反馈改进项目阶段评审会</x:v>
      </x:c>
      <x:c r="W64" s="62" t="str">
        <x:v>经验反馈改进项目阶段评审会</x:v>
      </x:c>
      <x:c r="X64" s="62" t="str">
        <x:v>华能服务</x:v>
      </x:c>
      <x:c r="Y64" s="62" t="str">
        <x:v>华能服务</x:v>
      </x:c>
      <x:c r="Z64" s="62" t="str">
        <x:v>17</x:v>
      </x:c>
      <x:c r="AA64" s="62" t="str">
        <x:v>经验反馈改进</x:v>
      </x:c>
      <x:c r="AB64" s="62" t="str">
        <x:v>PRJ-JS-经验-2025-002</x:v>
      </x:c>
      <x:c r="AC64" s="74" t="n">
        <x:v>46022</x:v>
      </x:c>
      <x:c r="AD64" s="71" t="str">
        <x:v>源记录保留</x:v>
      </x:c>
      <x:c r="AE64" s="71" t="str">
        <x:v>2025年实际执行.xlsx</x:v>
      </x:c>
      <x:c r="AF64" s="71" t="str">
        <x:v>Sheet</x:v>
      </x:c>
      <x:c r="AG64" s="71" t="n">
        <x:v>64</x:v>
      </x:c>
      <x:c r="AH64" s="71" t="str">
        <x:v>2025年实际执行.xlsx/Sheet!64:64</x:v>
      </x:c>
      <x:c r="AI64" s="62" t="str">
        <x:f>IF(F64=MONTH(L64),"OK","FAIL")</x:f>
        <x:v>OK</x:v>
      </x:c>
      <x:c r="AJ64" s="62" t="str">
        <x:f>IF(J64&lt;=L64,"OK","FAIL")</x:f>
        <x:v>OK</x:v>
      </x:c>
      <x:c r="AK64" s="62" t="str">
        <x:f>IF(D64&lt;&gt;"营业收入","OK",IF(AND(P64&lt;0,Q64&gt;0),"OK","FAIL"))</x:f>
        <x:v>OK</x:v>
      </x:c>
      <x:c r="AL64" s="62" t="str">
        <x:f>IF(COUNTIF($A$2:$A$218,A64)=1,"OK","FAIL")</x:f>
        <x:v>OK</x:v>
      </x:c>
    </x:row>
    <x:row r="65" ht="23" customHeight="1">
      <x:c r="A65" s="62" t="str">
        <x:v>DEMO01|2025|DOC2063|10</x:v>
      </x:c>
      <x:c r="B65" s="62" t="str">
        <x:v>SOURCE</x:v>
      </x:c>
      <x:c r="C65" s="62" t="str">
        <x:v>业务支持费</x:v>
      </x:c>
      <x:c r="D65" s="62" t="str">
        <x:v>业务支持费-技术配置</x:v>
      </x:c>
      <x:c r="E65" s="62" t="n">
        <x:v>3</x:v>
      </x:c>
      <x:c r="F65" s="62" t="n">
        <x:v>3</x:v>
      </x:c>
      <x:c r="G65" s="62" t="str">
        <x:v>DOC2063</x:v>
      </x:c>
      <x:c r="H65" s="62" t="n">
        <x:v>10</x:v>
      </x:c>
      <x:c r="I65" s="74" t="n">
        <x:v>45731</x:v>
      </x:c>
      <x:c r="J65" s="74" t="n">
        <x:v>45731</x:v>
      </x:c>
      <x:c r="K65" s="74" t="n">
        <x:v>45731</x:v>
      </x:c>
      <x:c r="L65" s="74" t="n">
        <x:v>45731</x:v>
      </x:c>
      <x:c r="M65" s="77" t="n">
        <x:v>15</x:v>
      </x:c>
      <x:c r="N65" s="77"/>
      <x:c r="O65" s="78"/>
      <x:c r="P65" s="79" t="n">
        <x:f>M65</x:f>
        <x:v>15</x:v>
      </x:c>
      <x:c r="Q65" s="79" t="n">
        <x:f>IF(D65="营业收入",-P65,P65)</x:f>
        <x:v>15</x:v>
      </x:c>
      <x:c r="R65" s="62" t="str">
        <x:v>CNY</x:v>
      </x:c>
      <x:c r="S65" s="62" t="str">
        <x:v>万元</x:v>
      </x:c>
      <x:c r="T65" s="62" t="str">
        <x:v>费用不含税</x:v>
      </x:c>
      <x:c r="U65" s="62" t="str">
        <x:v>技术部</x:v>
      </x:c>
      <x:c r="V65" s="62" t="str">
        <x:v>经验反馈改进技术配置_实施阶段</x:v>
      </x:c>
      <x:c r="W65" s="62" t="str">
        <x:v>经验反馈改进技术配置_实施阶段</x:v>
      </x:c>
      <x:c r="X65" s="62" t="str">
        <x:v>供应商2</x:v>
      </x:c>
      <x:c r="Y65" s="62" t="str">
        <x:v>供应商2</x:v>
      </x:c>
      <x:c r="Z65" s="62" t="str">
        <x:v>17</x:v>
      </x:c>
      <x:c r="AA65" s="62" t="str">
        <x:v>经验反馈改进</x:v>
      </x:c>
      <x:c r="AB65" s="62" t="str">
        <x:v>PRJ-JS-经验-2025-002</x:v>
      </x:c>
      <x:c r="AC65" s="74" t="n">
        <x:v>46022</x:v>
      </x:c>
      <x:c r="AD65" s="71" t="str">
        <x:v>源记录保留</x:v>
      </x:c>
      <x:c r="AE65" s="71" t="str">
        <x:v>2025年实际执行.xlsx</x:v>
      </x:c>
      <x:c r="AF65" s="71" t="str">
        <x:v>Sheet</x:v>
      </x:c>
      <x:c r="AG65" s="71" t="n">
        <x:v>65</x:v>
      </x:c>
      <x:c r="AH65" s="71" t="str">
        <x:v>2025年实际执行.xlsx/Sheet!65:65</x:v>
      </x:c>
      <x:c r="AI65" s="62" t="str">
        <x:f>IF(F65=MONTH(L65),"OK","FAIL")</x:f>
        <x:v>OK</x:v>
      </x:c>
      <x:c r="AJ65" s="62" t="str">
        <x:f>IF(J65&lt;=L65,"OK","FAIL")</x:f>
        <x:v>OK</x:v>
      </x:c>
      <x:c r="AK65" s="62" t="str">
        <x:f>IF(D65&lt;&gt;"营业收入","OK",IF(AND(P65&lt;0,Q65&gt;0),"OK","FAIL"))</x:f>
        <x:v>OK</x:v>
      </x:c>
      <x:c r="AL65" s="62" t="str">
        <x:f>IF(COUNTIF($A$2:$A$218,A65)=1,"OK","FAIL")</x:f>
        <x:v>OK</x:v>
      </x:c>
    </x:row>
    <x:row r="66" ht="23" customHeight="1">
      <x:c r="A66" s="62" t="str">
        <x:v>DEMO01|2025|DOC2064|10</x:v>
      </x:c>
      <x:c r="B66" s="62" t="str">
        <x:v>SOURCE</x:v>
      </x:c>
      <x:c r="C66" s="62" t="str">
        <x:v>生产物料费</x:v>
      </x:c>
      <x:c r="D66" s="62" t="str">
        <x:v>生产物料费</x:v>
      </x:c>
      <x:c r="E66" s="62" t="n">
        <x:v>8</x:v>
      </x:c>
      <x:c r="F66" s="62" t="n">
        <x:v>8</x:v>
      </x:c>
      <x:c r="G66" s="62" t="str">
        <x:v>DOC2064</x:v>
      </x:c>
      <x:c r="H66" s="62" t="n">
        <x:v>10</x:v>
      </x:c>
      <x:c r="I66" s="74" t="n">
        <x:v>45884</x:v>
      </x:c>
      <x:c r="J66" s="74" t="n">
        <x:v>45884</x:v>
      </x:c>
      <x:c r="K66" s="74" t="n">
        <x:v>45884</x:v>
      </x:c>
      <x:c r="L66" s="74" t="n">
        <x:v>45884</x:v>
      </x:c>
      <x:c r="M66" s="77" t="n">
        <x:v>2.4345</x:v>
      </x:c>
      <x:c r="N66" s="77"/>
      <x:c r="O66" s="78"/>
      <x:c r="P66" s="79" t="n">
        <x:f>M66</x:f>
        <x:v>2.4345</x:v>
      </x:c>
      <x:c r="Q66" s="79" t="n">
        <x:f>IF(D66="营业收入",-P66,P66)</x:f>
        <x:v>2.4345</x:v>
      </x:c>
      <x:c r="R66" s="62" t="str">
        <x:v>CNY</x:v>
      </x:c>
      <x:c r="S66" s="62" t="str">
        <x:v>万元</x:v>
      </x:c>
      <x:c r="T66" s="62" t="str">
        <x:v>费用不含税</x:v>
      </x:c>
      <x:c r="U66" s="62" t="str">
        <x:v>技术部</x:v>
      </x:c>
      <x:c r="V66" s="62" t="str">
        <x:v>经验反馈改进现场物料采购</x:v>
      </x:c>
      <x:c r="W66" s="62" t="str">
        <x:v>经验反馈改进现场物料采购</x:v>
      </x:c>
      <x:c r="X66" s="62" t="str">
        <x:v>华能服务</x:v>
      </x:c>
      <x:c r="Y66" s="62" t="str">
        <x:v>华能服务</x:v>
      </x:c>
      <x:c r="Z66" s="62" t="str">
        <x:v>17</x:v>
      </x:c>
      <x:c r="AA66" s="62" t="str">
        <x:v>经验反馈改进</x:v>
      </x:c>
      <x:c r="AB66" s="62" t="str">
        <x:v>PRJ-JS-经验-2025-002</x:v>
      </x:c>
      <x:c r="AC66" s="74" t="n">
        <x:v>46022</x:v>
      </x:c>
      <x:c r="AD66" s="71" t="str">
        <x:v>源记录保留</x:v>
      </x:c>
      <x:c r="AE66" s="71" t="str">
        <x:v>2025年实际执行.xlsx</x:v>
      </x:c>
      <x:c r="AF66" s="71" t="str">
        <x:v>Sheet</x:v>
      </x:c>
      <x:c r="AG66" s="71" t="n">
        <x:v>66</x:v>
      </x:c>
      <x:c r="AH66" s="71" t="str">
        <x:v>2025年实际执行.xlsx/Sheet!66:66</x:v>
      </x:c>
      <x:c r="AI66" s="62" t="str">
        <x:f>IF(F66=MONTH(L66),"OK","FAIL")</x:f>
        <x:v>OK</x:v>
      </x:c>
      <x:c r="AJ66" s="62" t="str">
        <x:f>IF(J66&lt;=L66,"OK","FAIL")</x:f>
        <x:v>OK</x:v>
      </x:c>
      <x:c r="AK66" s="62" t="str">
        <x:f>IF(D66&lt;&gt;"营业收入","OK",IF(AND(P66&lt;0,Q66&gt;0),"OK","FAIL"))</x:f>
        <x:v>OK</x:v>
      </x:c>
      <x:c r="AL66" s="62" t="str">
        <x:f>IF(COUNTIF($A$2:$A$218,A66)=1,"OK","FAIL")</x:f>
        <x:v>OK</x:v>
      </x:c>
    </x:row>
    <x:row r="67" ht="23" customHeight="1">
      <x:c r="A67" s="62" t="str">
        <x:v>DEMO01|2025|DOC2065|10</x:v>
      </x:c>
      <x:c r="B67" s="62" t="str">
        <x:v>SOURCE</x:v>
      </x:c>
      <x:c r="C67" s="62" t="str">
        <x:v>办公费</x:v>
      </x:c>
      <x:c r="D67" s="62" t="str">
        <x:v>办公费</x:v>
      </x:c>
      <x:c r="E67" s="62" t="n">
        <x:v>1</x:v>
      </x:c>
      <x:c r="F67" s="62" t="n">
        <x:v>1</x:v>
      </x:c>
      <x:c r="G67" s="62" t="str">
        <x:v>DOC2065</x:v>
      </x:c>
      <x:c r="H67" s="62" t="n">
        <x:v>10</x:v>
      </x:c>
      <x:c r="I67" s="74" t="n">
        <x:v>45672</x:v>
      </x:c>
      <x:c r="J67" s="74" t="n">
        <x:v>45672</x:v>
      </x:c>
      <x:c r="K67" s="74" t="n">
        <x:v>45672</x:v>
      </x:c>
      <x:c r="L67" s="74" t="n">
        <x:v>45672</x:v>
      </x:c>
      <x:c r="M67" s="77" t="n">
        <x:v>0.4869</x:v>
      </x:c>
      <x:c r="N67" s="77"/>
      <x:c r="O67" s="78"/>
      <x:c r="P67" s="79" t="n">
        <x:f>M67</x:f>
        <x:v>0.4869</x:v>
      </x:c>
      <x:c r="Q67" s="79" t="n">
        <x:f>IF(D67="营业收入",-P67,P67)</x:f>
        <x:v>0.4869</x:v>
      </x:c>
      <x:c r="R67" s="62" t="str">
        <x:v>CNY</x:v>
      </x:c>
      <x:c r="S67" s="62" t="str">
        <x:v>万元</x:v>
      </x:c>
      <x:c r="T67" s="62" t="str">
        <x:v>费用不含税</x:v>
      </x:c>
      <x:c r="U67" s="62" t="str">
        <x:v>技术部</x:v>
      </x:c>
      <x:c r="V67" s="62" t="str">
        <x:v>经验反馈改进日常办公</x:v>
      </x:c>
      <x:c r="W67" s="62" t="str">
        <x:v>经验反馈改进日常办公</x:v>
      </x:c>
      <x:c r="X67" s="62" t="str">
        <x:v>华能服务</x:v>
      </x:c>
      <x:c r="Y67" s="62" t="str">
        <x:v>华能服务</x:v>
      </x:c>
      <x:c r="Z67" s="62" t="str">
        <x:v>17</x:v>
      </x:c>
      <x:c r="AA67" s="62" t="str">
        <x:v>经验反馈改进</x:v>
      </x:c>
      <x:c r="AB67" s="62" t="str">
        <x:v>PRJ-JS-经验-2025-002</x:v>
      </x:c>
      <x:c r="AC67" s="74" t="n">
        <x:v>46022</x:v>
      </x:c>
      <x:c r="AD67" s="71" t="str">
        <x:v>源记录保留</x:v>
      </x:c>
      <x:c r="AE67" s="71" t="str">
        <x:v>2025年实际执行.xlsx</x:v>
      </x:c>
      <x:c r="AF67" s="71" t="str">
        <x:v>Sheet</x:v>
      </x:c>
      <x:c r="AG67" s="71" t="n">
        <x:v>67</x:v>
      </x:c>
      <x:c r="AH67" s="71" t="str">
        <x:v>2025年实际执行.xlsx/Sheet!67:67</x:v>
      </x:c>
      <x:c r="AI67" s="62" t="str">
        <x:f>IF(F67=MONTH(L67),"OK","FAIL")</x:f>
        <x:v>OK</x:v>
      </x:c>
      <x:c r="AJ67" s="62" t="str">
        <x:f>IF(J67&lt;=L67,"OK","FAIL")</x:f>
        <x:v>OK</x:v>
      </x:c>
      <x:c r="AK67" s="62" t="str">
        <x:f>IF(D67&lt;&gt;"营业收入","OK",IF(AND(P67&lt;0,Q67&gt;0),"OK","FAIL"))</x:f>
        <x:v>OK</x:v>
      </x:c>
      <x:c r="AL67" s="62" t="str">
        <x:f>IF(COUNTIF($A$2:$A$218,A67)=1,"OK","FAIL")</x:f>
        <x:v>OK</x:v>
      </x:c>
    </x:row>
    <x:row r="68" ht="23" customHeight="1">
      <x:c r="A68" s="62" t="str">
        <x:v>DEMO01|2025|DOC2066|10</x:v>
      </x:c>
      <x:c r="B68" s="62" t="str">
        <x:v>CORRECTED</x:v>
      </x:c>
      <x:c r="C68" s="62" t="str">
        <x:v>交通运输费</x:v>
      </x:c>
      <x:c r="D68" s="62" t="str">
        <x:v>交通运输费</x:v>
      </x:c>
      <x:c r="E68" s="62" t="n">
        <x:v>12</x:v>
      </x:c>
      <x:c r="F68" s="62" t="n">
        <x:v>12</x:v>
      </x:c>
      <x:c r="G68" s="62" t="str">
        <x:v>DOC2066</x:v>
      </x:c>
      <x:c r="H68" s="62" t="n">
        <x:v>10</x:v>
      </x:c>
      <x:c r="I68" s="74" t="n">
        <x:v>46006</x:v>
      </x:c>
      <x:c r="J68" s="74" t="n">
        <x:v>46006</x:v>
      </x:c>
      <x:c r="K68" s="74" t="n">
        <x:v>46006</x:v>
      </x:c>
      <x:c r="L68" s="74" t="n">
        <x:v>46006</x:v>
      </x:c>
      <x:c r="M68" s="77" t="n">
        <x:v>0.8115</x:v>
      </x:c>
      <x:c r="N68" s="77"/>
      <x:c r="O68" s="78"/>
      <x:c r="P68" s="79" t="n">
        <x:f>M68</x:f>
        <x:v>0.8115</x:v>
      </x:c>
      <x:c r="Q68" s="79" t="n">
        <x:f>IF(D68="营业收入",-P68,P68)</x:f>
        <x:v>0.8115</x:v>
      </x:c>
      <x:c r="R68" s="62" t="str">
        <x:v>CNY</x:v>
      </x:c>
      <x:c r="S68" s="62" t="str">
        <x:v>万元</x:v>
      </x:c>
      <x:c r="T68" s="62" t="str">
        <x:v>费用不含税</x:v>
      </x:c>
      <x:c r="U68" s="62" t="str">
        <x:v>技术部</x:v>
      </x:c>
      <x:c r="V68" s="62" t="str">
        <x:v>经验反馈改进材料运输</x:v>
      </x:c>
      <x:c r="W68" s="62" t="str">
        <x:v>经验反馈改进材料运输</x:v>
      </x:c>
      <x:c r="X68" s="62" t="str">
        <x:v>华能服务</x:v>
      </x:c>
      <x:c r="Y68" s="62" t="str">
        <x:v>华能服务</x:v>
      </x:c>
      <x:c r="Z68" s="62" t="str">
        <x:v>17</x:v>
      </x:c>
      <x:c r="AA68" s="62" t="str">
        <x:v>经验反馈改进</x:v>
      </x:c>
      <x:c r="AB68" s="62" t="str">
        <x:v>PRJ-JS-经验-2025-002</x:v>
      </x:c>
      <x:c r="AC68" s="74" t="n">
        <x:v>46022</x:v>
      </x:c>
      <x:c r="AD68" s="71" t="str">
        <x:v>补凭证行号</x:v>
      </x:c>
      <x:c r="AE68" s="71" t="str">
        <x:v>2025年实际执行.xlsx</x:v>
      </x:c>
      <x:c r="AF68" s="71" t="str">
        <x:v>Sheet</x:v>
      </x:c>
      <x:c r="AG68" s="71" t="n">
        <x:v>68</x:v>
      </x:c>
      <x:c r="AH68" s="71" t="str">
        <x:v>2025年实际执行.xlsx/Sheet!68:68</x:v>
      </x:c>
      <x:c r="AI68" s="62" t="str">
        <x:f>IF(F68=MONTH(L68),"OK","FAIL")</x:f>
        <x:v>OK</x:v>
      </x:c>
      <x:c r="AJ68" s="62" t="str">
        <x:f>IF(J68&lt;=L68,"OK","FAIL")</x:f>
        <x:v>OK</x:v>
      </x:c>
      <x:c r="AK68" s="62" t="str">
        <x:f>IF(D68&lt;&gt;"营业收入","OK",IF(AND(P68&lt;0,Q68&gt;0),"OK","FAIL"))</x:f>
        <x:v>OK</x:v>
      </x:c>
      <x:c r="AL68" s="62" t="str">
        <x:f>IF(COUNTIF($A$2:$A$218,A68)=1,"OK","FAIL")</x:f>
        <x:v>OK</x:v>
      </x:c>
    </x:row>
    <x:row r="69" ht="23" customHeight="1">
      <x:c r="A69" s="62" t="str">
        <x:v>DEMO01|2025|DOC2067|10</x:v>
      </x:c>
      <x:c r="B69" s="62" t="str">
        <x:v>SOURCE</x:v>
      </x:c>
      <x:c r="C69" s="62" t="str">
        <x:v>人工成本</x:v>
      </x:c>
      <x:c r="D69" s="62" t="str">
        <x:v>人工成本</x:v>
      </x:c>
      <x:c r="E69" s="62" t="n">
        <x:v>6</x:v>
      </x:c>
      <x:c r="F69" s="62" t="n">
        <x:v>6</x:v>
      </x:c>
      <x:c r="G69" s="62" t="str">
        <x:v>DOC2067</x:v>
      </x:c>
      <x:c r="H69" s="62" t="n">
        <x:v>10</x:v>
      </x:c>
      <x:c r="I69" s="74" t="n">
        <x:v>45838</x:v>
      </x:c>
      <x:c r="J69" s="74" t="n">
        <x:v>45838</x:v>
      </x:c>
      <x:c r="K69" s="74" t="n">
        <x:v>45838</x:v>
      </x:c>
      <x:c r="L69" s="74" t="n">
        <x:v>45838</x:v>
      </x:c>
      <x:c r="M69" s="77" t="n">
        <x:v>9</x:v>
      </x:c>
      <x:c r="N69" s="77"/>
      <x:c r="O69" s="78"/>
      <x:c r="P69" s="79" t="n">
        <x:f>M69</x:f>
        <x:v>9</x:v>
      </x:c>
      <x:c r="Q69" s="79" t="n">
        <x:f>IF(D69="营业收入",-P69,P69)</x:f>
        <x:v>9</x:v>
      </x:c>
      <x:c r="R69" s="62" t="str">
        <x:v>CNY</x:v>
      </x:c>
      <x:c r="S69" s="62" t="str">
        <x:v>万元</x:v>
      </x:c>
      <x:c r="T69" s="62" t="str">
        <x:v>费用不含税</x:v>
      </x:c>
      <x:c r="U69" s="62" t="str">
        <x:v>技术部</x:v>
      </x:c>
      <x:c r="V69" s="62" t="str">
        <x:v>经验反馈改进人工成本分摊</x:v>
      </x:c>
      <x:c r="W69" s="62" t="str">
        <x:v>经验反馈改进人工成本分摊</x:v>
      </x:c>
      <x:c r="X69" s="62" t="str">
        <x:v>17</x:v>
      </x:c>
      <x:c r="Y69" s="62" t="str">
        <x:v>17</x:v>
      </x:c>
      <x:c r="Z69" s="62" t="str">
        <x:v>17</x:v>
      </x:c>
      <x:c r="AA69" s="62" t="str">
        <x:v>经验反馈改进</x:v>
      </x:c>
      <x:c r="AB69" s="62" t="str">
        <x:v>PRJ-JS-经验-2025-002</x:v>
      </x:c>
      <x:c r="AC69" s="74" t="n">
        <x:v>46022</x:v>
      </x:c>
      <x:c r="AD69" s="71" t="str">
        <x:v>源记录保留</x:v>
      </x:c>
      <x:c r="AE69" s="71" t="str">
        <x:v>2025年实际执行.xlsx</x:v>
      </x:c>
      <x:c r="AF69" s="71" t="str">
        <x:v>Sheet</x:v>
      </x:c>
      <x:c r="AG69" s="71" t="n">
        <x:v>69</x:v>
      </x:c>
      <x:c r="AH69" s="71" t="str">
        <x:v>2025年实际执行.xlsx/Sheet!69:69</x:v>
      </x:c>
      <x:c r="AI69" s="62" t="str">
        <x:f>IF(F69=MONTH(L69),"OK","FAIL")</x:f>
        <x:v>OK</x:v>
      </x:c>
      <x:c r="AJ69" s="62" t="str">
        <x:f>IF(J69&lt;=L69,"OK","FAIL")</x:f>
        <x:v>OK</x:v>
      </x:c>
      <x:c r="AK69" s="62" t="str">
        <x:f>IF(D69&lt;&gt;"营业收入","OK",IF(AND(P69&lt;0,Q69&gt;0),"OK","FAIL"))</x:f>
        <x:v>OK</x:v>
      </x:c>
      <x:c r="AL69" s="62" t="str">
        <x:f>IF(COUNTIF($A$2:$A$218,A69)=1,"OK","FAIL")</x:f>
        <x:v>OK</x:v>
      </x:c>
    </x:row>
    <x:row r="70" ht="23" customHeight="1">
      <x:c r="A70" s="62" t="str">
        <x:v>DEMO01|2025|DOC2068|10</x:v>
      </x:c>
      <x:c r="B70" s="62" t="str">
        <x:v>SOURCE</x:v>
      </x:c>
      <x:c r="C70" s="62" t="str">
        <x:v>折旧摊销</x:v>
      </x:c>
      <x:c r="D70" s="62" t="str">
        <x:v>折旧摊销</x:v>
      </x:c>
      <x:c r="E70" s="62" t="n">
        <x:v>12</x:v>
      </x:c>
      <x:c r="F70" s="62" t="n">
        <x:v>12</x:v>
      </x:c>
      <x:c r="G70" s="62" t="str">
        <x:v>DOC2068</x:v>
      </x:c>
      <x:c r="H70" s="62" t="n">
        <x:v>10</x:v>
      </x:c>
      <x:c r="I70" s="74" t="n">
        <x:v>46022</x:v>
      </x:c>
      <x:c r="J70" s="74" t="n">
        <x:v>46022</x:v>
      </x:c>
      <x:c r="K70" s="74" t="n">
        <x:v>46022</x:v>
      </x:c>
      <x:c r="L70" s="74" t="n">
        <x:v>46022</x:v>
      </x:c>
      <x:c r="M70" s="77" t="n">
        <x:v>2</x:v>
      </x:c>
      <x:c r="N70" s="77"/>
      <x:c r="O70" s="78"/>
      <x:c r="P70" s="79" t="n">
        <x:f>M70</x:f>
        <x:v>2</x:v>
      </x:c>
      <x:c r="Q70" s="79" t="n">
        <x:f>IF(D70="营业收入",-P70,P70)</x:f>
        <x:v>2</x:v>
      </x:c>
      <x:c r="R70" s="62" t="str">
        <x:v>CNY</x:v>
      </x:c>
      <x:c r="S70" s="62" t="str">
        <x:v>万元</x:v>
      </x:c>
      <x:c r="T70" s="62" t="str">
        <x:v>费用不含税</x:v>
      </x:c>
      <x:c r="U70" s="62" t="str">
        <x:v>技术部</x:v>
      </x:c>
      <x:c r="V70" s="62" t="str">
        <x:v>经验反馈改进折旧摊销分摊</x:v>
      </x:c>
      <x:c r="W70" s="62" t="str">
        <x:v>经验反馈改进折旧摊销分摊</x:v>
      </x:c>
      <x:c r="X70" s="62" t="str">
        <x:v>17</x:v>
      </x:c>
      <x:c r="Y70" s="62" t="str">
        <x:v>17</x:v>
      </x:c>
      <x:c r="Z70" s="62" t="str">
        <x:v>17</x:v>
      </x:c>
      <x:c r="AA70" s="62" t="str">
        <x:v>经验反馈改进</x:v>
      </x:c>
      <x:c r="AB70" s="62" t="str">
        <x:v>PRJ-JS-经验-2025-002</x:v>
      </x:c>
      <x:c r="AC70" s="74" t="n">
        <x:v>46022</x:v>
      </x:c>
      <x:c r="AD70" s="71" t="str">
        <x:v>源记录保留</x:v>
      </x:c>
      <x:c r="AE70" s="71" t="str">
        <x:v>2025年实际执行.xlsx</x:v>
      </x:c>
      <x:c r="AF70" s="71" t="str">
        <x:v>Sheet</x:v>
      </x:c>
      <x:c r="AG70" s="71" t="n">
        <x:v>70</x:v>
      </x:c>
      <x:c r="AH70" s="71" t="str">
        <x:v>2025年实际执行.xlsx/Sheet!70:70</x:v>
      </x:c>
      <x:c r="AI70" s="62" t="str">
        <x:f>IF(F70=MONTH(L70),"OK","FAIL")</x:f>
        <x:v>OK</x:v>
      </x:c>
      <x:c r="AJ70" s="62" t="str">
        <x:f>IF(J70&lt;=L70,"OK","FAIL")</x:f>
        <x:v>OK</x:v>
      </x:c>
      <x:c r="AK70" s="62" t="str">
        <x:f>IF(D70&lt;&gt;"营业收入","OK",IF(AND(P70&lt;0,Q70&gt;0),"OK","FAIL"))</x:f>
        <x:v>OK</x:v>
      </x:c>
      <x:c r="AL70" s="62" t="str">
        <x:f>IF(COUNTIF($A$2:$A$218,A70)=1,"OK","FAIL")</x:f>
        <x:v>OK</x:v>
      </x:c>
    </x:row>
    <x:row r="71" ht="23" customHeight="1">
      <x:c r="A71" s="62" t="str">
        <x:v>DEMO01|2025|DOC2069|10</x:v>
      </x:c>
      <x:c r="B71" s="62" t="str">
        <x:v>CORRECTED</x:v>
      </x:c>
      <x:c r="C71" s="62" t="str">
        <x:v>业务支持费</x:v>
      </x:c>
      <x:c r="D71" s="62" t="str">
        <x:v>业务支持费-其他</x:v>
      </x:c>
      <x:c r="E71" s="62" t="n">
        <x:v>5</x:v>
      </x:c>
      <x:c r="F71" s="62" t="n">
        <x:v>3</x:v>
      </x:c>
      <x:c r="G71" s="62" t="str">
        <x:v>DOC2069</x:v>
      </x:c>
      <x:c r="H71" s="62" t="n">
        <x:v>10</x:v>
      </x:c>
      <x:c r="I71" s="74" t="n">
        <x:v>45767</x:v>
      </x:c>
      <x:c r="J71" s="74" t="n">
        <x:v>45736</x:v>
      </x:c>
      <x:c r="K71" s="74" t="n">
        <x:v>45736</x:v>
      </x:c>
      <x:c r="L71" s="74" t="n">
        <x:v>45736</x:v>
      </x:c>
      <x:c r="M71" s="77" t="n">
        <x:v>4</x:v>
      </x:c>
      <x:c r="N71" s="77"/>
      <x:c r="O71" s="78"/>
      <x:c r="P71" s="79" t="n">
        <x:f>M71</x:f>
        <x:v>4</x:v>
      </x:c>
      <x:c r="Q71" s="79" t="n">
        <x:f>IF(D71="营业收入",-P71,P71)</x:f>
        <x:v>4</x:v>
      </x:c>
      <x:c r="R71" s="62" t="str">
        <x:v>CNY</x:v>
      </x:c>
      <x:c r="S71" s="62" t="str">
        <x:v>万元</x:v>
      </x:c>
      <x:c r="T71" s="62" t="str">
        <x:v>费用不含税</x:v>
      </x:c>
      <x:c r="U71" s="62" t="str">
        <x:v>技术部</x:v>
      </x:c>
      <x:c r="V71" s="62" t="str">
        <x:v>确认经验反馈改进_实际成本</x:v>
      </x:c>
      <x:c r="W71" s="62" t="str">
        <x:v>确认经验反馈改进_实际成本</x:v>
      </x:c>
      <x:c r="X71" s="62" t="str">
        <x:v>华能服务</x:v>
      </x:c>
      <x:c r="Y71" s="62" t="str">
        <x:v>华能服务</x:v>
      </x:c>
      <x:c r="Z71" s="62" t="str">
        <x:v>17</x:v>
      </x:c>
      <x:c r="AA71" s="62" t="str">
        <x:v>经验反馈改进</x:v>
      </x:c>
      <x:c r="AB71" s="62" t="str">
        <x:v>PRJ-JS-经验-2025-002</x:v>
      </x:c>
      <x:c r="AC71" s="74" t="n">
        <x:v>46022</x:v>
      </x:c>
      <x:c r="AD71" s="71" t="str">
        <x:v>期间改为过账月；凭证日期改为过账日</x:v>
      </x:c>
      <x:c r="AE71" s="71" t="str">
        <x:v>2025年实际执行.xlsx</x:v>
      </x:c>
      <x:c r="AF71" s="71" t="str">
        <x:v>Sheet</x:v>
      </x:c>
      <x:c r="AG71" s="71" t="n">
        <x:v>71</x:v>
      </x:c>
      <x:c r="AH71" s="71" t="str">
        <x:v>2025年实际执行.xlsx/Sheet!71:71</x:v>
      </x:c>
      <x:c r="AI71" s="62" t="str">
        <x:f>IF(F71=MONTH(L71),"OK","FAIL")</x:f>
        <x:v>OK</x:v>
      </x:c>
      <x:c r="AJ71" s="62" t="str">
        <x:f>IF(J71&lt;=L71,"OK","FAIL")</x:f>
        <x:v>OK</x:v>
      </x:c>
      <x:c r="AK71" s="62" t="str">
        <x:f>IF(D71&lt;&gt;"营业收入","OK",IF(AND(P71&lt;0,Q71&gt;0),"OK","FAIL"))</x:f>
        <x:v>OK</x:v>
      </x:c>
      <x:c r="AL71" s="62" t="str">
        <x:f>IF(COUNTIF($A$2:$A$218,A71)=1,"OK","FAIL")</x:f>
        <x:v>OK</x:v>
      </x:c>
    </x:row>
    <x:row r="72" ht="23" customHeight="1">
      <x:c r="A72" s="62" t="str">
        <x:v>DEMO01|2025|DOC2070|10</x:v>
      </x:c>
      <x:c r="B72" s="62" t="str">
        <x:v>SOURCE</x:v>
      </x:c>
      <x:c r="C72" s="62" t="str">
        <x:v>营业收入</x:v>
      </x:c>
      <x:c r="D72" s="62" t="str">
        <x:v>营业收入</x:v>
      </x:c>
      <x:c r="E72" s="62" t="n">
        <x:v>6</x:v>
      </x:c>
      <x:c r="F72" s="62" t="n">
        <x:v>6</x:v>
      </x:c>
      <x:c r="G72" s="62" t="str">
        <x:v>DOC2070</x:v>
      </x:c>
      <x:c r="H72" s="62" t="n">
        <x:v>10</x:v>
      </x:c>
      <x:c r="I72" s="74" t="n">
        <x:v>45823</x:v>
      </x:c>
      <x:c r="J72" s="74" t="n">
        <x:v>45823</x:v>
      </x:c>
      <x:c r="K72" s="74" t="n">
        <x:v>45823</x:v>
      </x:c>
      <x:c r="L72" s="74" t="n">
        <x:v>45823</x:v>
      </x:c>
      <x:c r="M72" s="77" t="n">
        <x:v>-43.55</x:v>
      </x:c>
      <x:c r="N72" s="77"/>
      <x:c r="O72" s="78"/>
      <x:c r="P72" s="79" t="n">
        <x:f>M72</x:f>
        <x:v>-43.55</x:v>
      </x:c>
      <x:c r="Q72" s="79" t="n">
        <x:f>IF(D72="营业收入",-P72,P72)</x:f>
        <x:v>43.55</x:v>
      </x:c>
      <x:c r="R72" s="62" t="str">
        <x:v>CNY</x:v>
      </x:c>
      <x:c r="S72" s="62" t="str">
        <x:v>万元</x:v>
      </x:c>
      <x:c r="T72" s="62" t="str">
        <x:v>收益；源负号</x:v>
      </x:c>
      <x:c r="U72" s="62" t="str">
        <x:v>技术部</x:v>
      </x:c>
      <x:c r="V72" s="62" t="str">
        <x:v>经验反馈改进收入确认</x:v>
      </x:c>
      <x:c r="W72" s="62" t="str">
        <x:v>经验反馈改进收入确认</x:v>
      </x:c>
      <x:c r="X72" s="62" t="str">
        <x:v>17</x:v>
      </x:c>
      <x:c r="Y72" s="62" t="str">
        <x:v>17</x:v>
      </x:c>
      <x:c r="Z72" s="62" t="str">
        <x:v>17</x:v>
      </x:c>
      <x:c r="AA72" s="62" t="str">
        <x:v>经验反馈改进</x:v>
      </x:c>
      <x:c r="AB72" s="62" t="str">
        <x:v>PRJ-JS-经验-2025-003</x:v>
      </x:c>
      <x:c r="AC72" s="74" t="n">
        <x:v>46022</x:v>
      </x:c>
      <x:c r="AD72" s="71" t="str">
        <x:v>源记录保留</x:v>
      </x:c>
      <x:c r="AE72" s="71" t="str">
        <x:v>2025年实际执行.xlsx</x:v>
      </x:c>
      <x:c r="AF72" s="71" t="str">
        <x:v>Sheet</x:v>
      </x:c>
      <x:c r="AG72" s="71" t="n">
        <x:v>72</x:v>
      </x:c>
      <x:c r="AH72" s="71" t="str">
        <x:v>2025年实际执行.xlsx/Sheet!72:72</x:v>
      </x:c>
      <x:c r="AI72" s="62" t="str">
        <x:f>IF(F72=MONTH(L72),"OK","FAIL")</x:f>
        <x:v>OK</x:v>
      </x:c>
      <x:c r="AJ72" s="62" t="str">
        <x:f>IF(J72&lt;=L72,"OK","FAIL")</x:f>
        <x:v>OK</x:v>
      </x:c>
      <x:c r="AK72" s="62" t="str">
        <x:f>IF(D72&lt;&gt;"营业收入","OK",IF(AND(P72&lt;0,Q72&gt;0),"OK","FAIL"))</x:f>
        <x:v>OK</x:v>
      </x:c>
      <x:c r="AL72" s="62" t="str">
        <x:f>IF(COUNTIF($A$2:$A$218,A72)=1,"OK","FAIL")</x:f>
        <x:v>OK</x:v>
      </x:c>
    </x:row>
    <x:row r="73" ht="23" customHeight="1">
      <x:c r="A73" s="62" t="str">
        <x:v>DEMO01|2025|DOC2071|10</x:v>
      </x:c>
      <x:c r="B73" s="62" t="str">
        <x:v>SOURCE</x:v>
      </x:c>
      <x:c r="C73" s="62" t="str">
        <x:v>会议费</x:v>
      </x:c>
      <x:c r="D73" s="62" t="str">
        <x:v>会议费</x:v>
      </x:c>
      <x:c r="E73" s="62" t="n">
        <x:v>5</x:v>
      </x:c>
      <x:c r="F73" s="62" t="n">
        <x:v>5</x:v>
      </x:c>
      <x:c r="G73" s="62" t="str">
        <x:v>DOC2071</x:v>
      </x:c>
      <x:c r="H73" s="62" t="n">
        <x:v>10</x:v>
      </x:c>
      <x:c r="I73" s="74" t="n">
        <x:v>45792</x:v>
      </x:c>
      <x:c r="J73" s="74" t="n">
        <x:v>45792</x:v>
      </x:c>
      <x:c r="K73" s="74" t="n">
        <x:v>45792</x:v>
      </x:c>
      <x:c r="L73" s="74" t="n">
        <x:v>45792</x:v>
      </x:c>
      <x:c r="M73" s="77" t="n">
        <x:v>1</x:v>
      </x:c>
      <x:c r="N73" s="77"/>
      <x:c r="O73" s="78"/>
      <x:c r="P73" s="79" t="n">
        <x:f>M73</x:f>
        <x:v>1</x:v>
      </x:c>
      <x:c r="Q73" s="79" t="n">
        <x:f>IF(D73="营业收入",-P73,P73)</x:f>
        <x:v>1</x:v>
      </x:c>
      <x:c r="R73" s="62" t="str">
        <x:v>CNY</x:v>
      </x:c>
      <x:c r="S73" s="62" t="str">
        <x:v>万元</x:v>
      </x:c>
      <x:c r="T73" s="62" t="str">
        <x:v>费用不含税</x:v>
      </x:c>
      <x:c r="U73" s="62" t="str">
        <x:v>技术部</x:v>
      </x:c>
      <x:c r="V73" s="62" t="str">
        <x:v>经验反馈改进项目阶段评审会</x:v>
      </x:c>
      <x:c r="W73" s="62" t="str">
        <x:v>经验反馈改进项目阶段评审会</x:v>
      </x:c>
      <x:c r="X73" s="62" t="str">
        <x:v>国电智深</x:v>
      </x:c>
      <x:c r="Y73" s="62" t="str">
        <x:v>国电智深</x:v>
      </x:c>
      <x:c r="Z73" s="62" t="str">
        <x:v>17</x:v>
      </x:c>
      <x:c r="AA73" s="62" t="str">
        <x:v>经验反馈改进</x:v>
      </x:c>
      <x:c r="AB73" s="62" t="str">
        <x:v>PRJ-JS-经验-2025-003</x:v>
      </x:c>
      <x:c r="AC73" s="74" t="n">
        <x:v>46022</x:v>
      </x:c>
      <x:c r="AD73" s="71" t="str">
        <x:v>源记录保留</x:v>
      </x:c>
      <x:c r="AE73" s="71" t="str">
        <x:v>2025年实际执行.xlsx</x:v>
      </x:c>
      <x:c r="AF73" s="71" t="str">
        <x:v>Sheet</x:v>
      </x:c>
      <x:c r="AG73" s="71" t="n">
        <x:v>73</x:v>
      </x:c>
      <x:c r="AH73" s="71" t="str">
        <x:v>2025年实际执行.xlsx/Sheet!73:73</x:v>
      </x:c>
      <x:c r="AI73" s="62" t="str">
        <x:f>IF(F73=MONTH(L73),"OK","FAIL")</x:f>
        <x:v>OK</x:v>
      </x:c>
      <x:c r="AJ73" s="62" t="str">
        <x:f>IF(J73&lt;=L73,"OK","FAIL")</x:f>
        <x:v>OK</x:v>
      </x:c>
      <x:c r="AK73" s="62" t="str">
        <x:f>IF(D73&lt;&gt;"营业收入","OK",IF(AND(P73&lt;0,Q73&gt;0),"OK","FAIL"))</x:f>
        <x:v>OK</x:v>
      </x:c>
      <x:c r="AL73" s="62" t="str">
        <x:f>IF(COUNTIF($A$2:$A$218,A73)=1,"OK","FAIL")</x:f>
        <x:v>OK</x:v>
      </x:c>
    </x:row>
    <x:row r="74" ht="23" customHeight="1">
      <x:c r="A74" s="62" t="str">
        <x:v>DEMO01|2025|DOC2072|10</x:v>
      </x:c>
      <x:c r="B74" s="62" t="str">
        <x:v>SOURCE</x:v>
      </x:c>
      <x:c r="C74" s="62" t="str">
        <x:v>业务支持费</x:v>
      </x:c>
      <x:c r="D74" s="62" t="str">
        <x:v>业务支持费-技术配置</x:v>
      </x:c>
      <x:c r="E74" s="62" t="n">
        <x:v>11</x:v>
      </x:c>
      <x:c r="F74" s="62" t="n">
        <x:v>11</x:v>
      </x:c>
      <x:c r="G74" s="62" t="str">
        <x:v>DOC2072</x:v>
      </x:c>
      <x:c r="H74" s="62" t="n">
        <x:v>10</x:v>
      </x:c>
      <x:c r="I74" s="74" t="n">
        <x:v>45976</x:v>
      </x:c>
      <x:c r="J74" s="74" t="n">
        <x:v>45976</x:v>
      </x:c>
      <x:c r="K74" s="74" t="n">
        <x:v>45976</x:v>
      </x:c>
      <x:c r="L74" s="74" t="n">
        <x:v>45976</x:v>
      </x:c>
      <x:c r="M74" s="77" t="n">
        <x:v>14</x:v>
      </x:c>
      <x:c r="N74" s="77"/>
      <x:c r="O74" s="78"/>
      <x:c r="P74" s="79" t="n">
        <x:f>M74</x:f>
        <x:v>14</x:v>
      </x:c>
      <x:c r="Q74" s="79" t="n">
        <x:f>IF(D74="营业收入",-P74,P74)</x:f>
        <x:v>14</x:v>
      </x:c>
      <x:c r="R74" s="62" t="str">
        <x:v>CNY</x:v>
      </x:c>
      <x:c r="S74" s="62" t="str">
        <x:v>万元</x:v>
      </x:c>
      <x:c r="T74" s="62" t="str">
        <x:v>费用不含税</x:v>
      </x:c>
      <x:c r="U74" s="62" t="str">
        <x:v>技术部</x:v>
      </x:c>
      <x:c r="V74" s="62" t="str">
        <x:v>经验反馈改进技术配置_实施阶段</x:v>
      </x:c>
      <x:c r="W74" s="62" t="str">
        <x:v>经验反馈改进技术配置_实施阶段</x:v>
      </x:c>
      <x:c r="X74" s="62" t="str">
        <x:v>供应商2</x:v>
      </x:c>
      <x:c r="Y74" s="62" t="str">
        <x:v>供应商2</x:v>
      </x:c>
      <x:c r="Z74" s="62" t="str">
        <x:v>17</x:v>
      </x:c>
      <x:c r="AA74" s="62" t="str">
        <x:v>经验反馈改进</x:v>
      </x:c>
      <x:c r="AB74" s="62" t="str">
        <x:v>PRJ-JS-经验-2025-003</x:v>
      </x:c>
      <x:c r="AC74" s="74" t="n">
        <x:v>46022</x:v>
      </x:c>
      <x:c r="AD74" s="71" t="str">
        <x:v>源记录保留</x:v>
      </x:c>
      <x:c r="AE74" s="71" t="str">
        <x:v>2025年实际执行.xlsx</x:v>
      </x:c>
      <x:c r="AF74" s="71" t="str">
        <x:v>Sheet</x:v>
      </x:c>
      <x:c r="AG74" s="71" t="n">
        <x:v>74</x:v>
      </x:c>
      <x:c r="AH74" s="71" t="str">
        <x:v>2025年实际执行.xlsx/Sheet!74:74</x:v>
      </x:c>
      <x:c r="AI74" s="62" t="str">
        <x:f>IF(F74=MONTH(L74),"OK","FAIL")</x:f>
        <x:v>OK</x:v>
      </x:c>
      <x:c r="AJ74" s="62" t="str">
        <x:f>IF(J74&lt;=L74,"OK","FAIL")</x:f>
        <x:v>OK</x:v>
      </x:c>
      <x:c r="AK74" s="62" t="str">
        <x:f>IF(D74&lt;&gt;"营业收入","OK",IF(AND(P74&lt;0,Q74&gt;0),"OK","FAIL"))</x:f>
        <x:v>OK</x:v>
      </x:c>
      <x:c r="AL74" s="62" t="str">
        <x:f>IF(COUNTIF($A$2:$A$218,A74)=1,"OK","FAIL")</x:f>
        <x:v>OK</x:v>
      </x:c>
    </x:row>
    <x:row r="75" ht="23" customHeight="1">
      <x:c r="A75" s="62" t="str">
        <x:v>DEMO01|2025|DOC2073|10</x:v>
      </x:c>
      <x:c r="B75" s="62" t="str">
        <x:v>SOURCE</x:v>
      </x:c>
      <x:c r="C75" s="62" t="str">
        <x:v>生产物料费</x:v>
      </x:c>
      <x:c r="D75" s="62" t="str">
        <x:v>生产物料费</x:v>
      </x:c>
      <x:c r="E75" s="62" t="n">
        <x:v>9</x:v>
      </x:c>
      <x:c r="F75" s="62" t="n">
        <x:v>9</x:v>
      </x:c>
      <x:c r="G75" s="62" t="str">
        <x:v>DOC2073</x:v>
      </x:c>
      <x:c r="H75" s="62" t="n">
        <x:v>10</x:v>
      </x:c>
      <x:c r="I75" s="74" t="n">
        <x:v>45915</x:v>
      </x:c>
      <x:c r="J75" s="74" t="n">
        <x:v>45915</x:v>
      </x:c>
      <x:c r="K75" s="74" t="n">
        <x:v>45915</x:v>
      </x:c>
      <x:c r="L75" s="74" t="n">
        <x:v>45915</x:v>
      </x:c>
      <x:c r="M75" s="77" t="n">
        <x:v>2.28</x:v>
      </x:c>
      <x:c r="N75" s="77"/>
      <x:c r="O75" s="78"/>
      <x:c r="P75" s="79" t="n">
        <x:f>M75</x:f>
        <x:v>2.28</x:v>
      </x:c>
      <x:c r="Q75" s="79" t="n">
        <x:f>IF(D75="营业收入",-P75,P75)</x:f>
        <x:v>2.28</x:v>
      </x:c>
      <x:c r="R75" s="62" t="str">
        <x:v>CNY</x:v>
      </x:c>
      <x:c r="S75" s="62" t="str">
        <x:v>万元</x:v>
      </x:c>
      <x:c r="T75" s="62" t="str">
        <x:v>费用不含税</x:v>
      </x:c>
      <x:c r="U75" s="62" t="str">
        <x:v>技术部</x:v>
      </x:c>
      <x:c r="V75" s="62" t="str">
        <x:v>经验反馈改进现场物料采购</x:v>
      </x:c>
      <x:c r="W75" s="62" t="str">
        <x:v>经验反馈改进现场物料采购</x:v>
      </x:c>
      <x:c r="X75" s="62" t="str">
        <x:v>国电智深</x:v>
      </x:c>
      <x:c r="Y75" s="62" t="str">
        <x:v>国电智深</x:v>
      </x:c>
      <x:c r="Z75" s="62" t="str">
        <x:v>17</x:v>
      </x:c>
      <x:c r="AA75" s="62" t="str">
        <x:v>经验反馈改进</x:v>
      </x:c>
      <x:c r="AB75" s="62" t="str">
        <x:v>PRJ-JS-经验-2025-003</x:v>
      </x:c>
      <x:c r="AC75" s="74" t="n">
        <x:v>46022</x:v>
      </x:c>
      <x:c r="AD75" s="71" t="str">
        <x:v>源记录保留</x:v>
      </x:c>
      <x:c r="AE75" s="71" t="str">
        <x:v>2025年实际执行.xlsx</x:v>
      </x:c>
      <x:c r="AF75" s="71" t="str">
        <x:v>Sheet</x:v>
      </x:c>
      <x:c r="AG75" s="71" t="n">
        <x:v>75</x:v>
      </x:c>
      <x:c r="AH75" s="71" t="str">
        <x:v>2025年实际执行.xlsx/Sheet!75:75</x:v>
      </x:c>
      <x:c r="AI75" s="62" t="str">
        <x:f>IF(F75=MONTH(L75),"OK","FAIL")</x:f>
        <x:v>OK</x:v>
      </x:c>
      <x:c r="AJ75" s="62" t="str">
        <x:f>IF(J75&lt;=L75,"OK","FAIL")</x:f>
        <x:v>OK</x:v>
      </x:c>
      <x:c r="AK75" s="62" t="str">
        <x:f>IF(D75&lt;&gt;"营业收入","OK",IF(AND(P75&lt;0,Q75&gt;0),"OK","FAIL"))</x:f>
        <x:v>OK</x:v>
      </x:c>
      <x:c r="AL75" s="62" t="str">
        <x:f>IF(COUNTIF($A$2:$A$218,A75)=1,"OK","FAIL")</x:f>
        <x:v>OK</x:v>
      </x:c>
    </x:row>
    <x:row r="76" ht="23" customHeight="1">
      <x:c r="A76" s="62" t="str">
        <x:v>DEMO01|2025|DOC2074|10</x:v>
      </x:c>
      <x:c r="B76" s="62" t="str">
        <x:v>SOURCE</x:v>
      </x:c>
      <x:c r="C76" s="62" t="str">
        <x:v>办公费</x:v>
      </x:c>
      <x:c r="D76" s="62" t="str">
        <x:v>办公费</x:v>
      </x:c>
      <x:c r="E76" s="62" t="n">
        <x:v>10</x:v>
      </x:c>
      <x:c r="F76" s="62" t="n">
        <x:v>10</x:v>
      </x:c>
      <x:c r="G76" s="62" t="str">
        <x:v>DOC2074</x:v>
      </x:c>
      <x:c r="H76" s="62" t="n">
        <x:v>10</x:v>
      </x:c>
      <x:c r="I76" s="74" t="n">
        <x:v>45945</x:v>
      </x:c>
      <x:c r="J76" s="74" t="n">
        <x:v>45945</x:v>
      </x:c>
      <x:c r="K76" s="74" t="n">
        <x:v>45945</x:v>
      </x:c>
      <x:c r="L76" s="74" t="n">
        <x:v>45945</x:v>
      </x:c>
      <x:c r="M76" s="77" t="n">
        <x:v>0.456</x:v>
      </x:c>
      <x:c r="N76" s="77"/>
      <x:c r="O76" s="78"/>
      <x:c r="P76" s="79" t="n">
        <x:f>M76</x:f>
        <x:v>0.456</x:v>
      </x:c>
      <x:c r="Q76" s="79" t="n">
        <x:f>IF(D76="营业收入",-P76,P76)</x:f>
        <x:v>0.456</x:v>
      </x:c>
      <x:c r="R76" s="62" t="str">
        <x:v>CNY</x:v>
      </x:c>
      <x:c r="S76" s="62" t="str">
        <x:v>万元</x:v>
      </x:c>
      <x:c r="T76" s="62" t="str">
        <x:v>费用不含税</x:v>
      </x:c>
      <x:c r="U76" s="62" t="str">
        <x:v>技术部</x:v>
      </x:c>
      <x:c r="V76" s="62" t="str">
        <x:v>经验反馈改进日常办公</x:v>
      </x:c>
      <x:c r="W76" s="62" t="str">
        <x:v>经验反馈改进日常办公</x:v>
      </x:c>
      <x:c r="X76" s="62" t="str">
        <x:v>国电智深</x:v>
      </x:c>
      <x:c r="Y76" s="62" t="str">
        <x:v>国电智深</x:v>
      </x:c>
      <x:c r="Z76" s="62" t="str">
        <x:v>17</x:v>
      </x:c>
      <x:c r="AA76" s="62" t="str">
        <x:v>经验反馈改进</x:v>
      </x:c>
      <x:c r="AB76" s="62" t="str">
        <x:v>PRJ-JS-经验-2025-003</x:v>
      </x:c>
      <x:c r="AC76" s="74" t="n">
        <x:v>46022</x:v>
      </x:c>
      <x:c r="AD76" s="71" t="str">
        <x:v>源记录保留</x:v>
      </x:c>
      <x:c r="AE76" s="71" t="str">
        <x:v>2025年实际执行.xlsx</x:v>
      </x:c>
      <x:c r="AF76" s="71" t="str">
        <x:v>Sheet</x:v>
      </x:c>
      <x:c r="AG76" s="71" t="n">
        <x:v>76</x:v>
      </x:c>
      <x:c r="AH76" s="71" t="str">
        <x:v>2025年实际执行.xlsx/Sheet!76:76</x:v>
      </x:c>
      <x:c r="AI76" s="62" t="str">
        <x:f>IF(F76=MONTH(L76),"OK","FAIL")</x:f>
        <x:v>OK</x:v>
      </x:c>
      <x:c r="AJ76" s="62" t="str">
        <x:f>IF(J76&lt;=L76,"OK","FAIL")</x:f>
        <x:v>OK</x:v>
      </x:c>
      <x:c r="AK76" s="62" t="str">
        <x:f>IF(D76&lt;&gt;"营业收入","OK",IF(AND(P76&lt;0,Q76&gt;0),"OK","FAIL"))</x:f>
        <x:v>OK</x:v>
      </x:c>
      <x:c r="AL76" s="62" t="str">
        <x:f>IF(COUNTIF($A$2:$A$218,A76)=1,"OK","FAIL")</x:f>
        <x:v>OK</x:v>
      </x:c>
    </x:row>
    <x:row r="77" ht="23" customHeight="1">
      <x:c r="A77" s="62" t="str">
        <x:v>DEMO01|2025|DOC2075|10</x:v>
      </x:c>
      <x:c r="B77" s="62" t="str">
        <x:v>CORRECTED</x:v>
      </x:c>
      <x:c r="C77" s="62" t="str">
        <x:v>交通运输费</x:v>
      </x:c>
      <x:c r="D77" s="62" t="str">
        <x:v>交通运输费</x:v>
      </x:c>
      <x:c r="E77" s="62" t="n">
        <x:v>4</x:v>
      </x:c>
      <x:c r="F77" s="62" t="n">
        <x:v>4</x:v>
      </x:c>
      <x:c r="G77" s="62" t="str">
        <x:v>DOC2075</x:v>
      </x:c>
      <x:c r="H77" s="62" t="n">
        <x:v>10</x:v>
      </x:c>
      <x:c r="I77" s="74" t="n">
        <x:v>45762</x:v>
      </x:c>
      <x:c r="J77" s="74" t="n">
        <x:v>45762</x:v>
      </x:c>
      <x:c r="K77" s="74" t="n">
        <x:v>45762</x:v>
      </x:c>
      <x:c r="L77" s="74" t="n">
        <x:v>45762</x:v>
      </x:c>
      <x:c r="M77" s="77" t="n">
        <x:v>0.76</x:v>
      </x:c>
      <x:c r="N77" s="77"/>
      <x:c r="O77" s="78"/>
      <x:c r="P77" s="79" t="n">
        <x:f>M77</x:f>
        <x:v>0.76</x:v>
      </x:c>
      <x:c r="Q77" s="79" t="n">
        <x:f>IF(D77="营业收入",-P77,P77)</x:f>
        <x:v>0.76</x:v>
      </x:c>
      <x:c r="R77" s="62" t="str">
        <x:v>CNY</x:v>
      </x:c>
      <x:c r="S77" s="62" t="str">
        <x:v>万元</x:v>
      </x:c>
      <x:c r="T77" s="62" t="str">
        <x:v>费用不含税</x:v>
      </x:c>
      <x:c r="U77" s="62" t="str">
        <x:v>技术部</x:v>
      </x:c>
      <x:c r="V77" s="62" t="str">
        <x:v>经验反馈改进材料运输</x:v>
      </x:c>
      <x:c r="W77" s="62" t="str">
        <x:v>经验反馈改进材料运输</x:v>
      </x:c>
      <x:c r="X77" s="62" t="str">
        <x:v>国电智深</x:v>
      </x:c>
      <x:c r="Y77" s="62" t="str">
        <x:v>国电智深</x:v>
      </x:c>
      <x:c r="Z77" s="62" t="str">
        <x:v>17</x:v>
      </x:c>
      <x:c r="AA77" s="62" t="str">
        <x:v>经验反馈改进</x:v>
      </x:c>
      <x:c r="AB77" s="62" t="str">
        <x:v>PRJ-JS-经验-2025-003</x:v>
      </x:c>
      <x:c r="AC77" s="74" t="n">
        <x:v>46022</x:v>
      </x:c>
      <x:c r="AD77" s="71" t="str">
        <x:v>补凭证行号</x:v>
      </x:c>
      <x:c r="AE77" s="71" t="str">
        <x:v>2025年实际执行.xlsx</x:v>
      </x:c>
      <x:c r="AF77" s="71" t="str">
        <x:v>Sheet</x:v>
      </x:c>
      <x:c r="AG77" s="71" t="n">
        <x:v>77</x:v>
      </x:c>
      <x:c r="AH77" s="71" t="str">
        <x:v>2025年实际执行.xlsx/Sheet!77:77</x:v>
      </x:c>
      <x:c r="AI77" s="62" t="str">
        <x:f>IF(F77=MONTH(L77),"OK","FAIL")</x:f>
        <x:v>OK</x:v>
      </x:c>
      <x:c r="AJ77" s="62" t="str">
        <x:f>IF(J77&lt;=L77,"OK","FAIL")</x:f>
        <x:v>OK</x:v>
      </x:c>
      <x:c r="AK77" s="62" t="str">
        <x:f>IF(D77&lt;&gt;"营业收入","OK",IF(AND(P77&lt;0,Q77&gt;0),"OK","FAIL"))</x:f>
        <x:v>OK</x:v>
      </x:c>
      <x:c r="AL77" s="62" t="str">
        <x:f>IF(COUNTIF($A$2:$A$218,A77)=1,"OK","FAIL")</x:f>
        <x:v>OK</x:v>
      </x:c>
    </x:row>
    <x:row r="78" ht="23" customHeight="1">
      <x:c r="A78" s="62" t="str">
        <x:v>DEMO01|2025|DOC2076|10</x:v>
      </x:c>
      <x:c r="B78" s="62" t="str">
        <x:v>SOURCE</x:v>
      </x:c>
      <x:c r="C78" s="62" t="str">
        <x:v>人工成本</x:v>
      </x:c>
      <x:c r="D78" s="62" t="str">
        <x:v>人工成本</x:v>
      </x:c>
      <x:c r="E78" s="62" t="n">
        <x:v>6</x:v>
      </x:c>
      <x:c r="F78" s="62" t="n">
        <x:v>6</x:v>
      </x:c>
      <x:c r="G78" s="62" t="str">
        <x:v>DOC2076</x:v>
      </x:c>
      <x:c r="H78" s="62" t="n">
        <x:v>10</x:v>
      </x:c>
      <x:c r="I78" s="74" t="n">
        <x:v>45838</x:v>
      </x:c>
      <x:c r="J78" s="74" t="n">
        <x:v>45838</x:v>
      </x:c>
      <x:c r="K78" s="74" t="n">
        <x:v>45838</x:v>
      </x:c>
      <x:c r="L78" s="74" t="n">
        <x:v>45838</x:v>
      </x:c>
      <x:c r="M78" s="77" t="n">
        <x:v>5</x:v>
      </x:c>
      <x:c r="N78" s="77"/>
      <x:c r="O78" s="78"/>
      <x:c r="P78" s="79" t="n">
        <x:f>M78</x:f>
        <x:v>5</x:v>
      </x:c>
      <x:c r="Q78" s="79" t="n">
        <x:f>IF(D78="营业收入",-P78,P78)</x:f>
        <x:v>5</x:v>
      </x:c>
      <x:c r="R78" s="62" t="str">
        <x:v>CNY</x:v>
      </x:c>
      <x:c r="S78" s="62" t="str">
        <x:v>万元</x:v>
      </x:c>
      <x:c r="T78" s="62" t="str">
        <x:v>费用不含税</x:v>
      </x:c>
      <x:c r="U78" s="62" t="str">
        <x:v>技术部</x:v>
      </x:c>
      <x:c r="V78" s="62" t="str">
        <x:v>经验反馈改进人工成本分摊</x:v>
      </x:c>
      <x:c r="W78" s="62" t="str">
        <x:v>经验反馈改进人工成本分摊</x:v>
      </x:c>
      <x:c r="X78" s="62" t="str">
        <x:v>17</x:v>
      </x:c>
      <x:c r="Y78" s="62" t="str">
        <x:v>17</x:v>
      </x:c>
      <x:c r="Z78" s="62" t="str">
        <x:v>17</x:v>
      </x:c>
      <x:c r="AA78" s="62" t="str">
        <x:v>经验反馈改进</x:v>
      </x:c>
      <x:c r="AB78" s="62" t="str">
        <x:v>PRJ-JS-经验-2025-003</x:v>
      </x:c>
      <x:c r="AC78" s="74" t="n">
        <x:v>46022</x:v>
      </x:c>
      <x:c r="AD78" s="71" t="str">
        <x:v>源记录保留</x:v>
      </x:c>
      <x:c r="AE78" s="71" t="str">
        <x:v>2025年实际执行.xlsx</x:v>
      </x:c>
      <x:c r="AF78" s="71" t="str">
        <x:v>Sheet</x:v>
      </x:c>
      <x:c r="AG78" s="71" t="n">
        <x:v>78</x:v>
      </x:c>
      <x:c r="AH78" s="71" t="str">
        <x:v>2025年实际执行.xlsx/Sheet!78:78</x:v>
      </x:c>
      <x:c r="AI78" s="62" t="str">
        <x:f>IF(F78=MONTH(L78),"OK","FAIL")</x:f>
        <x:v>OK</x:v>
      </x:c>
      <x:c r="AJ78" s="62" t="str">
        <x:f>IF(J78&lt;=L78,"OK","FAIL")</x:f>
        <x:v>OK</x:v>
      </x:c>
      <x:c r="AK78" s="62" t="str">
        <x:f>IF(D78&lt;&gt;"营业收入","OK",IF(AND(P78&lt;0,Q78&gt;0),"OK","FAIL"))</x:f>
        <x:v>OK</x:v>
      </x:c>
      <x:c r="AL78" s="62" t="str">
        <x:f>IF(COUNTIF($A$2:$A$218,A78)=1,"OK","FAIL")</x:f>
        <x:v>OK</x:v>
      </x:c>
    </x:row>
    <x:row r="79" ht="23" customHeight="1">
      <x:c r="A79" s="62" t="str">
        <x:v>DEMO01|2025|DOC2077|10</x:v>
      </x:c>
      <x:c r="B79" s="62" t="str">
        <x:v>SOURCE</x:v>
      </x:c>
      <x:c r="C79" s="62" t="str">
        <x:v>折旧摊销</x:v>
      </x:c>
      <x:c r="D79" s="62" t="str">
        <x:v>折旧摊销</x:v>
      </x:c>
      <x:c r="E79" s="62" t="n">
        <x:v>12</x:v>
      </x:c>
      <x:c r="F79" s="62" t="n">
        <x:v>12</x:v>
      </x:c>
      <x:c r="G79" s="62" t="str">
        <x:v>DOC2077</x:v>
      </x:c>
      <x:c r="H79" s="62" t="n">
        <x:v>10</x:v>
      </x:c>
      <x:c r="I79" s="74" t="n">
        <x:v>46022</x:v>
      </x:c>
      <x:c r="J79" s="74" t="n">
        <x:v>46022</x:v>
      </x:c>
      <x:c r="K79" s="74" t="n">
        <x:v>46022</x:v>
      </x:c>
      <x:c r="L79" s="74" t="n">
        <x:v>46022</x:v>
      </x:c>
      <x:c r="M79" s="77" t="n">
        <x:v>2</x:v>
      </x:c>
      <x:c r="N79" s="77"/>
      <x:c r="O79" s="78"/>
      <x:c r="P79" s="79" t="n">
        <x:f>M79</x:f>
        <x:v>2</x:v>
      </x:c>
      <x:c r="Q79" s="79" t="n">
        <x:f>IF(D79="营业收入",-P79,P79)</x:f>
        <x:v>2</x:v>
      </x:c>
      <x:c r="R79" s="62" t="str">
        <x:v>CNY</x:v>
      </x:c>
      <x:c r="S79" s="62" t="str">
        <x:v>万元</x:v>
      </x:c>
      <x:c r="T79" s="62" t="str">
        <x:v>费用不含税</x:v>
      </x:c>
      <x:c r="U79" s="62" t="str">
        <x:v>技术部</x:v>
      </x:c>
      <x:c r="V79" s="62" t="str">
        <x:v>经验反馈改进折旧摊销分摊</x:v>
      </x:c>
      <x:c r="W79" s="62" t="str">
        <x:v>经验反馈改进折旧摊销分摊</x:v>
      </x:c>
      <x:c r="X79" s="62" t="str">
        <x:v>17</x:v>
      </x:c>
      <x:c r="Y79" s="62" t="str">
        <x:v>17</x:v>
      </x:c>
      <x:c r="Z79" s="62" t="str">
        <x:v>17</x:v>
      </x:c>
      <x:c r="AA79" s="62" t="str">
        <x:v>经验反馈改进</x:v>
      </x:c>
      <x:c r="AB79" s="62" t="str">
        <x:v>PRJ-JS-经验-2025-003</x:v>
      </x:c>
      <x:c r="AC79" s="74" t="n">
        <x:v>46022</x:v>
      </x:c>
      <x:c r="AD79" s="71" t="str">
        <x:v>源记录保留</x:v>
      </x:c>
      <x:c r="AE79" s="71" t="str">
        <x:v>2025年实际执行.xlsx</x:v>
      </x:c>
      <x:c r="AF79" s="71" t="str">
        <x:v>Sheet</x:v>
      </x:c>
      <x:c r="AG79" s="71" t="n">
        <x:v>79</x:v>
      </x:c>
      <x:c r="AH79" s="71" t="str">
        <x:v>2025年实际执行.xlsx/Sheet!79:79</x:v>
      </x:c>
      <x:c r="AI79" s="62" t="str">
        <x:f>IF(F79=MONTH(L79),"OK","FAIL")</x:f>
        <x:v>OK</x:v>
      </x:c>
      <x:c r="AJ79" s="62" t="str">
        <x:f>IF(J79&lt;=L79,"OK","FAIL")</x:f>
        <x:v>OK</x:v>
      </x:c>
      <x:c r="AK79" s="62" t="str">
        <x:f>IF(D79&lt;&gt;"营业收入","OK",IF(AND(P79&lt;0,Q79&gt;0),"OK","FAIL"))</x:f>
        <x:v>OK</x:v>
      </x:c>
      <x:c r="AL79" s="62" t="str">
        <x:f>IF(COUNTIF($A$2:$A$218,A79)=1,"OK","FAIL")</x:f>
        <x:v>OK</x:v>
      </x:c>
    </x:row>
    <x:row r="80" ht="23" customHeight="1">
      <x:c r="A80" s="62" t="str">
        <x:v>DEMO01|2025|DOC2078|10</x:v>
      </x:c>
      <x:c r="B80" s="62" t="str">
        <x:v>SOURCE</x:v>
      </x:c>
      <x:c r="C80" s="62" t="str">
        <x:v>营业收入</x:v>
      </x:c>
      <x:c r="D80" s="62" t="str">
        <x:v>营业收入</x:v>
      </x:c>
      <x:c r="E80" s="62" t="n">
        <x:v>6</x:v>
      </x:c>
      <x:c r="F80" s="62" t="n">
        <x:v>6</x:v>
      </x:c>
      <x:c r="G80" s="62" t="str">
        <x:v>DOC2078</x:v>
      </x:c>
      <x:c r="H80" s="62" t="n">
        <x:v>10</x:v>
      </x:c>
      <x:c r="I80" s="74" t="n">
        <x:v>45823</x:v>
      </x:c>
      <x:c r="J80" s="74" t="n">
        <x:v>45823</x:v>
      </x:c>
      <x:c r="K80" s="74" t="n">
        <x:v>45823</x:v>
      </x:c>
      <x:c r="L80" s="74" t="n">
        <x:v>45823</x:v>
      </x:c>
      <x:c r="M80" s="77" t="n">
        <x:v>-41.455557</x:v>
      </x:c>
      <x:c r="N80" s="77"/>
      <x:c r="O80" s="78"/>
      <x:c r="P80" s="79" t="n">
        <x:f>M80</x:f>
        <x:v>-41.455557</x:v>
      </x:c>
      <x:c r="Q80" s="79" t="n">
        <x:f>IF(D80="营业收入",-P80,P80)</x:f>
        <x:v>41.455557</x:v>
      </x:c>
      <x:c r="R80" s="62" t="str">
        <x:v>CNY</x:v>
      </x:c>
      <x:c r="S80" s="62" t="str">
        <x:v>万元</x:v>
      </x:c>
      <x:c r="T80" s="62" t="str">
        <x:v>收益；源负号</x:v>
      </x:c>
      <x:c r="U80" s="62" t="str">
        <x:v>技术部</x:v>
      </x:c>
      <x:c r="V80" s="62" t="str">
        <x:v>新技术应用收入确认</x:v>
      </x:c>
      <x:c r="W80" s="62" t="str">
        <x:v>新技术应用收入确认</x:v>
      </x:c>
      <x:c r="X80" s="62" t="str">
        <x:v>17</x:v>
      </x:c>
      <x:c r="Y80" s="62" t="str">
        <x:v>17</x:v>
      </x:c>
      <x:c r="Z80" s="62" t="str">
        <x:v>17</x:v>
      </x:c>
      <x:c r="AA80" s="62" t="str">
        <x:v>新技术应用</x:v>
      </x:c>
      <x:c r="AB80" s="62" t="str">
        <x:v>PRJ-JS-新技-2024-001</x:v>
      </x:c>
      <x:c r="AC80" s="74" t="n">
        <x:v>46022</x:v>
      </x:c>
      <x:c r="AD80" s="71" t="str">
        <x:v>源记录保留</x:v>
      </x:c>
      <x:c r="AE80" s="71" t="str">
        <x:v>2025年实际执行.xlsx</x:v>
      </x:c>
      <x:c r="AF80" s="71" t="str">
        <x:v>Sheet</x:v>
      </x:c>
      <x:c r="AG80" s="71" t="n">
        <x:v>80</x:v>
      </x:c>
      <x:c r="AH80" s="71" t="str">
        <x:v>2025年实际执行.xlsx/Sheet!80:80</x:v>
      </x:c>
      <x:c r="AI80" s="62" t="str">
        <x:f>IF(F80=MONTH(L80),"OK","FAIL")</x:f>
        <x:v>OK</x:v>
      </x:c>
      <x:c r="AJ80" s="62" t="str">
        <x:f>IF(J80&lt;=L80,"OK","FAIL")</x:f>
        <x:v>OK</x:v>
      </x:c>
      <x:c r="AK80" s="62" t="str">
        <x:f>IF(D80&lt;&gt;"营业收入","OK",IF(AND(P80&lt;0,Q80&gt;0),"OK","FAIL"))</x:f>
        <x:v>OK</x:v>
      </x:c>
      <x:c r="AL80" s="62" t="str">
        <x:f>IF(COUNTIF($A$2:$A$218,A80)=1,"OK","FAIL")</x:f>
        <x:v>OK</x:v>
      </x:c>
    </x:row>
    <x:row r="81" ht="23" customHeight="1">
      <x:c r="A81" s="62" t="str">
        <x:v>DEMO01|2025|DOC2079|10</x:v>
      </x:c>
      <x:c r="B81" s="62" t="str">
        <x:v>SOURCE</x:v>
      </x:c>
      <x:c r="C81" s="62" t="str">
        <x:v>会议费</x:v>
      </x:c>
      <x:c r="D81" s="62" t="str">
        <x:v>会议费</x:v>
      </x:c>
      <x:c r="E81" s="62" t="n">
        <x:v>6</x:v>
      </x:c>
      <x:c r="F81" s="62" t="n">
        <x:v>6</x:v>
      </x:c>
      <x:c r="G81" s="62" t="str">
        <x:v>DOC2079</x:v>
      </x:c>
      <x:c r="H81" s="62" t="n">
        <x:v>10</x:v>
      </x:c>
      <x:c r="I81" s="74" t="n">
        <x:v>45823</x:v>
      </x:c>
      <x:c r="J81" s="74" t="n">
        <x:v>45823</x:v>
      </x:c>
      <x:c r="K81" s="74" t="n">
        <x:v>45823</x:v>
      </x:c>
      <x:c r="L81" s="74" t="n">
        <x:v>45823</x:v>
      </x:c>
      <x:c r="M81" s="77" t="n">
        <x:v>2</x:v>
      </x:c>
      <x:c r="N81" s="77"/>
      <x:c r="O81" s="78"/>
      <x:c r="P81" s="79" t="n">
        <x:f>M81</x:f>
        <x:v>2</x:v>
      </x:c>
      <x:c r="Q81" s="79" t="n">
        <x:f>IF(D81="营业收入",-P81,P81)</x:f>
        <x:v>2</x:v>
      </x:c>
      <x:c r="R81" s="62" t="str">
        <x:v>CNY</x:v>
      </x:c>
      <x:c r="S81" s="62" t="str">
        <x:v>万元</x:v>
      </x:c>
      <x:c r="T81" s="62" t="str">
        <x:v>费用不含税</x:v>
      </x:c>
      <x:c r="U81" s="62" t="str">
        <x:v>技术部</x:v>
      </x:c>
      <x:c r="V81" s="62" t="str">
        <x:v>新技术应用项目阶段评审会</x:v>
      </x:c>
      <x:c r="W81" s="62" t="str">
        <x:v>新技术应用项目阶段评审会</x:v>
      </x:c>
      <x:c r="X81" s="62" t="str">
        <x:v>苏州热工</x:v>
      </x:c>
      <x:c r="Y81" s="62" t="str">
        <x:v>苏州热工</x:v>
      </x:c>
      <x:c r="Z81" s="62" t="str">
        <x:v>17</x:v>
      </x:c>
      <x:c r="AA81" s="62" t="str">
        <x:v>新技术应用</x:v>
      </x:c>
      <x:c r="AB81" s="62" t="str">
        <x:v>PRJ-JS-新技-2024-001</x:v>
      </x:c>
      <x:c r="AC81" s="74" t="n">
        <x:v>46022</x:v>
      </x:c>
      <x:c r="AD81" s="71" t="str">
        <x:v>源记录保留</x:v>
      </x:c>
      <x:c r="AE81" s="71" t="str">
        <x:v>2025年实际执行.xlsx</x:v>
      </x:c>
      <x:c r="AF81" s="71" t="str">
        <x:v>Sheet</x:v>
      </x:c>
      <x:c r="AG81" s="71" t="n">
        <x:v>81</x:v>
      </x:c>
      <x:c r="AH81" s="71" t="str">
        <x:v>2025年实际执行.xlsx/Sheet!81:81</x:v>
      </x:c>
      <x:c r="AI81" s="62" t="str">
        <x:f>IF(F81=MONTH(L81),"OK","FAIL")</x:f>
        <x:v>OK</x:v>
      </x:c>
      <x:c r="AJ81" s="62" t="str">
        <x:f>IF(J81&lt;=L81,"OK","FAIL")</x:f>
        <x:v>OK</x:v>
      </x:c>
      <x:c r="AK81" s="62" t="str">
        <x:f>IF(D81&lt;&gt;"营业收入","OK",IF(AND(P81&lt;0,Q81&gt;0),"OK","FAIL"))</x:f>
        <x:v>OK</x:v>
      </x:c>
      <x:c r="AL81" s="62" t="str">
        <x:f>IF(COUNTIF($A$2:$A$218,A81)=1,"OK","FAIL")</x:f>
        <x:v>OK</x:v>
      </x:c>
    </x:row>
    <x:row r="82" ht="23" customHeight="1">
      <x:c r="A82" s="62" t="str">
        <x:v>DEMO01|2025|DOC2080|10</x:v>
      </x:c>
      <x:c r="B82" s="62" t="str">
        <x:v>SOURCE</x:v>
      </x:c>
      <x:c r="C82" s="62" t="str">
        <x:v>业务支持费</x:v>
      </x:c>
      <x:c r="D82" s="62" t="str">
        <x:v>业务支持费-技术配置</x:v>
      </x:c>
      <x:c r="E82" s="62" t="n">
        <x:v>3</x:v>
      </x:c>
      <x:c r="F82" s="62" t="n">
        <x:v>3</x:v>
      </x:c>
      <x:c r="G82" s="62" t="str">
        <x:v>DOC2080</x:v>
      </x:c>
      <x:c r="H82" s="62" t="n">
        <x:v>10</x:v>
      </x:c>
      <x:c r="I82" s="74" t="n">
        <x:v>45731</x:v>
      </x:c>
      <x:c r="J82" s="74" t="n">
        <x:v>45731</x:v>
      </x:c>
      <x:c r="K82" s="74" t="n">
        <x:v>45731</x:v>
      </x:c>
      <x:c r="L82" s="74" t="n">
        <x:v>45731</x:v>
      </x:c>
      <x:c r="M82" s="77" t="n">
        <x:v>15</x:v>
      </x:c>
      <x:c r="N82" s="77"/>
      <x:c r="O82" s="78"/>
      <x:c r="P82" s="79" t="n">
        <x:f>M82</x:f>
        <x:v>15</x:v>
      </x:c>
      <x:c r="Q82" s="79" t="n">
        <x:f>IF(D82="营业收入",-P82,P82)</x:f>
        <x:v>15</x:v>
      </x:c>
      <x:c r="R82" s="62" t="str">
        <x:v>CNY</x:v>
      </x:c>
      <x:c r="S82" s="62" t="str">
        <x:v>万元</x:v>
      </x:c>
      <x:c r="T82" s="62" t="str">
        <x:v>费用不含税</x:v>
      </x:c>
      <x:c r="U82" s="62" t="str">
        <x:v>技术部</x:v>
      </x:c>
      <x:c r="V82" s="62" t="str">
        <x:v>新技术应用技术配置_实施阶段</x:v>
      </x:c>
      <x:c r="W82" s="62" t="str">
        <x:v>新技术应用技术配置_实施阶段</x:v>
      </x:c>
      <x:c r="X82" s="62" t="str">
        <x:v>供应商3</x:v>
      </x:c>
      <x:c r="Y82" s="62" t="str">
        <x:v>供应商3</x:v>
      </x:c>
      <x:c r="Z82" s="62" t="str">
        <x:v>17</x:v>
      </x:c>
      <x:c r="AA82" s="62" t="str">
        <x:v>新技术应用</x:v>
      </x:c>
      <x:c r="AB82" s="62" t="str">
        <x:v>PRJ-JS-新技-2024-001</x:v>
      </x:c>
      <x:c r="AC82" s="74" t="n">
        <x:v>46022</x:v>
      </x:c>
      <x:c r="AD82" s="71" t="str">
        <x:v>源记录保留</x:v>
      </x:c>
      <x:c r="AE82" s="71" t="str">
        <x:v>2025年实际执行.xlsx</x:v>
      </x:c>
      <x:c r="AF82" s="71" t="str">
        <x:v>Sheet</x:v>
      </x:c>
      <x:c r="AG82" s="71" t="n">
        <x:v>82</x:v>
      </x:c>
      <x:c r="AH82" s="71" t="str">
        <x:v>2025年实际执行.xlsx/Sheet!82:82</x:v>
      </x:c>
      <x:c r="AI82" s="62" t="str">
        <x:f>IF(F82=MONTH(L82),"OK","FAIL")</x:f>
        <x:v>OK</x:v>
      </x:c>
      <x:c r="AJ82" s="62" t="str">
        <x:f>IF(J82&lt;=L82,"OK","FAIL")</x:f>
        <x:v>OK</x:v>
      </x:c>
      <x:c r="AK82" s="62" t="str">
        <x:f>IF(D82&lt;&gt;"营业收入","OK",IF(AND(P82&lt;0,Q82&gt;0),"OK","FAIL"))</x:f>
        <x:v>OK</x:v>
      </x:c>
      <x:c r="AL82" s="62" t="str">
        <x:f>IF(COUNTIF($A$2:$A$218,A82)=1,"OK","FAIL")</x:f>
        <x:v>OK</x:v>
      </x:c>
    </x:row>
    <x:row r="83" ht="23" customHeight="1">
      <x:c r="A83" s="62" t="str">
        <x:v>DEMO01|2025|DOC2081|10</x:v>
      </x:c>
      <x:c r="B83" s="62" t="str">
        <x:v>SOURCE</x:v>
      </x:c>
      <x:c r="C83" s="62" t="str">
        <x:v>生产物料费</x:v>
      </x:c>
      <x:c r="D83" s="62" t="str">
        <x:v>生产物料费</x:v>
      </x:c>
      <x:c r="E83" s="62" t="n">
        <x:v>9</x:v>
      </x:c>
      <x:c r="F83" s="62" t="n">
        <x:v>9</x:v>
      </x:c>
      <x:c r="G83" s="62" t="str">
        <x:v>DOC2081</x:v>
      </x:c>
      <x:c r="H83" s="62" t="n">
        <x:v>10</x:v>
      </x:c>
      <x:c r="I83" s="74" t="n">
        <x:v>45915</x:v>
      </x:c>
      <x:c r="J83" s="74" t="n">
        <x:v>45915</x:v>
      </x:c>
      <x:c r="K83" s="74" t="n">
        <x:v>45915</x:v>
      </x:c>
      <x:c r="L83" s="74" t="n">
        <x:v>45915</x:v>
      </x:c>
      <x:c r="M83" s="77" t="n">
        <x:v>2.1705</x:v>
      </x:c>
      <x:c r="N83" s="77"/>
      <x:c r="O83" s="78"/>
      <x:c r="P83" s="79" t="n">
        <x:f>M83</x:f>
        <x:v>2.1705</x:v>
      </x:c>
      <x:c r="Q83" s="79" t="n">
        <x:f>IF(D83="营业收入",-P83,P83)</x:f>
        <x:v>2.1705</x:v>
      </x:c>
      <x:c r="R83" s="62" t="str">
        <x:v>CNY</x:v>
      </x:c>
      <x:c r="S83" s="62" t="str">
        <x:v>万元</x:v>
      </x:c>
      <x:c r="T83" s="62" t="str">
        <x:v>费用不含税</x:v>
      </x:c>
      <x:c r="U83" s="62" t="str">
        <x:v>技术部</x:v>
      </x:c>
      <x:c r="V83" s="62" t="str">
        <x:v>新技术应用现场物料采购</x:v>
      </x:c>
      <x:c r="W83" s="62" t="str">
        <x:v>新技术应用现场物料采购</x:v>
      </x:c>
      <x:c r="X83" s="62" t="str">
        <x:v>苏州热工</x:v>
      </x:c>
      <x:c r="Y83" s="62" t="str">
        <x:v>苏州热工</x:v>
      </x:c>
      <x:c r="Z83" s="62" t="str">
        <x:v>17</x:v>
      </x:c>
      <x:c r="AA83" s="62" t="str">
        <x:v>新技术应用</x:v>
      </x:c>
      <x:c r="AB83" s="62" t="str">
        <x:v>PRJ-JS-新技-2024-001</x:v>
      </x:c>
      <x:c r="AC83" s="74" t="n">
        <x:v>46022</x:v>
      </x:c>
      <x:c r="AD83" s="71" t="str">
        <x:v>源记录保留</x:v>
      </x:c>
      <x:c r="AE83" s="71" t="str">
        <x:v>2025年实际执行.xlsx</x:v>
      </x:c>
      <x:c r="AF83" s="71" t="str">
        <x:v>Sheet</x:v>
      </x:c>
      <x:c r="AG83" s="71" t="n">
        <x:v>83</x:v>
      </x:c>
      <x:c r="AH83" s="71" t="str">
        <x:v>2025年实际执行.xlsx/Sheet!83:83</x:v>
      </x:c>
      <x:c r="AI83" s="62" t="str">
        <x:f>IF(F83=MONTH(L83),"OK","FAIL")</x:f>
        <x:v>OK</x:v>
      </x:c>
      <x:c r="AJ83" s="62" t="str">
        <x:f>IF(J83&lt;=L83,"OK","FAIL")</x:f>
        <x:v>OK</x:v>
      </x:c>
      <x:c r="AK83" s="62" t="str">
        <x:f>IF(D83&lt;&gt;"营业收入","OK",IF(AND(P83&lt;0,Q83&gt;0),"OK","FAIL"))</x:f>
        <x:v>OK</x:v>
      </x:c>
      <x:c r="AL83" s="62" t="str">
        <x:f>IF(COUNTIF($A$2:$A$218,A83)=1,"OK","FAIL")</x:f>
        <x:v>OK</x:v>
      </x:c>
    </x:row>
    <x:row r="84" ht="23" customHeight="1">
      <x:c r="A84" s="62" t="str">
        <x:v>DEMO01|2025|DOC2082|10</x:v>
      </x:c>
      <x:c r="B84" s="62" t="str">
        <x:v>SOURCE</x:v>
      </x:c>
      <x:c r="C84" s="62" t="str">
        <x:v>办公费</x:v>
      </x:c>
      <x:c r="D84" s="62" t="str">
        <x:v>办公费</x:v>
      </x:c>
      <x:c r="E84" s="62" t="n">
        <x:v>9</x:v>
      </x:c>
      <x:c r="F84" s="62" t="n">
        <x:v>9</x:v>
      </x:c>
      <x:c r="G84" s="62" t="str">
        <x:v>DOC2082</x:v>
      </x:c>
      <x:c r="H84" s="62" t="n">
        <x:v>10</x:v>
      </x:c>
      <x:c r="I84" s="74" t="n">
        <x:v>45915</x:v>
      </x:c>
      <x:c r="J84" s="74" t="n">
        <x:v>45915</x:v>
      </x:c>
      <x:c r="K84" s="74" t="n">
        <x:v>45915</x:v>
      </x:c>
      <x:c r="L84" s="74" t="n">
        <x:v>45915</x:v>
      </x:c>
      <x:c r="M84" s="77" t="n">
        <x:v>0.4341</x:v>
      </x:c>
      <x:c r="N84" s="77"/>
      <x:c r="O84" s="78"/>
      <x:c r="P84" s="79" t="n">
        <x:f>M84</x:f>
        <x:v>0.4341</x:v>
      </x:c>
      <x:c r="Q84" s="79" t="n">
        <x:f>IF(D84="营业收入",-P84,P84)</x:f>
        <x:v>0.4341</x:v>
      </x:c>
      <x:c r="R84" s="62" t="str">
        <x:v>CNY</x:v>
      </x:c>
      <x:c r="S84" s="62" t="str">
        <x:v>万元</x:v>
      </x:c>
      <x:c r="T84" s="62" t="str">
        <x:v>费用不含税</x:v>
      </x:c>
      <x:c r="U84" s="62" t="str">
        <x:v>技术部</x:v>
      </x:c>
      <x:c r="V84" s="62" t="str">
        <x:v>新技术应用日常办公</x:v>
      </x:c>
      <x:c r="W84" s="62" t="str">
        <x:v>新技术应用日常办公</x:v>
      </x:c>
      <x:c r="X84" s="62" t="str">
        <x:v>苏州热工</x:v>
      </x:c>
      <x:c r="Y84" s="62" t="str">
        <x:v>苏州热工</x:v>
      </x:c>
      <x:c r="Z84" s="62" t="str">
        <x:v>17</x:v>
      </x:c>
      <x:c r="AA84" s="62" t="str">
        <x:v>新技术应用</x:v>
      </x:c>
      <x:c r="AB84" s="62" t="str">
        <x:v>PRJ-JS-新技-2024-001</x:v>
      </x:c>
      <x:c r="AC84" s="74" t="n">
        <x:v>46022</x:v>
      </x:c>
      <x:c r="AD84" s="71" t="str">
        <x:v>源记录保留</x:v>
      </x:c>
      <x:c r="AE84" s="71" t="str">
        <x:v>2025年实际执行.xlsx</x:v>
      </x:c>
      <x:c r="AF84" s="71" t="str">
        <x:v>Sheet</x:v>
      </x:c>
      <x:c r="AG84" s="71" t="n">
        <x:v>84</x:v>
      </x:c>
      <x:c r="AH84" s="71" t="str">
        <x:v>2025年实际执行.xlsx/Sheet!84:84</x:v>
      </x:c>
      <x:c r="AI84" s="62" t="str">
        <x:f>IF(F84=MONTH(L84),"OK","FAIL")</x:f>
        <x:v>OK</x:v>
      </x:c>
      <x:c r="AJ84" s="62" t="str">
        <x:f>IF(J84&lt;=L84,"OK","FAIL")</x:f>
        <x:v>OK</x:v>
      </x:c>
      <x:c r="AK84" s="62" t="str">
        <x:f>IF(D84&lt;&gt;"营业收入","OK",IF(AND(P84&lt;0,Q84&gt;0),"OK","FAIL"))</x:f>
        <x:v>OK</x:v>
      </x:c>
      <x:c r="AL84" s="62" t="str">
        <x:f>IF(COUNTIF($A$2:$A$218,A84)=1,"OK","FAIL")</x:f>
        <x:v>OK</x:v>
      </x:c>
    </x:row>
    <x:row r="85" ht="23" customHeight="1">
      <x:c r="A85" s="62" t="str">
        <x:v>DEMO01|2025|DOC2083|10</x:v>
      </x:c>
      <x:c r="B85" s="62" t="str">
        <x:v>CORRECTED</x:v>
      </x:c>
      <x:c r="C85" s="62" t="str">
        <x:v>交通运输费</x:v>
      </x:c>
      <x:c r="D85" s="62" t="str">
        <x:v>交通运输费</x:v>
      </x:c>
      <x:c r="E85" s="62" t="n">
        <x:v>1</x:v>
      </x:c>
      <x:c r="F85" s="62" t="n">
        <x:v>1</x:v>
      </x:c>
      <x:c r="G85" s="62" t="str">
        <x:v>DOC2083</x:v>
      </x:c>
      <x:c r="H85" s="62" t="n">
        <x:v>10</x:v>
      </x:c>
      <x:c r="I85" s="74" t="n">
        <x:v>45672</x:v>
      </x:c>
      <x:c r="J85" s="74" t="n">
        <x:v>45672</x:v>
      </x:c>
      <x:c r="K85" s="74" t="n">
        <x:v>45672</x:v>
      </x:c>
      <x:c r="L85" s="74" t="n">
        <x:v>45672</x:v>
      </x:c>
      <x:c r="M85" s="77" t="n">
        <x:v>0.7235</x:v>
      </x:c>
      <x:c r="N85" s="77"/>
      <x:c r="O85" s="78"/>
      <x:c r="P85" s="79" t="n">
        <x:f>M85</x:f>
        <x:v>0.7235</x:v>
      </x:c>
      <x:c r="Q85" s="79" t="n">
        <x:f>IF(D85="营业收入",-P85,P85)</x:f>
        <x:v>0.7235</x:v>
      </x:c>
      <x:c r="R85" s="62" t="str">
        <x:v>CNY</x:v>
      </x:c>
      <x:c r="S85" s="62" t="str">
        <x:v>万元</x:v>
      </x:c>
      <x:c r="T85" s="62" t="str">
        <x:v>费用不含税</x:v>
      </x:c>
      <x:c r="U85" s="62" t="str">
        <x:v>技术部</x:v>
      </x:c>
      <x:c r="V85" s="62" t="str">
        <x:v>新技术应用材料运输</x:v>
      </x:c>
      <x:c r="W85" s="62" t="str">
        <x:v>新技术应用材料运输</x:v>
      </x:c>
      <x:c r="X85" s="62" t="str">
        <x:v>苏州热工</x:v>
      </x:c>
      <x:c r="Y85" s="62" t="str">
        <x:v>苏州热工</x:v>
      </x:c>
      <x:c r="Z85" s="62" t="str">
        <x:v>17</x:v>
      </x:c>
      <x:c r="AA85" s="62" t="str">
        <x:v>新技术应用</x:v>
      </x:c>
      <x:c r="AB85" s="62" t="str">
        <x:v>PRJ-JS-新技-2024-001</x:v>
      </x:c>
      <x:c r="AC85" s="74" t="n">
        <x:v>46022</x:v>
      </x:c>
      <x:c r="AD85" s="71" t="str">
        <x:v>补凭证行号</x:v>
      </x:c>
      <x:c r="AE85" s="71" t="str">
        <x:v>2025年实际执行.xlsx</x:v>
      </x:c>
      <x:c r="AF85" s="71" t="str">
        <x:v>Sheet</x:v>
      </x:c>
      <x:c r="AG85" s="71" t="n">
        <x:v>85</x:v>
      </x:c>
      <x:c r="AH85" s="71" t="str">
        <x:v>2025年实际执行.xlsx/Sheet!85:85</x:v>
      </x:c>
      <x:c r="AI85" s="62" t="str">
        <x:f>IF(F85=MONTH(L85),"OK","FAIL")</x:f>
        <x:v>OK</x:v>
      </x:c>
      <x:c r="AJ85" s="62" t="str">
        <x:f>IF(J85&lt;=L85,"OK","FAIL")</x:f>
        <x:v>OK</x:v>
      </x:c>
      <x:c r="AK85" s="62" t="str">
        <x:f>IF(D85&lt;&gt;"营业收入","OK",IF(AND(P85&lt;0,Q85&gt;0),"OK","FAIL"))</x:f>
        <x:v>OK</x:v>
      </x:c>
      <x:c r="AL85" s="62" t="str">
        <x:f>IF(COUNTIF($A$2:$A$218,A85)=1,"OK","FAIL")</x:f>
        <x:v>OK</x:v>
      </x:c>
    </x:row>
    <x:row r="86" ht="23" customHeight="1">
      <x:c r="A86" s="62" t="str">
        <x:v>DEMO01|2025|DOC2084|10</x:v>
      </x:c>
      <x:c r="B86" s="62" t="str">
        <x:v>SOURCE</x:v>
      </x:c>
      <x:c r="C86" s="62" t="str">
        <x:v>人工成本</x:v>
      </x:c>
      <x:c r="D86" s="62" t="str">
        <x:v>人工成本</x:v>
      </x:c>
      <x:c r="E86" s="62" t="n">
        <x:v>6</x:v>
      </x:c>
      <x:c r="F86" s="62" t="n">
        <x:v>6</x:v>
      </x:c>
      <x:c r="G86" s="62" t="str">
        <x:v>DOC2084</x:v>
      </x:c>
      <x:c r="H86" s="62" t="n">
        <x:v>10</x:v>
      </x:c>
      <x:c r="I86" s="74" t="n">
        <x:v>45838</x:v>
      </x:c>
      <x:c r="J86" s="74" t="n">
        <x:v>45838</x:v>
      </x:c>
      <x:c r="K86" s="74" t="n">
        <x:v>45838</x:v>
      </x:c>
      <x:c r="L86" s="74" t="n">
        <x:v>45838</x:v>
      </x:c>
      <x:c r="M86" s="77" t="n">
        <x:v>8</x:v>
      </x:c>
      <x:c r="N86" s="77"/>
      <x:c r="O86" s="78"/>
      <x:c r="P86" s="79" t="n">
        <x:f>M86</x:f>
        <x:v>8</x:v>
      </x:c>
      <x:c r="Q86" s="79" t="n">
        <x:f>IF(D86="营业收入",-P86,P86)</x:f>
        <x:v>8</x:v>
      </x:c>
      <x:c r="R86" s="62" t="str">
        <x:v>CNY</x:v>
      </x:c>
      <x:c r="S86" s="62" t="str">
        <x:v>万元</x:v>
      </x:c>
      <x:c r="T86" s="62" t="str">
        <x:v>费用不含税</x:v>
      </x:c>
      <x:c r="U86" s="62" t="str">
        <x:v>技术部</x:v>
      </x:c>
      <x:c r="V86" s="62" t="str">
        <x:v>新技术应用人工成本分摊</x:v>
      </x:c>
      <x:c r="W86" s="62" t="str">
        <x:v>新技术应用人工成本分摊</x:v>
      </x:c>
      <x:c r="X86" s="62" t="str">
        <x:v>17</x:v>
      </x:c>
      <x:c r="Y86" s="62" t="str">
        <x:v>17</x:v>
      </x:c>
      <x:c r="Z86" s="62" t="str">
        <x:v>17</x:v>
      </x:c>
      <x:c r="AA86" s="62" t="str">
        <x:v>新技术应用</x:v>
      </x:c>
      <x:c r="AB86" s="62" t="str">
        <x:v>PRJ-JS-新技-2024-001</x:v>
      </x:c>
      <x:c r="AC86" s="74" t="n">
        <x:v>46022</x:v>
      </x:c>
      <x:c r="AD86" s="71" t="str">
        <x:v>源记录保留</x:v>
      </x:c>
      <x:c r="AE86" s="71" t="str">
        <x:v>2025年实际执行.xlsx</x:v>
      </x:c>
      <x:c r="AF86" s="71" t="str">
        <x:v>Sheet</x:v>
      </x:c>
      <x:c r="AG86" s="71" t="n">
        <x:v>86</x:v>
      </x:c>
      <x:c r="AH86" s="71" t="str">
        <x:v>2025年实际执行.xlsx/Sheet!86:86</x:v>
      </x:c>
      <x:c r="AI86" s="62" t="str">
        <x:f>IF(F86=MONTH(L86),"OK","FAIL")</x:f>
        <x:v>OK</x:v>
      </x:c>
      <x:c r="AJ86" s="62" t="str">
        <x:f>IF(J86&lt;=L86,"OK","FAIL")</x:f>
        <x:v>OK</x:v>
      </x:c>
      <x:c r="AK86" s="62" t="str">
        <x:f>IF(D86&lt;&gt;"营业收入","OK",IF(AND(P86&lt;0,Q86&gt;0),"OK","FAIL"))</x:f>
        <x:v>OK</x:v>
      </x:c>
      <x:c r="AL86" s="62" t="str">
        <x:f>IF(COUNTIF($A$2:$A$218,A86)=1,"OK","FAIL")</x:f>
        <x:v>OK</x:v>
      </x:c>
    </x:row>
    <x:row r="87" ht="23" customHeight="1">
      <x:c r="A87" s="62" t="str">
        <x:v>DEMO01|2025|DOC2085|10</x:v>
      </x:c>
      <x:c r="B87" s="62" t="str">
        <x:v>SOURCE</x:v>
      </x:c>
      <x:c r="C87" s="62" t="str">
        <x:v>折旧摊销</x:v>
      </x:c>
      <x:c r="D87" s="62" t="str">
        <x:v>折旧摊销</x:v>
      </x:c>
      <x:c r="E87" s="62" t="n">
        <x:v>12</x:v>
      </x:c>
      <x:c r="F87" s="62" t="n">
        <x:v>12</x:v>
      </x:c>
      <x:c r="G87" s="62" t="str">
        <x:v>DOC2085</x:v>
      </x:c>
      <x:c r="H87" s="62" t="n">
        <x:v>10</x:v>
      </x:c>
      <x:c r="I87" s="74" t="n">
        <x:v>46022</x:v>
      </x:c>
      <x:c r="J87" s="74" t="n">
        <x:v>46022</x:v>
      </x:c>
      <x:c r="K87" s="74" t="n">
        <x:v>46022</x:v>
      </x:c>
      <x:c r="L87" s="74" t="n">
        <x:v>46022</x:v>
      </x:c>
      <x:c r="M87" s="77" t="n">
        <x:v>2</x:v>
      </x:c>
      <x:c r="N87" s="77"/>
      <x:c r="O87" s="78"/>
      <x:c r="P87" s="79" t="n">
        <x:f>M87</x:f>
        <x:v>2</x:v>
      </x:c>
      <x:c r="Q87" s="79" t="n">
        <x:f>IF(D87="营业收入",-P87,P87)</x:f>
        <x:v>2</x:v>
      </x:c>
      <x:c r="R87" s="62" t="str">
        <x:v>CNY</x:v>
      </x:c>
      <x:c r="S87" s="62" t="str">
        <x:v>万元</x:v>
      </x:c>
      <x:c r="T87" s="62" t="str">
        <x:v>费用不含税</x:v>
      </x:c>
      <x:c r="U87" s="62" t="str">
        <x:v>技术部</x:v>
      </x:c>
      <x:c r="V87" s="62" t="str">
        <x:v>新技术应用折旧摊销分摊</x:v>
      </x:c>
      <x:c r="W87" s="62" t="str">
        <x:v>新技术应用折旧摊销分摊</x:v>
      </x:c>
      <x:c r="X87" s="62" t="str">
        <x:v>17</x:v>
      </x:c>
      <x:c r="Y87" s="62" t="str">
        <x:v>17</x:v>
      </x:c>
      <x:c r="Z87" s="62" t="str">
        <x:v>17</x:v>
      </x:c>
      <x:c r="AA87" s="62" t="str">
        <x:v>新技术应用</x:v>
      </x:c>
      <x:c r="AB87" s="62" t="str">
        <x:v>PRJ-JS-新技-2024-001</x:v>
      </x:c>
      <x:c r="AC87" s="74" t="n">
        <x:v>46022</x:v>
      </x:c>
      <x:c r="AD87" s="71" t="str">
        <x:v>源记录保留</x:v>
      </x:c>
      <x:c r="AE87" s="71" t="str">
        <x:v>2025年实际执行.xlsx</x:v>
      </x:c>
      <x:c r="AF87" s="71" t="str">
        <x:v>Sheet</x:v>
      </x:c>
      <x:c r="AG87" s="71" t="n">
        <x:v>87</x:v>
      </x:c>
      <x:c r="AH87" s="71" t="str">
        <x:v>2025年实际执行.xlsx/Sheet!87:87</x:v>
      </x:c>
      <x:c r="AI87" s="62" t="str">
        <x:f>IF(F87=MONTH(L87),"OK","FAIL")</x:f>
        <x:v>OK</x:v>
      </x:c>
      <x:c r="AJ87" s="62" t="str">
        <x:f>IF(J87&lt;=L87,"OK","FAIL")</x:f>
        <x:v>OK</x:v>
      </x:c>
      <x:c r="AK87" s="62" t="str">
        <x:f>IF(D87&lt;&gt;"营业收入","OK",IF(AND(P87&lt;0,Q87&gt;0),"OK","FAIL"))</x:f>
        <x:v>OK</x:v>
      </x:c>
      <x:c r="AL87" s="62" t="str">
        <x:f>IF(COUNTIF($A$2:$A$218,A87)=1,"OK","FAIL")</x:f>
        <x:v>OK</x:v>
      </x:c>
    </x:row>
    <x:row r="88" ht="23" customHeight="1">
      <x:c r="A88" s="62" t="str">
        <x:v>DEMO01|2025|DOC2086|10</x:v>
      </x:c>
      <x:c r="B88" s="62" t="str">
        <x:v>CORRECTED</x:v>
      </x:c>
      <x:c r="C88" s="62" t="str">
        <x:v>业务支持费</x:v>
      </x:c>
      <x:c r="D88" s="62" t="str">
        <x:v>业务支持费-其他</x:v>
      </x:c>
      <x:c r="E88" s="62" t="n">
        <x:v>5</x:v>
      </x:c>
      <x:c r="F88" s="62" t="n">
        <x:v>3</x:v>
      </x:c>
      <x:c r="G88" s="62" t="str">
        <x:v>DOC2086</x:v>
      </x:c>
      <x:c r="H88" s="62" t="n">
        <x:v>10</x:v>
      </x:c>
      <x:c r="I88" s="74" t="n">
        <x:v>45828</x:v>
      </x:c>
      <x:c r="J88" s="74" t="n">
        <x:v>45736</x:v>
      </x:c>
      <x:c r="K88" s="74" t="n">
        <x:v>45736</x:v>
      </x:c>
      <x:c r="L88" s="74" t="n">
        <x:v>45736</x:v>
      </x:c>
      <x:c r="M88" s="77" t="n">
        <x:v>5</x:v>
      </x:c>
      <x:c r="N88" s="77"/>
      <x:c r="O88" s="78"/>
      <x:c r="P88" s="79" t="n">
        <x:f>M88</x:f>
        <x:v>5</x:v>
      </x:c>
      <x:c r="Q88" s="79" t="n">
        <x:f>IF(D88="营业收入",-P88,P88)</x:f>
        <x:v>5</x:v>
      </x:c>
      <x:c r="R88" s="62" t="str">
        <x:v>CNY</x:v>
      </x:c>
      <x:c r="S88" s="62" t="str">
        <x:v>万元</x:v>
      </x:c>
      <x:c r="T88" s="62" t="str">
        <x:v>费用不含税</x:v>
      </x:c>
      <x:c r="U88" s="62" t="str">
        <x:v>技术部</x:v>
      </x:c>
      <x:c r="V88" s="62" t="str">
        <x:v>确认新技术应用_实际成本</x:v>
      </x:c>
      <x:c r="W88" s="62" t="str">
        <x:v>确认新技术应用_实际成本</x:v>
      </x:c>
      <x:c r="X88" s="62" t="str">
        <x:v>苏州热工</x:v>
      </x:c>
      <x:c r="Y88" s="62" t="str">
        <x:v>苏州热工</x:v>
      </x:c>
      <x:c r="Z88" s="62" t="str">
        <x:v>17</x:v>
      </x:c>
      <x:c r="AA88" s="62" t="str">
        <x:v>新技术应用</x:v>
      </x:c>
      <x:c r="AB88" s="62" t="str">
        <x:v>PRJ-JS-新技-2024-001</x:v>
      </x:c>
      <x:c r="AC88" s="74" t="n">
        <x:v>46022</x:v>
      </x:c>
      <x:c r="AD88" s="71" t="str">
        <x:v>期间改为过账月；凭证日期改为过账日</x:v>
      </x:c>
      <x:c r="AE88" s="71" t="str">
        <x:v>2025年实际执行.xlsx</x:v>
      </x:c>
      <x:c r="AF88" s="71" t="str">
        <x:v>Sheet</x:v>
      </x:c>
      <x:c r="AG88" s="71" t="n">
        <x:v>88</x:v>
      </x:c>
      <x:c r="AH88" s="71" t="str">
        <x:v>2025年实际执行.xlsx/Sheet!88:88</x:v>
      </x:c>
      <x:c r="AI88" s="62" t="str">
        <x:f>IF(F88=MONTH(L88),"OK","FAIL")</x:f>
        <x:v>OK</x:v>
      </x:c>
      <x:c r="AJ88" s="62" t="str">
        <x:f>IF(J88&lt;=L88,"OK","FAIL")</x:f>
        <x:v>OK</x:v>
      </x:c>
      <x:c r="AK88" s="62" t="str">
        <x:f>IF(D88&lt;&gt;"营业收入","OK",IF(AND(P88&lt;0,Q88&gt;0),"OK","FAIL"))</x:f>
        <x:v>OK</x:v>
      </x:c>
      <x:c r="AL88" s="62" t="str">
        <x:f>IF(COUNTIF($A$2:$A$218,A88)=1,"OK","FAIL")</x:f>
        <x:v>OK</x:v>
      </x:c>
    </x:row>
    <x:row r="89" ht="23" customHeight="1">
      <x:c r="A89" s="62" t="str">
        <x:v>DEMO01|2025|DOC2087|10</x:v>
      </x:c>
      <x:c r="B89" s="62" t="str">
        <x:v>SOURCE</x:v>
      </x:c>
      <x:c r="C89" s="62" t="str">
        <x:v>营业收入</x:v>
      </x:c>
      <x:c r="D89" s="62" t="str">
        <x:v>营业收入</x:v>
      </x:c>
      <x:c r="E89" s="62" t="n">
        <x:v>6</x:v>
      </x:c>
      <x:c r="F89" s="62" t="n">
        <x:v>6</x:v>
      </x:c>
      <x:c r="G89" s="62" t="str">
        <x:v>DOC2087</x:v>
      </x:c>
      <x:c r="H89" s="62" t="n">
        <x:v>10</x:v>
      </x:c>
      <x:c r="I89" s="74" t="n">
        <x:v>45823</x:v>
      </x:c>
      <x:c r="J89" s="74" t="n">
        <x:v>45823</x:v>
      </x:c>
      <x:c r="K89" s="74" t="n">
        <x:v>45823</x:v>
      </x:c>
      <x:c r="L89" s="74" t="n">
        <x:v>45823</x:v>
      </x:c>
      <x:c r="M89" s="77" t="n">
        <x:v>-49.688886</x:v>
      </x:c>
      <x:c r="N89" s="77"/>
      <x:c r="O89" s="78"/>
      <x:c r="P89" s="79" t="n">
        <x:f>M89</x:f>
        <x:v>-49.688886</x:v>
      </x:c>
      <x:c r="Q89" s="79" t="n">
        <x:f>IF(D89="营业收入",-P89,P89)</x:f>
        <x:v>49.688886</x:v>
      </x:c>
      <x:c r="R89" s="62" t="str">
        <x:v>CNY</x:v>
      </x:c>
      <x:c r="S89" s="62" t="str">
        <x:v>万元</x:v>
      </x:c>
      <x:c r="T89" s="62" t="str">
        <x:v>收益；源负号</x:v>
      </x:c>
      <x:c r="U89" s="62" t="str">
        <x:v>技术部</x:v>
      </x:c>
      <x:c r="V89" s="62" t="str">
        <x:v>新技术应用收入确认</x:v>
      </x:c>
      <x:c r="W89" s="62" t="str">
        <x:v>新技术应用收入确认</x:v>
      </x:c>
      <x:c r="X89" s="62" t="str">
        <x:v>17</x:v>
      </x:c>
      <x:c r="Y89" s="62" t="str">
        <x:v>17</x:v>
      </x:c>
      <x:c r="Z89" s="62" t="str">
        <x:v>17</x:v>
      </x:c>
      <x:c r="AA89" s="62" t="str">
        <x:v>新技术应用</x:v>
      </x:c>
      <x:c r="AB89" s="62" t="str">
        <x:v>PRJ-JS-新技-2025-002</x:v>
      </x:c>
      <x:c r="AC89" s="74" t="n">
        <x:v>46022</x:v>
      </x:c>
      <x:c r="AD89" s="71" t="str">
        <x:v>源记录保留</x:v>
      </x:c>
      <x:c r="AE89" s="71" t="str">
        <x:v>2025年实际执行.xlsx</x:v>
      </x:c>
      <x:c r="AF89" s="71" t="str">
        <x:v>Sheet</x:v>
      </x:c>
      <x:c r="AG89" s="71" t="n">
        <x:v>89</x:v>
      </x:c>
      <x:c r="AH89" s="71" t="str">
        <x:v>2025年实际执行.xlsx/Sheet!89:89</x:v>
      </x:c>
      <x:c r="AI89" s="62" t="str">
        <x:f>IF(F89=MONTH(L89),"OK","FAIL")</x:f>
        <x:v>OK</x:v>
      </x:c>
      <x:c r="AJ89" s="62" t="str">
        <x:f>IF(J89&lt;=L89,"OK","FAIL")</x:f>
        <x:v>OK</x:v>
      </x:c>
      <x:c r="AK89" s="62" t="str">
        <x:f>IF(D89&lt;&gt;"营业收入","OK",IF(AND(P89&lt;0,Q89&gt;0),"OK","FAIL"))</x:f>
        <x:v>OK</x:v>
      </x:c>
      <x:c r="AL89" s="62" t="str">
        <x:f>IF(COUNTIF($A$2:$A$218,A89)=1,"OK","FAIL")</x:f>
        <x:v>OK</x:v>
      </x:c>
    </x:row>
    <x:row r="90" ht="23" customHeight="1">
      <x:c r="A90" s="62" t="str">
        <x:v>DEMO01|2025|DOC2088|10</x:v>
      </x:c>
      <x:c r="B90" s="62" t="str">
        <x:v>SOURCE</x:v>
      </x:c>
      <x:c r="C90" s="62" t="str">
        <x:v>会议费</x:v>
      </x:c>
      <x:c r="D90" s="62" t="str">
        <x:v>会议费</x:v>
      </x:c>
      <x:c r="E90" s="62" t="n">
        <x:v>6</x:v>
      </x:c>
      <x:c r="F90" s="62" t="n">
        <x:v>6</x:v>
      </x:c>
      <x:c r="G90" s="62" t="str">
        <x:v>DOC2088</x:v>
      </x:c>
      <x:c r="H90" s="62" t="n">
        <x:v>10</x:v>
      </x:c>
      <x:c r="I90" s="74" t="n">
        <x:v>45823</x:v>
      </x:c>
      <x:c r="J90" s="74" t="n">
        <x:v>45823</x:v>
      </x:c>
      <x:c r="K90" s="74" t="n">
        <x:v>45823</x:v>
      </x:c>
      <x:c r="L90" s="74" t="n">
        <x:v>45823</x:v>
      </x:c>
      <x:c r="M90" s="77" t="n">
        <x:v>3</x:v>
      </x:c>
      <x:c r="N90" s="77"/>
      <x:c r="O90" s="78"/>
      <x:c r="P90" s="79" t="n">
        <x:f>M90</x:f>
        <x:v>3</x:v>
      </x:c>
      <x:c r="Q90" s="79" t="n">
        <x:f>IF(D90="营业收入",-P90,P90)</x:f>
        <x:v>3</x:v>
      </x:c>
      <x:c r="R90" s="62" t="str">
        <x:v>CNY</x:v>
      </x:c>
      <x:c r="S90" s="62" t="str">
        <x:v>万元</x:v>
      </x:c>
      <x:c r="T90" s="62" t="str">
        <x:v>费用不含税</x:v>
      </x:c>
      <x:c r="U90" s="62" t="str">
        <x:v>技术部</x:v>
      </x:c>
      <x:c r="V90" s="62" t="str">
        <x:v>新技术应用项目阶段评审会</x:v>
      </x:c>
      <x:c r="W90" s="62" t="str">
        <x:v>新技术应用项目阶段评审会</x:v>
      </x:c>
      <x:c r="X90" s="62" t="str">
        <x:v>北京核工院</x:v>
      </x:c>
      <x:c r="Y90" s="62" t="str">
        <x:v>北京核工院</x:v>
      </x:c>
      <x:c r="Z90" s="62" t="str">
        <x:v>17</x:v>
      </x:c>
      <x:c r="AA90" s="62" t="str">
        <x:v>新技术应用</x:v>
      </x:c>
      <x:c r="AB90" s="62" t="str">
        <x:v>PRJ-JS-新技-2025-002</x:v>
      </x:c>
      <x:c r="AC90" s="74" t="n">
        <x:v>46022</x:v>
      </x:c>
      <x:c r="AD90" s="71" t="str">
        <x:v>源记录保留</x:v>
      </x:c>
      <x:c r="AE90" s="71" t="str">
        <x:v>2025年实际执行.xlsx</x:v>
      </x:c>
      <x:c r="AF90" s="71" t="str">
        <x:v>Sheet</x:v>
      </x:c>
      <x:c r="AG90" s="71" t="n">
        <x:v>90</x:v>
      </x:c>
      <x:c r="AH90" s="71" t="str">
        <x:v>2025年实际执行.xlsx/Sheet!90:90</x:v>
      </x:c>
      <x:c r="AI90" s="62" t="str">
        <x:f>IF(F90=MONTH(L90),"OK","FAIL")</x:f>
        <x:v>OK</x:v>
      </x:c>
      <x:c r="AJ90" s="62" t="str">
        <x:f>IF(J90&lt;=L90,"OK","FAIL")</x:f>
        <x:v>OK</x:v>
      </x:c>
      <x:c r="AK90" s="62" t="str">
        <x:f>IF(D90&lt;&gt;"营业收入","OK",IF(AND(P90&lt;0,Q90&gt;0),"OK","FAIL"))</x:f>
        <x:v>OK</x:v>
      </x:c>
      <x:c r="AL90" s="62" t="str">
        <x:f>IF(COUNTIF($A$2:$A$218,A90)=1,"OK","FAIL")</x:f>
        <x:v>OK</x:v>
      </x:c>
    </x:row>
    <x:row r="91" ht="23" customHeight="1">
      <x:c r="A91" s="62" t="str">
        <x:v>DEMO01|2025|DOC2089|10</x:v>
      </x:c>
      <x:c r="B91" s="62" t="str">
        <x:v>SOURCE</x:v>
      </x:c>
      <x:c r="C91" s="62" t="str">
        <x:v>业务支持费</x:v>
      </x:c>
      <x:c r="D91" s="62" t="str">
        <x:v>业务支持费-技术配置</x:v>
      </x:c>
      <x:c r="E91" s="62" t="n">
        <x:v>5</x:v>
      </x:c>
      <x:c r="F91" s="62" t="n">
        <x:v>5</x:v>
      </x:c>
      <x:c r="G91" s="62" t="str">
        <x:v>DOC2089</x:v>
      </x:c>
      <x:c r="H91" s="62" t="n">
        <x:v>10</x:v>
      </x:c>
      <x:c r="I91" s="74" t="n">
        <x:v>45792</x:v>
      </x:c>
      <x:c r="J91" s="74" t="n">
        <x:v>45792</x:v>
      </x:c>
      <x:c r="K91" s="74" t="n">
        <x:v>45792</x:v>
      </x:c>
      <x:c r="L91" s="74" t="n">
        <x:v>45792</x:v>
      </x:c>
      <x:c r="M91" s="77" t="n">
        <x:v>14</x:v>
      </x:c>
      <x:c r="N91" s="77"/>
      <x:c r="O91" s="78"/>
      <x:c r="P91" s="79" t="n">
        <x:f>M91</x:f>
        <x:v>14</x:v>
      </x:c>
      <x:c r="Q91" s="79" t="n">
        <x:f>IF(D91="营业收入",-P91,P91)</x:f>
        <x:v>14</x:v>
      </x:c>
      <x:c r="R91" s="62" t="str">
        <x:v>CNY</x:v>
      </x:c>
      <x:c r="S91" s="62" t="str">
        <x:v>万元</x:v>
      </x:c>
      <x:c r="T91" s="62" t="str">
        <x:v>费用不含税</x:v>
      </x:c>
      <x:c r="U91" s="62" t="str">
        <x:v>技术部</x:v>
      </x:c>
      <x:c r="V91" s="62" t="str">
        <x:v>新技术应用技术配置_实施阶段</x:v>
      </x:c>
      <x:c r="W91" s="62" t="str">
        <x:v>新技术应用技术配置_实施阶段</x:v>
      </x:c>
      <x:c r="X91" s="62" t="str">
        <x:v>供应商1</x:v>
      </x:c>
      <x:c r="Y91" s="62" t="str">
        <x:v>供应商1</x:v>
      </x:c>
      <x:c r="Z91" s="62" t="str">
        <x:v>17</x:v>
      </x:c>
      <x:c r="AA91" s="62" t="str">
        <x:v>新技术应用</x:v>
      </x:c>
      <x:c r="AB91" s="62" t="str">
        <x:v>PRJ-JS-新技-2025-002</x:v>
      </x:c>
      <x:c r="AC91" s="74" t="n">
        <x:v>46022</x:v>
      </x:c>
      <x:c r="AD91" s="71" t="str">
        <x:v>源记录保留</x:v>
      </x:c>
      <x:c r="AE91" s="71" t="str">
        <x:v>2025年实际执行.xlsx</x:v>
      </x:c>
      <x:c r="AF91" s="71" t="str">
        <x:v>Sheet</x:v>
      </x:c>
      <x:c r="AG91" s="71" t="n">
        <x:v>91</x:v>
      </x:c>
      <x:c r="AH91" s="71" t="str">
        <x:v>2025年实际执行.xlsx/Sheet!91:91</x:v>
      </x:c>
      <x:c r="AI91" s="62" t="str">
        <x:f>IF(F91=MONTH(L91),"OK","FAIL")</x:f>
        <x:v>OK</x:v>
      </x:c>
      <x:c r="AJ91" s="62" t="str">
        <x:f>IF(J91&lt;=L91,"OK","FAIL")</x:f>
        <x:v>OK</x:v>
      </x:c>
      <x:c r="AK91" s="62" t="str">
        <x:f>IF(D91&lt;&gt;"营业收入","OK",IF(AND(P91&lt;0,Q91&gt;0),"OK","FAIL"))</x:f>
        <x:v>OK</x:v>
      </x:c>
      <x:c r="AL91" s="62" t="str">
        <x:f>IF(COUNTIF($A$2:$A$218,A91)=1,"OK","FAIL")</x:f>
        <x:v>OK</x:v>
      </x:c>
    </x:row>
    <x:row r="92" ht="23" customHeight="1">
      <x:c r="A92" s="62" t="str">
        <x:v>DEMO01|2025|DOC2090|10</x:v>
      </x:c>
      <x:c r="B92" s="62" t="str">
        <x:v>SOURCE</x:v>
      </x:c>
      <x:c r="C92" s="62" t="str">
        <x:v>生产物料费</x:v>
      </x:c>
      <x:c r="D92" s="62" t="str">
        <x:v>生产物料费</x:v>
      </x:c>
      <x:c r="E92" s="62" t="n">
        <x:v>4</x:v>
      </x:c>
      <x:c r="F92" s="62" t="n">
        <x:v>4</x:v>
      </x:c>
      <x:c r="G92" s="62" t="str">
        <x:v>DOC2090</x:v>
      </x:c>
      <x:c r="H92" s="62" t="n">
        <x:v>10</x:v>
      </x:c>
      <x:c r="I92" s="74" t="n">
        <x:v>45762</x:v>
      </x:c>
      <x:c r="J92" s="74" t="n">
        <x:v>45762</x:v>
      </x:c>
      <x:c r="K92" s="74" t="n">
        <x:v>45762</x:v>
      </x:c>
      <x:c r="L92" s="74" t="n">
        <x:v>45762</x:v>
      </x:c>
      <x:c r="M92" s="77" t="n">
        <x:v>2.601</x:v>
      </x:c>
      <x:c r="N92" s="77"/>
      <x:c r="O92" s="78"/>
      <x:c r="P92" s="79" t="n">
        <x:f>M92</x:f>
        <x:v>2.601</x:v>
      </x:c>
      <x:c r="Q92" s="79" t="n">
        <x:f>IF(D92="营业收入",-P92,P92)</x:f>
        <x:v>2.601</x:v>
      </x:c>
      <x:c r="R92" s="62" t="str">
        <x:v>CNY</x:v>
      </x:c>
      <x:c r="S92" s="62" t="str">
        <x:v>万元</x:v>
      </x:c>
      <x:c r="T92" s="62" t="str">
        <x:v>费用不含税</x:v>
      </x:c>
      <x:c r="U92" s="62" t="str">
        <x:v>技术部</x:v>
      </x:c>
      <x:c r="V92" s="62" t="str">
        <x:v>新技术应用现场物料采购</x:v>
      </x:c>
      <x:c r="W92" s="62" t="str">
        <x:v>新技术应用现场物料采购</x:v>
      </x:c>
      <x:c r="X92" s="62" t="str">
        <x:v>北京核工院</x:v>
      </x:c>
      <x:c r="Y92" s="62" t="str">
        <x:v>北京核工院</x:v>
      </x:c>
      <x:c r="Z92" s="62" t="str">
        <x:v>17</x:v>
      </x:c>
      <x:c r="AA92" s="62" t="str">
        <x:v>新技术应用</x:v>
      </x:c>
      <x:c r="AB92" s="62" t="str">
        <x:v>PRJ-JS-新技-2025-002</x:v>
      </x:c>
      <x:c r="AC92" s="74" t="n">
        <x:v>46022</x:v>
      </x:c>
      <x:c r="AD92" s="71" t="str">
        <x:v>源记录保留</x:v>
      </x:c>
      <x:c r="AE92" s="71" t="str">
        <x:v>2025年实际执行.xlsx</x:v>
      </x:c>
      <x:c r="AF92" s="71" t="str">
        <x:v>Sheet</x:v>
      </x:c>
      <x:c r="AG92" s="71" t="n">
        <x:v>92</x:v>
      </x:c>
      <x:c r="AH92" s="71" t="str">
        <x:v>2025年实际执行.xlsx/Sheet!92:92</x:v>
      </x:c>
      <x:c r="AI92" s="62" t="str">
        <x:f>IF(F92=MONTH(L92),"OK","FAIL")</x:f>
        <x:v>OK</x:v>
      </x:c>
      <x:c r="AJ92" s="62" t="str">
        <x:f>IF(J92&lt;=L92,"OK","FAIL")</x:f>
        <x:v>OK</x:v>
      </x:c>
      <x:c r="AK92" s="62" t="str">
        <x:f>IF(D92&lt;&gt;"营业收入","OK",IF(AND(P92&lt;0,Q92&gt;0),"OK","FAIL"))</x:f>
        <x:v>OK</x:v>
      </x:c>
      <x:c r="AL92" s="62" t="str">
        <x:f>IF(COUNTIF($A$2:$A$218,A92)=1,"OK","FAIL")</x:f>
        <x:v>OK</x:v>
      </x:c>
    </x:row>
    <x:row r="93" ht="23" customHeight="1">
      <x:c r="A93" s="62" t="str">
        <x:v>DEMO01|2025|DOC2091|10</x:v>
      </x:c>
      <x:c r="B93" s="62" t="str">
        <x:v>SOURCE</x:v>
      </x:c>
      <x:c r="C93" s="62" t="str">
        <x:v>办公费</x:v>
      </x:c>
      <x:c r="D93" s="62" t="str">
        <x:v>办公费</x:v>
      </x:c>
      <x:c r="E93" s="62" t="n">
        <x:v>1</x:v>
      </x:c>
      <x:c r="F93" s="62" t="n">
        <x:v>1</x:v>
      </x:c>
      <x:c r="G93" s="62" t="str">
        <x:v>DOC2091</x:v>
      </x:c>
      <x:c r="H93" s="62" t="n">
        <x:v>10</x:v>
      </x:c>
      <x:c r="I93" s="74" t="n">
        <x:v>45672</x:v>
      </x:c>
      <x:c r="J93" s="74" t="n">
        <x:v>45672</x:v>
      </x:c>
      <x:c r="K93" s="74" t="n">
        <x:v>45672</x:v>
      </x:c>
      <x:c r="L93" s="74" t="n">
        <x:v>45672</x:v>
      </x:c>
      <x:c r="M93" s="77" t="n">
        <x:v>0.5202</x:v>
      </x:c>
      <x:c r="N93" s="77"/>
      <x:c r="O93" s="78"/>
      <x:c r="P93" s="79" t="n">
        <x:f>M93</x:f>
        <x:v>0.5202</x:v>
      </x:c>
      <x:c r="Q93" s="79" t="n">
        <x:f>IF(D93="营业收入",-P93,P93)</x:f>
        <x:v>0.5202</x:v>
      </x:c>
      <x:c r="R93" s="62" t="str">
        <x:v>CNY</x:v>
      </x:c>
      <x:c r="S93" s="62" t="str">
        <x:v>万元</x:v>
      </x:c>
      <x:c r="T93" s="62" t="str">
        <x:v>费用不含税</x:v>
      </x:c>
      <x:c r="U93" s="62" t="str">
        <x:v>技术部</x:v>
      </x:c>
      <x:c r="V93" s="62" t="str">
        <x:v>新技术应用日常办公</x:v>
      </x:c>
      <x:c r="W93" s="62" t="str">
        <x:v>新技术应用日常办公</x:v>
      </x:c>
      <x:c r="X93" s="62" t="str">
        <x:v>北京核工院</x:v>
      </x:c>
      <x:c r="Y93" s="62" t="str">
        <x:v>北京核工院</x:v>
      </x:c>
      <x:c r="Z93" s="62" t="str">
        <x:v>17</x:v>
      </x:c>
      <x:c r="AA93" s="62" t="str">
        <x:v>新技术应用</x:v>
      </x:c>
      <x:c r="AB93" s="62" t="str">
        <x:v>PRJ-JS-新技-2025-002</x:v>
      </x:c>
      <x:c r="AC93" s="74" t="n">
        <x:v>46022</x:v>
      </x:c>
      <x:c r="AD93" s="71" t="str">
        <x:v>源记录保留</x:v>
      </x:c>
      <x:c r="AE93" s="71" t="str">
        <x:v>2025年实际执行.xlsx</x:v>
      </x:c>
      <x:c r="AF93" s="71" t="str">
        <x:v>Sheet</x:v>
      </x:c>
      <x:c r="AG93" s="71" t="n">
        <x:v>93</x:v>
      </x:c>
      <x:c r="AH93" s="71" t="str">
        <x:v>2025年实际执行.xlsx/Sheet!93:93</x:v>
      </x:c>
      <x:c r="AI93" s="62" t="str">
        <x:f>IF(F93=MONTH(L93),"OK","FAIL")</x:f>
        <x:v>OK</x:v>
      </x:c>
      <x:c r="AJ93" s="62" t="str">
        <x:f>IF(J93&lt;=L93,"OK","FAIL")</x:f>
        <x:v>OK</x:v>
      </x:c>
      <x:c r="AK93" s="62" t="str">
        <x:f>IF(D93&lt;&gt;"营业收入","OK",IF(AND(P93&lt;0,Q93&gt;0),"OK","FAIL"))</x:f>
        <x:v>OK</x:v>
      </x:c>
      <x:c r="AL93" s="62" t="str">
        <x:f>IF(COUNTIF($A$2:$A$218,A93)=1,"OK","FAIL")</x:f>
        <x:v>OK</x:v>
      </x:c>
    </x:row>
    <x:row r="94" ht="23" customHeight="1">
      <x:c r="A94" s="62" t="str">
        <x:v>DEMO01|2025|DOC2092|10</x:v>
      </x:c>
      <x:c r="B94" s="62" t="str">
        <x:v>CORRECTED</x:v>
      </x:c>
      <x:c r="C94" s="62" t="str">
        <x:v>交通运输费</x:v>
      </x:c>
      <x:c r="D94" s="62" t="str">
        <x:v>交通运输费</x:v>
      </x:c>
      <x:c r="E94" s="62" t="n">
        <x:v>4</x:v>
      </x:c>
      <x:c r="F94" s="62" t="n">
        <x:v>4</x:v>
      </x:c>
      <x:c r="G94" s="62" t="str">
        <x:v>DOC2092</x:v>
      </x:c>
      <x:c r="H94" s="62" t="n">
        <x:v>10</x:v>
      </x:c>
      <x:c r="I94" s="74" t="n">
        <x:v>45762</x:v>
      </x:c>
      <x:c r="J94" s="74" t="n">
        <x:v>45762</x:v>
      </x:c>
      <x:c r="K94" s="74" t="n">
        <x:v>45762</x:v>
      </x:c>
      <x:c r="L94" s="74" t="n">
        <x:v>45762</x:v>
      </x:c>
      <x:c r="M94" s="77" t="n">
        <x:v>0.867</x:v>
      </x:c>
      <x:c r="N94" s="77"/>
      <x:c r="O94" s="78"/>
      <x:c r="P94" s="79" t="n">
        <x:f>M94</x:f>
        <x:v>0.867</x:v>
      </x:c>
      <x:c r="Q94" s="79" t="n">
        <x:f>IF(D94="营业收入",-P94,P94)</x:f>
        <x:v>0.867</x:v>
      </x:c>
      <x:c r="R94" s="62" t="str">
        <x:v>CNY</x:v>
      </x:c>
      <x:c r="S94" s="62" t="str">
        <x:v>万元</x:v>
      </x:c>
      <x:c r="T94" s="62" t="str">
        <x:v>费用不含税</x:v>
      </x:c>
      <x:c r="U94" s="62" t="str">
        <x:v>技术部</x:v>
      </x:c>
      <x:c r="V94" s="62" t="str">
        <x:v>新技术应用材料运输</x:v>
      </x:c>
      <x:c r="W94" s="62" t="str">
        <x:v>新技术应用材料运输</x:v>
      </x:c>
      <x:c r="X94" s="62" t="str">
        <x:v>北京核工院</x:v>
      </x:c>
      <x:c r="Y94" s="62" t="str">
        <x:v>北京核工院</x:v>
      </x:c>
      <x:c r="Z94" s="62" t="str">
        <x:v>17</x:v>
      </x:c>
      <x:c r="AA94" s="62" t="str">
        <x:v>新技术应用</x:v>
      </x:c>
      <x:c r="AB94" s="62" t="str">
        <x:v>PRJ-JS-新技-2025-002</x:v>
      </x:c>
      <x:c r="AC94" s="74" t="n">
        <x:v>46022</x:v>
      </x:c>
      <x:c r="AD94" s="71" t="str">
        <x:v>补凭证行号</x:v>
      </x:c>
      <x:c r="AE94" s="71" t="str">
        <x:v>2025年实际执行.xlsx</x:v>
      </x:c>
      <x:c r="AF94" s="71" t="str">
        <x:v>Sheet</x:v>
      </x:c>
      <x:c r="AG94" s="71" t="n">
        <x:v>94</x:v>
      </x:c>
      <x:c r="AH94" s="71" t="str">
        <x:v>2025年实际执行.xlsx/Sheet!94:94</x:v>
      </x:c>
      <x:c r="AI94" s="62" t="str">
        <x:f>IF(F94=MONTH(L94),"OK","FAIL")</x:f>
        <x:v>OK</x:v>
      </x:c>
      <x:c r="AJ94" s="62" t="str">
        <x:f>IF(J94&lt;=L94,"OK","FAIL")</x:f>
        <x:v>OK</x:v>
      </x:c>
      <x:c r="AK94" s="62" t="str">
        <x:f>IF(D94&lt;&gt;"营业收入","OK",IF(AND(P94&lt;0,Q94&gt;0),"OK","FAIL"))</x:f>
        <x:v>OK</x:v>
      </x:c>
      <x:c r="AL94" s="62" t="str">
        <x:f>IF(COUNTIF($A$2:$A$218,A94)=1,"OK","FAIL")</x:f>
        <x:v>OK</x:v>
      </x:c>
    </x:row>
    <x:row r="95" ht="23" customHeight="1">
      <x:c r="A95" s="62" t="str">
        <x:v>DEMO01|2025|DOC2093|10</x:v>
      </x:c>
      <x:c r="B95" s="62" t="str">
        <x:v>SOURCE</x:v>
      </x:c>
      <x:c r="C95" s="62" t="str">
        <x:v>人工成本</x:v>
      </x:c>
      <x:c r="D95" s="62" t="str">
        <x:v>人工成本</x:v>
      </x:c>
      <x:c r="E95" s="62" t="n">
        <x:v>6</x:v>
      </x:c>
      <x:c r="F95" s="62" t="n">
        <x:v>6</x:v>
      </x:c>
      <x:c r="G95" s="62" t="str">
        <x:v>DOC2093</x:v>
      </x:c>
      <x:c r="H95" s="62" t="n">
        <x:v>10</x:v>
      </x:c>
      <x:c r="I95" s="74" t="n">
        <x:v>45838</x:v>
      </x:c>
      <x:c r="J95" s="74" t="n">
        <x:v>45838</x:v>
      </x:c>
      <x:c r="K95" s="74" t="n">
        <x:v>45838</x:v>
      </x:c>
      <x:c r="L95" s="74" t="n">
        <x:v>45838</x:v>
      </x:c>
      <x:c r="M95" s="77" t="n">
        <x:v>7</x:v>
      </x:c>
      <x:c r="N95" s="77"/>
      <x:c r="O95" s="78"/>
      <x:c r="P95" s="79" t="n">
        <x:f>M95</x:f>
        <x:v>7</x:v>
      </x:c>
      <x:c r="Q95" s="79" t="n">
        <x:f>IF(D95="营业收入",-P95,P95)</x:f>
        <x:v>7</x:v>
      </x:c>
      <x:c r="R95" s="62" t="str">
        <x:v>CNY</x:v>
      </x:c>
      <x:c r="S95" s="62" t="str">
        <x:v>万元</x:v>
      </x:c>
      <x:c r="T95" s="62" t="str">
        <x:v>费用不含税</x:v>
      </x:c>
      <x:c r="U95" s="62" t="str">
        <x:v>技术部</x:v>
      </x:c>
      <x:c r="V95" s="62" t="str">
        <x:v>新技术应用人工成本分摊</x:v>
      </x:c>
      <x:c r="W95" s="62" t="str">
        <x:v>新技术应用人工成本分摊</x:v>
      </x:c>
      <x:c r="X95" s="62" t="str">
        <x:v>17</x:v>
      </x:c>
      <x:c r="Y95" s="62" t="str">
        <x:v>17</x:v>
      </x:c>
      <x:c r="Z95" s="62" t="str">
        <x:v>17</x:v>
      </x:c>
      <x:c r="AA95" s="62" t="str">
        <x:v>新技术应用</x:v>
      </x:c>
      <x:c r="AB95" s="62" t="str">
        <x:v>PRJ-JS-新技-2025-002</x:v>
      </x:c>
      <x:c r="AC95" s="74" t="n">
        <x:v>46022</x:v>
      </x:c>
      <x:c r="AD95" s="71" t="str">
        <x:v>源记录保留</x:v>
      </x:c>
      <x:c r="AE95" s="71" t="str">
        <x:v>2025年实际执行.xlsx</x:v>
      </x:c>
      <x:c r="AF95" s="71" t="str">
        <x:v>Sheet</x:v>
      </x:c>
      <x:c r="AG95" s="71" t="n">
        <x:v>95</x:v>
      </x:c>
      <x:c r="AH95" s="71" t="str">
        <x:v>2025年实际执行.xlsx/Sheet!95:95</x:v>
      </x:c>
      <x:c r="AI95" s="62" t="str">
        <x:f>IF(F95=MONTH(L95),"OK","FAIL")</x:f>
        <x:v>OK</x:v>
      </x:c>
      <x:c r="AJ95" s="62" t="str">
        <x:f>IF(J95&lt;=L95,"OK","FAIL")</x:f>
        <x:v>OK</x:v>
      </x:c>
      <x:c r="AK95" s="62" t="str">
        <x:f>IF(D95&lt;&gt;"营业收入","OK",IF(AND(P95&lt;0,Q95&gt;0),"OK","FAIL"))</x:f>
        <x:v>OK</x:v>
      </x:c>
      <x:c r="AL95" s="62" t="str">
        <x:f>IF(COUNTIF($A$2:$A$218,A95)=1,"OK","FAIL")</x:f>
        <x:v>OK</x:v>
      </x:c>
    </x:row>
    <x:row r="96" ht="23" customHeight="1">
      <x:c r="A96" s="62" t="str">
        <x:v>DEMO01|2025|DOC2094|10</x:v>
      </x:c>
      <x:c r="B96" s="62" t="str">
        <x:v>SOURCE</x:v>
      </x:c>
      <x:c r="C96" s="62" t="str">
        <x:v>折旧摊销</x:v>
      </x:c>
      <x:c r="D96" s="62" t="str">
        <x:v>折旧摊销</x:v>
      </x:c>
      <x:c r="E96" s="62" t="n">
        <x:v>12</x:v>
      </x:c>
      <x:c r="F96" s="62" t="n">
        <x:v>12</x:v>
      </x:c>
      <x:c r="G96" s="62" t="str">
        <x:v>DOC2094</x:v>
      </x:c>
      <x:c r="H96" s="62" t="n">
        <x:v>10</x:v>
      </x:c>
      <x:c r="I96" s="74" t="n">
        <x:v>46022</x:v>
      </x:c>
      <x:c r="J96" s="74" t="n">
        <x:v>46022</x:v>
      </x:c>
      <x:c r="K96" s="74" t="n">
        <x:v>46022</x:v>
      </x:c>
      <x:c r="L96" s="74" t="n">
        <x:v>46022</x:v>
      </x:c>
      <x:c r="M96" s="77" t="n">
        <x:v>2</x:v>
      </x:c>
      <x:c r="N96" s="77"/>
      <x:c r="O96" s="78"/>
      <x:c r="P96" s="79" t="n">
        <x:f>M96</x:f>
        <x:v>2</x:v>
      </x:c>
      <x:c r="Q96" s="79" t="n">
        <x:f>IF(D96="营业收入",-P96,P96)</x:f>
        <x:v>2</x:v>
      </x:c>
      <x:c r="R96" s="62" t="str">
        <x:v>CNY</x:v>
      </x:c>
      <x:c r="S96" s="62" t="str">
        <x:v>万元</x:v>
      </x:c>
      <x:c r="T96" s="62" t="str">
        <x:v>费用不含税</x:v>
      </x:c>
      <x:c r="U96" s="62" t="str">
        <x:v>技术部</x:v>
      </x:c>
      <x:c r="V96" s="62" t="str">
        <x:v>新技术应用折旧摊销分摊</x:v>
      </x:c>
      <x:c r="W96" s="62" t="str">
        <x:v>新技术应用折旧摊销分摊</x:v>
      </x:c>
      <x:c r="X96" s="62" t="str">
        <x:v>17</x:v>
      </x:c>
      <x:c r="Y96" s="62" t="str">
        <x:v>17</x:v>
      </x:c>
      <x:c r="Z96" s="62" t="str">
        <x:v>17</x:v>
      </x:c>
      <x:c r="AA96" s="62" t="str">
        <x:v>新技术应用</x:v>
      </x:c>
      <x:c r="AB96" s="62" t="str">
        <x:v>PRJ-JS-新技-2025-002</x:v>
      </x:c>
      <x:c r="AC96" s="74" t="n">
        <x:v>46022</x:v>
      </x:c>
      <x:c r="AD96" s="71" t="str">
        <x:v>源记录保留</x:v>
      </x:c>
      <x:c r="AE96" s="71" t="str">
        <x:v>2025年实际执行.xlsx</x:v>
      </x:c>
      <x:c r="AF96" s="71" t="str">
        <x:v>Sheet</x:v>
      </x:c>
      <x:c r="AG96" s="71" t="n">
        <x:v>96</x:v>
      </x:c>
      <x:c r="AH96" s="71" t="str">
        <x:v>2025年实际执行.xlsx/Sheet!96:96</x:v>
      </x:c>
      <x:c r="AI96" s="62" t="str">
        <x:f>IF(F96=MONTH(L96),"OK","FAIL")</x:f>
        <x:v>OK</x:v>
      </x:c>
      <x:c r="AJ96" s="62" t="str">
        <x:f>IF(J96&lt;=L96,"OK","FAIL")</x:f>
        <x:v>OK</x:v>
      </x:c>
      <x:c r="AK96" s="62" t="str">
        <x:f>IF(D96&lt;&gt;"营业收入","OK",IF(AND(P96&lt;0,Q96&gt;0),"OK","FAIL"))</x:f>
        <x:v>OK</x:v>
      </x:c>
      <x:c r="AL96" s="62" t="str">
        <x:f>IF(COUNTIF($A$2:$A$218,A96)=1,"OK","FAIL")</x:f>
        <x:v>OK</x:v>
      </x:c>
    </x:row>
    <x:row r="97" ht="23" customHeight="1">
      <x:c r="A97" s="62" t="str">
        <x:v>DEMO01|2025|DOC2095|10</x:v>
      </x:c>
      <x:c r="B97" s="62" t="str">
        <x:v>CORRECTED</x:v>
      </x:c>
      <x:c r="C97" s="62" t="str">
        <x:v>业务支持费</x:v>
      </x:c>
      <x:c r="D97" s="62" t="str">
        <x:v>业务支持费-其他</x:v>
      </x:c>
      <x:c r="E97" s="62" t="n">
        <x:v>3</x:v>
      </x:c>
      <x:c r="F97" s="62" t="n">
        <x:v>6</x:v>
      </x:c>
      <x:c r="G97" s="62" t="str">
        <x:v>DOC2095</x:v>
      </x:c>
      <x:c r="H97" s="62" t="n">
        <x:v>10</x:v>
      </x:c>
      <x:c r="I97" s="74" t="n">
        <x:v>45736</x:v>
      </x:c>
      <x:c r="J97" s="74" t="n">
        <x:v>45736</x:v>
      </x:c>
      <x:c r="K97" s="74" t="n">
        <x:v>45828</x:v>
      </x:c>
      <x:c r="L97" s="74" t="n">
        <x:v>45828</x:v>
      </x:c>
      <x:c r="M97" s="77" t="n">
        <x:v>5</x:v>
      </x:c>
      <x:c r="N97" s="77"/>
      <x:c r="O97" s="78"/>
      <x:c r="P97" s="79" t="n">
        <x:f>M97</x:f>
        <x:v>5</x:v>
      </x:c>
      <x:c r="Q97" s="79" t="n">
        <x:f>IF(D97="营业收入",-P97,P97)</x:f>
        <x:v>5</x:v>
      </x:c>
      <x:c r="R97" s="62" t="str">
        <x:v>CNY</x:v>
      </x:c>
      <x:c r="S97" s="62" t="str">
        <x:v>万元</x:v>
      </x:c>
      <x:c r="T97" s="62" t="str">
        <x:v>费用不含税</x:v>
      </x:c>
      <x:c r="U97" s="62" t="str">
        <x:v>技术部</x:v>
      </x:c>
      <x:c r="V97" s="62" t="str">
        <x:v>确认新技术应用_实际成本</x:v>
      </x:c>
      <x:c r="W97" s="62" t="str">
        <x:v>确认新技术应用_实际成本</x:v>
      </x:c>
      <x:c r="X97" s="62" t="str">
        <x:v>北京核工院</x:v>
      </x:c>
      <x:c r="Y97" s="62" t="str">
        <x:v>北京核工院</x:v>
      </x:c>
      <x:c r="Z97" s="62" t="str">
        <x:v>17</x:v>
      </x:c>
      <x:c r="AA97" s="62" t="str">
        <x:v>新技术应用</x:v>
      </x:c>
      <x:c r="AB97" s="62" t="str">
        <x:v>PRJ-JS-新技-2025-002</x:v>
      </x:c>
      <x:c r="AC97" s="74" t="n">
        <x:v>46022</x:v>
      </x:c>
      <x:c r="AD97" s="71" t="str">
        <x:v>期间改为过账月</x:v>
      </x:c>
      <x:c r="AE97" s="71" t="str">
        <x:v>2025年实际执行.xlsx</x:v>
      </x:c>
      <x:c r="AF97" s="71" t="str">
        <x:v>Sheet</x:v>
      </x:c>
      <x:c r="AG97" s="71" t="n">
        <x:v>97</x:v>
      </x:c>
      <x:c r="AH97" s="71" t="str">
        <x:v>2025年实际执行.xlsx/Sheet!97:97</x:v>
      </x:c>
      <x:c r="AI97" s="62" t="str">
        <x:f>IF(F97=MONTH(L97),"OK","FAIL")</x:f>
        <x:v>OK</x:v>
      </x:c>
      <x:c r="AJ97" s="62" t="str">
        <x:f>IF(J97&lt;=L97,"OK","FAIL")</x:f>
        <x:v>OK</x:v>
      </x:c>
      <x:c r="AK97" s="62" t="str">
        <x:f>IF(D97&lt;&gt;"营业收入","OK",IF(AND(P97&lt;0,Q97&gt;0),"OK","FAIL"))</x:f>
        <x:v>OK</x:v>
      </x:c>
      <x:c r="AL97" s="62" t="str">
        <x:f>IF(COUNTIF($A$2:$A$218,A97)=1,"OK","FAIL")</x:f>
        <x:v>OK</x:v>
      </x:c>
    </x:row>
    <x:row r="98" ht="23" customHeight="1">
      <x:c r="A98" s="62" t="str">
        <x:v>DEMO01|2025|DOC2096|10</x:v>
      </x:c>
      <x:c r="B98" s="62" t="str">
        <x:v>SOURCE</x:v>
      </x:c>
      <x:c r="C98" s="62" t="str">
        <x:v>营业收入</x:v>
      </x:c>
      <x:c r="D98" s="62" t="str">
        <x:v>营业收入</x:v>
      </x:c>
      <x:c r="E98" s="62" t="n">
        <x:v>6</x:v>
      </x:c>
      <x:c r="F98" s="62" t="n">
        <x:v>6</x:v>
      </x:c>
      <x:c r="G98" s="62" t="str">
        <x:v>DOC2096</x:v>
      </x:c>
      <x:c r="H98" s="62" t="n">
        <x:v>10</x:v>
      </x:c>
      <x:c r="I98" s="74" t="n">
        <x:v>45823</x:v>
      </x:c>
      <x:c r="J98" s="74" t="n">
        <x:v>45823</x:v>
      </x:c>
      <x:c r="K98" s="74" t="n">
        <x:v>45823</x:v>
      </x:c>
      <x:c r="L98" s="74" t="n">
        <x:v>45823</x:v>
      </x:c>
      <x:c r="M98" s="77" t="n">
        <x:v>-38.2777785</x:v>
      </x:c>
      <x:c r="N98" s="77"/>
      <x:c r="O98" s="78"/>
      <x:c r="P98" s="79" t="n">
        <x:f>M98</x:f>
        <x:v>-38.2777785</x:v>
      </x:c>
      <x:c r="Q98" s="79" t="n">
        <x:f>IF(D98="营业收入",-P98,P98)</x:f>
        <x:v>38.2777785</x:v>
      </x:c>
      <x:c r="R98" s="62" t="str">
        <x:v>CNY</x:v>
      </x:c>
      <x:c r="S98" s="62" t="str">
        <x:v>万元</x:v>
      </x:c>
      <x:c r="T98" s="62" t="str">
        <x:v>收益；源负号</x:v>
      </x:c>
      <x:c r="U98" s="62" t="str">
        <x:v>技术部</x:v>
      </x:c>
      <x:c r="V98" s="62" t="str">
        <x:v>新技术应用收入确认</x:v>
      </x:c>
      <x:c r="W98" s="62" t="str">
        <x:v>新技术应用收入确认</x:v>
      </x:c>
      <x:c r="X98" s="62" t="str">
        <x:v>17</x:v>
      </x:c>
      <x:c r="Y98" s="62" t="str">
        <x:v>17</x:v>
      </x:c>
      <x:c r="Z98" s="62" t="str">
        <x:v>17</x:v>
      </x:c>
      <x:c r="AA98" s="62" t="str">
        <x:v>新技术应用</x:v>
      </x:c>
      <x:c r="AB98" s="62" t="str">
        <x:v>PRJ-JS-新技-2025-003</x:v>
      </x:c>
      <x:c r="AC98" s="74" t="n">
        <x:v>46022</x:v>
      </x:c>
      <x:c r="AD98" s="71" t="str">
        <x:v>源记录保留</x:v>
      </x:c>
      <x:c r="AE98" s="71" t="str">
        <x:v>2025年实际执行.xlsx</x:v>
      </x:c>
      <x:c r="AF98" s="71" t="str">
        <x:v>Sheet</x:v>
      </x:c>
      <x:c r="AG98" s="71" t="n">
        <x:v>98</x:v>
      </x:c>
      <x:c r="AH98" s="71" t="str">
        <x:v>2025年实际执行.xlsx/Sheet!98:98</x:v>
      </x:c>
      <x:c r="AI98" s="62" t="str">
        <x:f>IF(F98=MONTH(L98),"OK","FAIL")</x:f>
        <x:v>OK</x:v>
      </x:c>
      <x:c r="AJ98" s="62" t="str">
        <x:f>IF(J98&lt;=L98,"OK","FAIL")</x:f>
        <x:v>OK</x:v>
      </x:c>
      <x:c r="AK98" s="62" t="str">
        <x:f>IF(D98&lt;&gt;"营业收入","OK",IF(AND(P98&lt;0,Q98&gt;0),"OK","FAIL"))</x:f>
        <x:v>OK</x:v>
      </x:c>
      <x:c r="AL98" s="62" t="str">
        <x:f>IF(COUNTIF($A$2:$A$218,A98)=1,"OK","FAIL")</x:f>
        <x:v>OK</x:v>
      </x:c>
    </x:row>
    <x:row r="99" ht="23" customHeight="1">
      <x:c r="A99" s="62" t="str">
        <x:v>DEMO01|2025|DOC2097|10</x:v>
      </x:c>
      <x:c r="B99" s="62" t="str">
        <x:v>SOURCE</x:v>
      </x:c>
      <x:c r="C99" s="62" t="str">
        <x:v>会议费</x:v>
      </x:c>
      <x:c r="D99" s="62" t="str">
        <x:v>会议费</x:v>
      </x:c>
      <x:c r="E99" s="62" t="n">
        <x:v>9</x:v>
      </x:c>
      <x:c r="F99" s="62" t="n">
        <x:v>9</x:v>
      </x:c>
      <x:c r="G99" s="62" t="str">
        <x:v>DOC2097</x:v>
      </x:c>
      <x:c r="H99" s="62" t="n">
        <x:v>10</x:v>
      </x:c>
      <x:c r="I99" s="74" t="n">
        <x:v>45915</x:v>
      </x:c>
      <x:c r="J99" s="74" t="n">
        <x:v>45915</x:v>
      </x:c>
      <x:c r="K99" s="74" t="n">
        <x:v>45915</x:v>
      </x:c>
      <x:c r="L99" s="74" t="n">
        <x:v>45915</x:v>
      </x:c>
      <x:c r="M99" s="77" t="n">
        <x:v>4</x:v>
      </x:c>
      <x:c r="N99" s="77"/>
      <x:c r="O99" s="78"/>
      <x:c r="P99" s="79" t="n">
        <x:f>M99</x:f>
        <x:v>4</x:v>
      </x:c>
      <x:c r="Q99" s="79" t="n">
        <x:f>IF(D99="营业收入",-P99,P99)</x:f>
        <x:v>4</x:v>
      </x:c>
      <x:c r="R99" s="62" t="str">
        <x:v>CNY</x:v>
      </x:c>
      <x:c r="S99" s="62" t="str">
        <x:v>万元</x:v>
      </x:c>
      <x:c r="T99" s="62" t="str">
        <x:v>费用不含税</x:v>
      </x:c>
      <x:c r="U99" s="62" t="str">
        <x:v>技术部</x:v>
      </x:c>
      <x:c r="V99" s="62" t="str">
        <x:v>新技术应用项目阶段评审会</x:v>
      </x:c>
      <x:c r="W99" s="62" t="str">
        <x:v>新技术应用项目阶段评审会</x:v>
      </x:c>
      <x:c r="X99" s="62" t="str">
        <x:v>苏州热工</x:v>
      </x:c>
      <x:c r="Y99" s="62" t="str">
        <x:v>苏州热工</x:v>
      </x:c>
      <x:c r="Z99" s="62" t="str">
        <x:v>17</x:v>
      </x:c>
      <x:c r="AA99" s="62" t="str">
        <x:v>新技术应用</x:v>
      </x:c>
      <x:c r="AB99" s="62" t="str">
        <x:v>PRJ-JS-新技-2025-003</x:v>
      </x:c>
      <x:c r="AC99" s="74" t="n">
        <x:v>46022</x:v>
      </x:c>
      <x:c r="AD99" s="71" t="str">
        <x:v>源记录保留</x:v>
      </x:c>
      <x:c r="AE99" s="71" t="str">
        <x:v>2025年实际执行.xlsx</x:v>
      </x:c>
      <x:c r="AF99" s="71" t="str">
        <x:v>Sheet</x:v>
      </x:c>
      <x:c r="AG99" s="71" t="n">
        <x:v>99</x:v>
      </x:c>
      <x:c r="AH99" s="71" t="str">
        <x:v>2025年实际执行.xlsx/Sheet!99:99</x:v>
      </x:c>
      <x:c r="AI99" s="62" t="str">
        <x:f>IF(F99=MONTH(L99),"OK","FAIL")</x:f>
        <x:v>OK</x:v>
      </x:c>
      <x:c r="AJ99" s="62" t="str">
        <x:f>IF(J99&lt;=L99,"OK","FAIL")</x:f>
        <x:v>OK</x:v>
      </x:c>
      <x:c r="AK99" s="62" t="str">
        <x:f>IF(D99&lt;&gt;"营业收入","OK",IF(AND(P99&lt;0,Q99&gt;0),"OK","FAIL"))</x:f>
        <x:v>OK</x:v>
      </x:c>
      <x:c r="AL99" s="62" t="str">
        <x:f>IF(COUNTIF($A$2:$A$218,A99)=1,"OK","FAIL")</x:f>
        <x:v>OK</x:v>
      </x:c>
    </x:row>
    <x:row r="100" ht="23" customHeight="1">
      <x:c r="A100" s="62" t="str">
        <x:v>DEMO01|2025|DOC2098|10</x:v>
      </x:c>
      <x:c r="B100" s="62" t="str">
        <x:v>SOURCE</x:v>
      </x:c>
      <x:c r="C100" s="62" t="str">
        <x:v>业务支持费</x:v>
      </x:c>
      <x:c r="D100" s="62" t="str">
        <x:v>业务支持费-技术配置</x:v>
      </x:c>
      <x:c r="E100" s="62" t="n">
        <x:v>3</x:v>
      </x:c>
      <x:c r="F100" s="62" t="n">
        <x:v>3</x:v>
      </x:c>
      <x:c r="G100" s="62" t="str">
        <x:v>DOC2098</x:v>
      </x:c>
      <x:c r="H100" s="62" t="n">
        <x:v>10</x:v>
      </x:c>
      <x:c r="I100" s="74" t="n">
        <x:v>45731</x:v>
      </x:c>
      <x:c r="J100" s="74" t="n">
        <x:v>45731</x:v>
      </x:c>
      <x:c r="K100" s="74" t="n">
        <x:v>45731</x:v>
      </x:c>
      <x:c r="L100" s="74" t="n">
        <x:v>45731</x:v>
      </x:c>
      <x:c r="M100" s="77" t="n">
        <x:v>11</x:v>
      </x:c>
      <x:c r="N100" s="77"/>
      <x:c r="O100" s="78"/>
      <x:c r="P100" s="79" t="n">
        <x:f>M100</x:f>
        <x:v>11</x:v>
      </x:c>
      <x:c r="Q100" s="79" t="n">
        <x:f>IF(D100="营业收入",-P100,P100)</x:f>
        <x:v>11</x:v>
      </x:c>
      <x:c r="R100" s="62" t="str">
        <x:v>CNY</x:v>
      </x:c>
      <x:c r="S100" s="62" t="str">
        <x:v>万元</x:v>
      </x:c>
      <x:c r="T100" s="62" t="str">
        <x:v>费用不含税</x:v>
      </x:c>
      <x:c r="U100" s="62" t="str">
        <x:v>技术部</x:v>
      </x:c>
      <x:c r="V100" s="62" t="str">
        <x:v>新技术应用技术配置_实施阶段</x:v>
      </x:c>
      <x:c r="W100" s="62" t="str">
        <x:v>新技术应用技术配置_实施阶段</x:v>
      </x:c>
      <x:c r="X100" s="62" t="str">
        <x:v>供应商3</x:v>
      </x:c>
      <x:c r="Y100" s="62" t="str">
        <x:v>供应商3</x:v>
      </x:c>
      <x:c r="Z100" s="62" t="str">
        <x:v>17</x:v>
      </x:c>
      <x:c r="AA100" s="62" t="str">
        <x:v>新技术应用</x:v>
      </x:c>
      <x:c r="AB100" s="62" t="str">
        <x:v>PRJ-JS-新技-2025-003</x:v>
      </x:c>
      <x:c r="AC100" s="74" t="n">
        <x:v>46022</x:v>
      </x:c>
      <x:c r="AD100" s="71" t="str">
        <x:v>源记录保留</x:v>
      </x:c>
      <x:c r="AE100" s="71" t="str">
        <x:v>2025年实际执行.xlsx</x:v>
      </x:c>
      <x:c r="AF100" s="71" t="str">
        <x:v>Sheet</x:v>
      </x:c>
      <x:c r="AG100" s="71" t="n">
        <x:v>100</x:v>
      </x:c>
      <x:c r="AH100" s="71" t="str">
        <x:v>2025年实际执行.xlsx/Sheet!100:100</x:v>
      </x:c>
      <x:c r="AI100" s="62" t="str">
        <x:f>IF(F100=MONTH(L100),"OK","FAIL")</x:f>
        <x:v>OK</x:v>
      </x:c>
      <x:c r="AJ100" s="62" t="str">
        <x:f>IF(J100&lt;=L100,"OK","FAIL")</x:f>
        <x:v>OK</x:v>
      </x:c>
      <x:c r="AK100" s="62" t="str">
        <x:f>IF(D100&lt;&gt;"营业收入","OK",IF(AND(P100&lt;0,Q100&gt;0),"OK","FAIL"))</x:f>
        <x:v>OK</x:v>
      </x:c>
      <x:c r="AL100" s="62" t="str">
        <x:f>IF(COUNTIF($A$2:$A$218,A100)=1,"OK","FAIL")</x:f>
        <x:v>OK</x:v>
      </x:c>
    </x:row>
    <x:row r="101" ht="23" customHeight="1">
      <x:c r="A101" s="62" t="str">
        <x:v>DEMO01|2025|DOC2099|10</x:v>
      </x:c>
      <x:c r="B101" s="62" t="str">
        <x:v>SOURCE</x:v>
      </x:c>
      <x:c r="C101" s="62" t="str">
        <x:v>生产物料费</x:v>
      </x:c>
      <x:c r="D101" s="62" t="str">
        <x:v>生产物料费</x:v>
      </x:c>
      <x:c r="E101" s="62" t="n">
        <x:v>3</x:v>
      </x:c>
      <x:c r="F101" s="62" t="n">
        <x:v>3</x:v>
      </x:c>
      <x:c r="G101" s="62" t="str">
        <x:v>DOC2099</x:v>
      </x:c>
      <x:c r="H101" s="62" t="n">
        <x:v>10</x:v>
      </x:c>
      <x:c r="I101" s="74" t="n">
        <x:v>45731</x:v>
      </x:c>
      <x:c r="J101" s="74" t="n">
        <x:v>45731</x:v>
      </x:c>
      <x:c r="K101" s="74" t="n">
        <x:v>45731</x:v>
      </x:c>
      <x:c r="L101" s="74" t="n">
        <x:v>45731</x:v>
      </x:c>
      <x:c r="M101" s="77" t="n">
        <x:v>2.004</x:v>
      </x:c>
      <x:c r="N101" s="77"/>
      <x:c r="O101" s="78"/>
      <x:c r="P101" s="79" t="n">
        <x:f>M101</x:f>
        <x:v>2.004</x:v>
      </x:c>
      <x:c r="Q101" s="79" t="n">
        <x:f>IF(D101="营业收入",-P101,P101)</x:f>
        <x:v>2.004</x:v>
      </x:c>
      <x:c r="R101" s="62" t="str">
        <x:v>CNY</x:v>
      </x:c>
      <x:c r="S101" s="62" t="str">
        <x:v>万元</x:v>
      </x:c>
      <x:c r="T101" s="62" t="str">
        <x:v>费用不含税</x:v>
      </x:c>
      <x:c r="U101" s="62" t="str">
        <x:v>技术部</x:v>
      </x:c>
      <x:c r="V101" s="62" t="str">
        <x:v>新技术应用现场物料采购</x:v>
      </x:c>
      <x:c r="W101" s="62" t="str">
        <x:v>新技术应用现场物料采购</x:v>
      </x:c>
      <x:c r="X101" s="62" t="str">
        <x:v>苏州热工</x:v>
      </x:c>
      <x:c r="Y101" s="62" t="str">
        <x:v>苏州热工</x:v>
      </x:c>
      <x:c r="Z101" s="62" t="str">
        <x:v>17</x:v>
      </x:c>
      <x:c r="AA101" s="62" t="str">
        <x:v>新技术应用</x:v>
      </x:c>
      <x:c r="AB101" s="62" t="str">
        <x:v>PRJ-JS-新技-2025-003</x:v>
      </x:c>
      <x:c r="AC101" s="74" t="n">
        <x:v>46022</x:v>
      </x:c>
      <x:c r="AD101" s="71" t="str">
        <x:v>源记录保留</x:v>
      </x:c>
      <x:c r="AE101" s="71" t="str">
        <x:v>2025年实际执行.xlsx</x:v>
      </x:c>
      <x:c r="AF101" s="71" t="str">
        <x:v>Sheet</x:v>
      </x:c>
      <x:c r="AG101" s="71" t="n">
        <x:v>101</x:v>
      </x:c>
      <x:c r="AH101" s="71" t="str">
        <x:v>2025年实际执行.xlsx/Sheet!101:101</x:v>
      </x:c>
      <x:c r="AI101" s="62" t="str">
        <x:f>IF(F101=MONTH(L101),"OK","FAIL")</x:f>
        <x:v>OK</x:v>
      </x:c>
      <x:c r="AJ101" s="62" t="str">
        <x:f>IF(J101&lt;=L101,"OK","FAIL")</x:f>
        <x:v>OK</x:v>
      </x:c>
      <x:c r="AK101" s="62" t="str">
        <x:f>IF(D101&lt;&gt;"营业收入","OK",IF(AND(P101&lt;0,Q101&gt;0),"OK","FAIL"))</x:f>
        <x:v>OK</x:v>
      </x:c>
      <x:c r="AL101" s="62" t="str">
        <x:f>IF(COUNTIF($A$2:$A$218,A101)=1,"OK","FAIL")</x:f>
        <x:v>OK</x:v>
      </x:c>
    </x:row>
    <x:row r="102" ht="23" customHeight="1">
      <x:c r="A102" s="62" t="str">
        <x:v>DEMO01|2025|DOC2100|10</x:v>
      </x:c>
      <x:c r="B102" s="62" t="str">
        <x:v>SOURCE</x:v>
      </x:c>
      <x:c r="C102" s="62" t="str">
        <x:v>办公费</x:v>
      </x:c>
      <x:c r="D102" s="62" t="str">
        <x:v>办公费</x:v>
      </x:c>
      <x:c r="E102" s="62" t="n">
        <x:v>11</x:v>
      </x:c>
      <x:c r="F102" s="62" t="n">
        <x:v>11</x:v>
      </x:c>
      <x:c r="G102" s="62" t="str">
        <x:v>DOC2100</x:v>
      </x:c>
      <x:c r="H102" s="62" t="n">
        <x:v>10</x:v>
      </x:c>
      <x:c r="I102" s="74" t="n">
        <x:v>45976</x:v>
      </x:c>
      <x:c r="J102" s="74" t="n">
        <x:v>45976</x:v>
      </x:c>
      <x:c r="K102" s="74" t="n">
        <x:v>45976</x:v>
      </x:c>
      <x:c r="L102" s="74" t="n">
        <x:v>45976</x:v>
      </x:c>
      <x:c r="M102" s="77" t="n">
        <x:v>0.4008</x:v>
      </x:c>
      <x:c r="N102" s="77"/>
      <x:c r="O102" s="78"/>
      <x:c r="P102" s="79" t="n">
        <x:f>M102</x:f>
        <x:v>0.4008</x:v>
      </x:c>
      <x:c r="Q102" s="79" t="n">
        <x:f>IF(D102="营业收入",-P102,P102)</x:f>
        <x:v>0.4008</x:v>
      </x:c>
      <x:c r="R102" s="62" t="str">
        <x:v>CNY</x:v>
      </x:c>
      <x:c r="S102" s="62" t="str">
        <x:v>万元</x:v>
      </x:c>
      <x:c r="T102" s="62" t="str">
        <x:v>费用不含税</x:v>
      </x:c>
      <x:c r="U102" s="62" t="str">
        <x:v>技术部</x:v>
      </x:c>
      <x:c r="V102" s="62" t="str">
        <x:v>新技术应用日常办公</x:v>
      </x:c>
      <x:c r="W102" s="62" t="str">
        <x:v>新技术应用日常办公</x:v>
      </x:c>
      <x:c r="X102" s="62" t="str">
        <x:v>苏州热工</x:v>
      </x:c>
      <x:c r="Y102" s="62" t="str">
        <x:v>苏州热工</x:v>
      </x:c>
      <x:c r="Z102" s="62" t="str">
        <x:v>17</x:v>
      </x:c>
      <x:c r="AA102" s="62" t="str">
        <x:v>新技术应用</x:v>
      </x:c>
      <x:c r="AB102" s="62" t="str">
        <x:v>PRJ-JS-新技-2025-003</x:v>
      </x:c>
      <x:c r="AC102" s="74" t="n">
        <x:v>46022</x:v>
      </x:c>
      <x:c r="AD102" s="71" t="str">
        <x:v>源记录保留</x:v>
      </x:c>
      <x:c r="AE102" s="71" t="str">
        <x:v>2025年实际执行.xlsx</x:v>
      </x:c>
      <x:c r="AF102" s="71" t="str">
        <x:v>Sheet</x:v>
      </x:c>
      <x:c r="AG102" s="71" t="n">
        <x:v>102</x:v>
      </x:c>
      <x:c r="AH102" s="71" t="str">
        <x:v>2025年实际执行.xlsx/Sheet!102:102</x:v>
      </x:c>
      <x:c r="AI102" s="62" t="str">
        <x:f>IF(F102=MONTH(L102),"OK","FAIL")</x:f>
        <x:v>OK</x:v>
      </x:c>
      <x:c r="AJ102" s="62" t="str">
        <x:f>IF(J102&lt;=L102,"OK","FAIL")</x:f>
        <x:v>OK</x:v>
      </x:c>
      <x:c r="AK102" s="62" t="str">
        <x:f>IF(D102&lt;&gt;"营业收入","OK",IF(AND(P102&lt;0,Q102&gt;0),"OK","FAIL"))</x:f>
        <x:v>OK</x:v>
      </x:c>
      <x:c r="AL102" s="62" t="str">
        <x:f>IF(COUNTIF($A$2:$A$218,A102)=1,"OK","FAIL")</x:f>
        <x:v>OK</x:v>
      </x:c>
    </x:row>
    <x:row r="103" ht="23" customHeight="1">
      <x:c r="A103" s="62" t="str">
        <x:v>DEMO01|2025|DOC2101|10</x:v>
      </x:c>
      <x:c r="B103" s="62" t="str">
        <x:v>CORRECTED</x:v>
      </x:c>
      <x:c r="C103" s="62" t="str">
        <x:v>交通运输费</x:v>
      </x:c>
      <x:c r="D103" s="62" t="str">
        <x:v>交通运输费</x:v>
      </x:c>
      <x:c r="E103" s="62" t="n">
        <x:v>8</x:v>
      </x:c>
      <x:c r="F103" s="62" t="n">
        <x:v>8</x:v>
      </x:c>
      <x:c r="G103" s="62" t="str">
        <x:v>DOC2101</x:v>
      </x:c>
      <x:c r="H103" s="62" t="n">
        <x:v>10</x:v>
      </x:c>
      <x:c r="I103" s="74" t="n">
        <x:v>45884</x:v>
      </x:c>
      <x:c r="J103" s="74" t="n">
        <x:v>45884</x:v>
      </x:c>
      <x:c r="K103" s="74" t="n">
        <x:v>45884</x:v>
      </x:c>
      <x:c r="L103" s="74" t="n">
        <x:v>45884</x:v>
      </x:c>
      <x:c r="M103" s="77" t="n">
        <x:v>0.668</x:v>
      </x:c>
      <x:c r="N103" s="77"/>
      <x:c r="O103" s="78"/>
      <x:c r="P103" s="79" t="n">
        <x:f>M103</x:f>
        <x:v>0.668</x:v>
      </x:c>
      <x:c r="Q103" s="79" t="n">
        <x:f>IF(D103="营业收入",-P103,P103)</x:f>
        <x:v>0.668</x:v>
      </x:c>
      <x:c r="R103" s="62" t="str">
        <x:v>CNY</x:v>
      </x:c>
      <x:c r="S103" s="62" t="str">
        <x:v>万元</x:v>
      </x:c>
      <x:c r="T103" s="62" t="str">
        <x:v>费用不含税</x:v>
      </x:c>
      <x:c r="U103" s="62" t="str">
        <x:v>技术部</x:v>
      </x:c>
      <x:c r="V103" s="62" t="str">
        <x:v>新技术应用材料运输</x:v>
      </x:c>
      <x:c r="W103" s="62" t="str">
        <x:v>新技术应用材料运输</x:v>
      </x:c>
      <x:c r="X103" s="62" t="str">
        <x:v>苏州热工</x:v>
      </x:c>
      <x:c r="Y103" s="62" t="str">
        <x:v>苏州热工</x:v>
      </x:c>
      <x:c r="Z103" s="62" t="str">
        <x:v>17</x:v>
      </x:c>
      <x:c r="AA103" s="62" t="str">
        <x:v>新技术应用</x:v>
      </x:c>
      <x:c r="AB103" s="62" t="str">
        <x:v>PRJ-JS-新技-2025-003</x:v>
      </x:c>
      <x:c r="AC103" s="74" t="n">
        <x:v>46022</x:v>
      </x:c>
      <x:c r="AD103" s="71" t="str">
        <x:v>补凭证行号</x:v>
      </x:c>
      <x:c r="AE103" s="71" t="str">
        <x:v>2025年实际执行.xlsx</x:v>
      </x:c>
      <x:c r="AF103" s="71" t="str">
        <x:v>Sheet</x:v>
      </x:c>
      <x:c r="AG103" s="71" t="n">
        <x:v>103</x:v>
      </x:c>
      <x:c r="AH103" s="71" t="str">
        <x:v>2025年实际执行.xlsx/Sheet!103:103</x:v>
      </x:c>
      <x:c r="AI103" s="62" t="str">
        <x:f>IF(F103=MONTH(L103),"OK","FAIL")</x:f>
        <x:v>OK</x:v>
      </x:c>
      <x:c r="AJ103" s="62" t="str">
        <x:f>IF(J103&lt;=L103,"OK","FAIL")</x:f>
        <x:v>OK</x:v>
      </x:c>
      <x:c r="AK103" s="62" t="str">
        <x:f>IF(D103&lt;&gt;"营业收入","OK",IF(AND(P103&lt;0,Q103&gt;0),"OK","FAIL"))</x:f>
        <x:v>OK</x:v>
      </x:c>
      <x:c r="AL103" s="62" t="str">
        <x:f>IF(COUNTIF($A$2:$A$218,A103)=1,"OK","FAIL")</x:f>
        <x:v>OK</x:v>
      </x:c>
    </x:row>
    <x:row r="104" ht="23" customHeight="1">
      <x:c r="A104" s="62" t="str">
        <x:v>DEMO01|2025|DOC2102|10</x:v>
      </x:c>
      <x:c r="B104" s="62" t="str">
        <x:v>SOURCE</x:v>
      </x:c>
      <x:c r="C104" s="62" t="str">
        <x:v>人工成本</x:v>
      </x:c>
      <x:c r="D104" s="62" t="str">
        <x:v>人工成本</x:v>
      </x:c>
      <x:c r="E104" s="62" t="n">
        <x:v>6</x:v>
      </x:c>
      <x:c r="F104" s="62" t="n">
        <x:v>6</x:v>
      </x:c>
      <x:c r="G104" s="62" t="str">
        <x:v>DOC2102</x:v>
      </x:c>
      <x:c r="H104" s="62" t="n">
        <x:v>10</x:v>
      </x:c>
      <x:c r="I104" s="74" t="n">
        <x:v>45838</x:v>
      </x:c>
      <x:c r="J104" s="74" t="n">
        <x:v>45838</x:v>
      </x:c>
      <x:c r="K104" s="74" t="n">
        <x:v>45838</x:v>
      </x:c>
      <x:c r="L104" s="74" t="n">
        <x:v>45838</x:v>
      </x:c>
      <x:c r="M104" s="77" t="n">
        <x:v>6</x:v>
      </x:c>
      <x:c r="N104" s="77"/>
      <x:c r="O104" s="78"/>
      <x:c r="P104" s="79" t="n">
        <x:f>M104</x:f>
        <x:v>6</x:v>
      </x:c>
      <x:c r="Q104" s="79" t="n">
        <x:f>IF(D104="营业收入",-P104,P104)</x:f>
        <x:v>6</x:v>
      </x:c>
      <x:c r="R104" s="62" t="str">
        <x:v>CNY</x:v>
      </x:c>
      <x:c r="S104" s="62" t="str">
        <x:v>万元</x:v>
      </x:c>
      <x:c r="T104" s="62" t="str">
        <x:v>费用不含税</x:v>
      </x:c>
      <x:c r="U104" s="62" t="str">
        <x:v>技术部</x:v>
      </x:c>
      <x:c r="V104" s="62" t="str">
        <x:v>新技术应用人工成本分摊</x:v>
      </x:c>
      <x:c r="W104" s="62" t="str">
        <x:v>新技术应用人工成本分摊</x:v>
      </x:c>
      <x:c r="X104" s="62" t="str">
        <x:v>17</x:v>
      </x:c>
      <x:c r="Y104" s="62" t="str">
        <x:v>17</x:v>
      </x:c>
      <x:c r="Z104" s="62" t="str">
        <x:v>17</x:v>
      </x:c>
      <x:c r="AA104" s="62" t="str">
        <x:v>新技术应用</x:v>
      </x:c>
      <x:c r="AB104" s="62" t="str">
        <x:v>PRJ-JS-新技-2025-003</x:v>
      </x:c>
      <x:c r="AC104" s="74" t="n">
        <x:v>46022</x:v>
      </x:c>
      <x:c r="AD104" s="71" t="str">
        <x:v>源记录保留</x:v>
      </x:c>
      <x:c r="AE104" s="71" t="str">
        <x:v>2025年实际执行.xlsx</x:v>
      </x:c>
      <x:c r="AF104" s="71" t="str">
        <x:v>Sheet</x:v>
      </x:c>
      <x:c r="AG104" s="71" t="n">
        <x:v>104</x:v>
      </x:c>
      <x:c r="AH104" s="71" t="str">
        <x:v>2025年实际执行.xlsx/Sheet!104:104</x:v>
      </x:c>
      <x:c r="AI104" s="62" t="str">
        <x:f>IF(F104=MONTH(L104),"OK","FAIL")</x:f>
        <x:v>OK</x:v>
      </x:c>
      <x:c r="AJ104" s="62" t="str">
        <x:f>IF(J104&lt;=L104,"OK","FAIL")</x:f>
        <x:v>OK</x:v>
      </x:c>
      <x:c r="AK104" s="62" t="str">
        <x:f>IF(D104&lt;&gt;"营业收入","OK",IF(AND(P104&lt;0,Q104&gt;0),"OK","FAIL"))</x:f>
        <x:v>OK</x:v>
      </x:c>
      <x:c r="AL104" s="62" t="str">
        <x:f>IF(COUNTIF($A$2:$A$218,A104)=1,"OK","FAIL")</x:f>
        <x:v>OK</x:v>
      </x:c>
    </x:row>
    <x:row r="105" ht="23" customHeight="1">
      <x:c r="A105" s="62" t="str">
        <x:v>DEMO01|2025|DOC2103|10</x:v>
      </x:c>
      <x:c r="B105" s="62" t="str">
        <x:v>SOURCE</x:v>
      </x:c>
      <x:c r="C105" s="62" t="str">
        <x:v>折旧摊销</x:v>
      </x:c>
      <x:c r="D105" s="62" t="str">
        <x:v>折旧摊销</x:v>
      </x:c>
      <x:c r="E105" s="62" t="n">
        <x:v>12</x:v>
      </x:c>
      <x:c r="F105" s="62" t="n">
        <x:v>12</x:v>
      </x:c>
      <x:c r="G105" s="62" t="str">
        <x:v>DOC2103</x:v>
      </x:c>
      <x:c r="H105" s="62" t="n">
        <x:v>10</x:v>
      </x:c>
      <x:c r="I105" s="74" t="n">
        <x:v>46022</x:v>
      </x:c>
      <x:c r="J105" s="74" t="n">
        <x:v>46022</x:v>
      </x:c>
      <x:c r="K105" s="74" t="n">
        <x:v>46022</x:v>
      </x:c>
      <x:c r="L105" s="74" t="n">
        <x:v>46022</x:v>
      </x:c>
      <x:c r="M105" s="77" t="n">
        <x:v>3</x:v>
      </x:c>
      <x:c r="N105" s="77"/>
      <x:c r="O105" s="78"/>
      <x:c r="P105" s="79" t="n">
        <x:f>M105</x:f>
        <x:v>3</x:v>
      </x:c>
      <x:c r="Q105" s="79" t="n">
        <x:f>IF(D105="营业收入",-P105,P105)</x:f>
        <x:v>3</x:v>
      </x:c>
      <x:c r="R105" s="62" t="str">
        <x:v>CNY</x:v>
      </x:c>
      <x:c r="S105" s="62" t="str">
        <x:v>万元</x:v>
      </x:c>
      <x:c r="T105" s="62" t="str">
        <x:v>费用不含税</x:v>
      </x:c>
      <x:c r="U105" s="62" t="str">
        <x:v>技术部</x:v>
      </x:c>
      <x:c r="V105" s="62" t="str">
        <x:v>新技术应用折旧摊销分摊</x:v>
      </x:c>
      <x:c r="W105" s="62" t="str">
        <x:v>新技术应用折旧摊销分摊</x:v>
      </x:c>
      <x:c r="X105" s="62" t="str">
        <x:v>17</x:v>
      </x:c>
      <x:c r="Y105" s="62" t="str">
        <x:v>17</x:v>
      </x:c>
      <x:c r="Z105" s="62" t="str">
        <x:v>17</x:v>
      </x:c>
      <x:c r="AA105" s="62" t="str">
        <x:v>新技术应用</x:v>
      </x:c>
      <x:c r="AB105" s="62" t="str">
        <x:v>PRJ-JS-新技-2025-003</x:v>
      </x:c>
      <x:c r="AC105" s="74" t="n">
        <x:v>46022</x:v>
      </x:c>
      <x:c r="AD105" s="71" t="str">
        <x:v>源记录保留</x:v>
      </x:c>
      <x:c r="AE105" s="71" t="str">
        <x:v>2025年实际执行.xlsx</x:v>
      </x:c>
      <x:c r="AF105" s="71" t="str">
        <x:v>Sheet</x:v>
      </x:c>
      <x:c r="AG105" s="71" t="n">
        <x:v>105</x:v>
      </x:c>
      <x:c r="AH105" s="71" t="str">
        <x:v>2025年实际执行.xlsx/Sheet!105:105</x:v>
      </x:c>
      <x:c r="AI105" s="62" t="str">
        <x:f>IF(F105=MONTH(L105),"OK","FAIL")</x:f>
        <x:v>OK</x:v>
      </x:c>
      <x:c r="AJ105" s="62" t="str">
        <x:f>IF(J105&lt;=L105,"OK","FAIL")</x:f>
        <x:v>OK</x:v>
      </x:c>
      <x:c r="AK105" s="62" t="str">
        <x:f>IF(D105&lt;&gt;"营业收入","OK",IF(AND(P105&lt;0,Q105&gt;0),"OK","FAIL"))</x:f>
        <x:v>OK</x:v>
      </x:c>
      <x:c r="AL105" s="62" t="str">
        <x:f>IF(COUNTIF($A$2:$A$218,A105)=1,"OK","FAIL")</x:f>
        <x:v>OK</x:v>
      </x:c>
    </x:row>
    <x:row r="106" ht="23" customHeight="1">
      <x:c r="A106" s="62" t="str">
        <x:v>DEMO01|2025|DOC2104|10</x:v>
      </x:c>
      <x:c r="B106" s="62" t="str">
        <x:v>SOURCE</x:v>
      </x:c>
      <x:c r="C106" s="62" t="str">
        <x:v>营业收入</x:v>
      </x:c>
      <x:c r="D106" s="62" t="str">
        <x:v>营业收入</x:v>
      </x:c>
      <x:c r="E106" s="62" t="n">
        <x:v>6</x:v>
      </x:c>
      <x:c r="F106" s="62" t="n">
        <x:v>6</x:v>
      </x:c>
      <x:c r="G106" s="62" t="str">
        <x:v>DOC2104</x:v>
      </x:c>
      <x:c r="H106" s="62" t="n">
        <x:v>10</x:v>
      </x:c>
      <x:c r="I106" s="74" t="n">
        <x:v>45823</x:v>
      </x:c>
      <x:c r="J106" s="74" t="n">
        <x:v>45823</x:v>
      </x:c>
      <x:c r="K106" s="74" t="n">
        <x:v>45823</x:v>
      </x:c>
      <x:c r="L106" s="74" t="n">
        <x:v>45823</x:v>
      </x:c>
      <x:c r="M106" s="77" t="n">
        <x:v>-29.9722215</x:v>
      </x:c>
      <x:c r="N106" s="77"/>
      <x:c r="O106" s="78"/>
      <x:c r="P106" s="79" t="n">
        <x:f>M106</x:f>
        <x:v>-29.9722215</x:v>
      </x:c>
      <x:c r="Q106" s="79" t="n">
        <x:f>IF(D106="营业收入",-P106,P106)</x:f>
        <x:v>29.9722215</x:v>
      </x:c>
      <x:c r="R106" s="62" t="str">
        <x:v>CNY</x:v>
      </x:c>
      <x:c r="S106" s="62" t="str">
        <x:v>万元</x:v>
      </x:c>
      <x:c r="T106" s="62" t="str">
        <x:v>收益；源负号</x:v>
      </x:c>
      <x:c r="U106" s="62" t="str">
        <x:v>安全运行部</x:v>
      </x:c>
      <x:c r="V106" s="62" t="str">
        <x:v>概率安全分析收入确认</x:v>
      </x:c>
      <x:c r="W106" s="62" t="str">
        <x:v>概率安全分析收入确认</x:v>
      </x:c>
      <x:c r="X106" s="62" t="str">
        <x:v>17</x:v>
      </x:c>
      <x:c r="Y106" s="62" t="str">
        <x:v>17</x:v>
      </x:c>
      <x:c r="Z106" s="62" t="str">
        <x:v>17</x:v>
      </x:c>
      <x:c r="AA106" s="62" t="str">
        <x:v>概率安全分析</x:v>
      </x:c>
      <x:c r="AB106" s="62" t="str">
        <x:v>PRJ-AQ-概率-2024-001</x:v>
      </x:c>
      <x:c r="AC106" s="74" t="n">
        <x:v>46022</x:v>
      </x:c>
      <x:c r="AD106" s="71" t="str">
        <x:v>源记录保留</x:v>
      </x:c>
      <x:c r="AE106" s="71" t="str">
        <x:v>2025年实际执行.xlsx</x:v>
      </x:c>
      <x:c r="AF106" s="71" t="str">
        <x:v>Sheet</x:v>
      </x:c>
      <x:c r="AG106" s="71" t="n">
        <x:v>106</x:v>
      </x:c>
      <x:c r="AH106" s="71" t="str">
        <x:v>2025年实际执行.xlsx/Sheet!106:106</x:v>
      </x:c>
      <x:c r="AI106" s="62" t="str">
        <x:f>IF(F106=MONTH(L106),"OK","FAIL")</x:f>
        <x:v>OK</x:v>
      </x:c>
      <x:c r="AJ106" s="62" t="str">
        <x:f>IF(J106&lt;=L106,"OK","FAIL")</x:f>
        <x:v>OK</x:v>
      </x:c>
      <x:c r="AK106" s="62" t="str">
        <x:f>IF(D106&lt;&gt;"营业收入","OK",IF(AND(P106&lt;0,Q106&gt;0),"OK","FAIL"))</x:f>
        <x:v>OK</x:v>
      </x:c>
      <x:c r="AL106" s="62" t="str">
        <x:f>IF(COUNTIF($A$2:$A$218,A106)=1,"OK","FAIL")</x:f>
        <x:v>OK</x:v>
      </x:c>
    </x:row>
    <x:row r="107" ht="23" customHeight="1">
      <x:c r="A107" s="62" t="str">
        <x:v>DEMO01|2025|DOC2105|10</x:v>
      </x:c>
      <x:c r="B107" s="62" t="str">
        <x:v>SOURCE</x:v>
      </x:c>
      <x:c r="C107" s="62" t="str">
        <x:v>会议费</x:v>
      </x:c>
      <x:c r="D107" s="62" t="str">
        <x:v>会议费</x:v>
      </x:c>
      <x:c r="E107" s="62" t="n">
        <x:v>3</x:v>
      </x:c>
      <x:c r="F107" s="62" t="n">
        <x:v>3</x:v>
      </x:c>
      <x:c r="G107" s="62" t="str">
        <x:v>DOC2105</x:v>
      </x:c>
      <x:c r="H107" s="62" t="n">
        <x:v>10</x:v>
      </x:c>
      <x:c r="I107" s="74" t="n">
        <x:v>45731</x:v>
      </x:c>
      <x:c r="J107" s="74" t="n">
        <x:v>45731</x:v>
      </x:c>
      <x:c r="K107" s="74" t="n">
        <x:v>45731</x:v>
      </x:c>
      <x:c r="L107" s="74" t="n">
        <x:v>45731</x:v>
      </x:c>
      <x:c r="M107" s="77" t="n">
        <x:v>3</x:v>
      </x:c>
      <x:c r="N107" s="77"/>
      <x:c r="O107" s="78"/>
      <x:c r="P107" s="79" t="n">
        <x:f>M107</x:f>
        <x:v>3</x:v>
      </x:c>
      <x:c r="Q107" s="79" t="n">
        <x:f>IF(D107="营业收入",-P107,P107)</x:f>
        <x:v>3</x:v>
      </x:c>
      <x:c r="R107" s="62" t="str">
        <x:v>CNY</x:v>
      </x:c>
      <x:c r="S107" s="62" t="str">
        <x:v>万元</x:v>
      </x:c>
      <x:c r="T107" s="62" t="str">
        <x:v>费用不含税</x:v>
      </x:c>
      <x:c r="U107" s="62" t="str">
        <x:v>安全运行部</x:v>
      </x:c>
      <x:c r="V107" s="62" t="str">
        <x:v>概率安全分析项目阶段评审会</x:v>
      </x:c>
      <x:c r="W107" s="62" t="str">
        <x:v>概率安全分析项目阶段评审会</x:v>
      </x:c>
      <x:c r="X107" s="62" t="str">
        <x:v>上海电气</x:v>
      </x:c>
      <x:c r="Y107" s="62" t="str">
        <x:v>上海电气</x:v>
      </x:c>
      <x:c r="Z107" s="62" t="str">
        <x:v>17</x:v>
      </x:c>
      <x:c r="AA107" s="62" t="str">
        <x:v>概率安全分析</x:v>
      </x:c>
      <x:c r="AB107" s="62" t="str">
        <x:v>PRJ-AQ-概率-2024-001</x:v>
      </x:c>
      <x:c r="AC107" s="74" t="n">
        <x:v>46022</x:v>
      </x:c>
      <x:c r="AD107" s="71" t="str">
        <x:v>源记录保留</x:v>
      </x:c>
      <x:c r="AE107" s="71" t="str">
        <x:v>2025年实际执行.xlsx</x:v>
      </x:c>
      <x:c r="AF107" s="71" t="str">
        <x:v>Sheet</x:v>
      </x:c>
      <x:c r="AG107" s="71" t="n">
        <x:v>107</x:v>
      </x:c>
      <x:c r="AH107" s="71" t="str">
        <x:v>2025年实际执行.xlsx/Sheet!107:107</x:v>
      </x:c>
      <x:c r="AI107" s="62" t="str">
        <x:f>IF(F107=MONTH(L107),"OK","FAIL")</x:f>
        <x:v>OK</x:v>
      </x:c>
      <x:c r="AJ107" s="62" t="str">
        <x:f>IF(J107&lt;=L107,"OK","FAIL")</x:f>
        <x:v>OK</x:v>
      </x:c>
      <x:c r="AK107" s="62" t="str">
        <x:f>IF(D107&lt;&gt;"营业收入","OK",IF(AND(P107&lt;0,Q107&gt;0),"OK","FAIL"))</x:f>
        <x:v>OK</x:v>
      </x:c>
      <x:c r="AL107" s="62" t="str">
        <x:f>IF(COUNTIF($A$2:$A$218,A107)=1,"OK","FAIL")</x:f>
        <x:v>OK</x:v>
      </x:c>
    </x:row>
    <x:row r="108" ht="23" customHeight="1">
      <x:c r="A108" s="62" t="str">
        <x:v>DEMO01|2025|DOC2106|10</x:v>
      </x:c>
      <x:c r="B108" s="62" t="str">
        <x:v>SOURCE</x:v>
      </x:c>
      <x:c r="C108" s="62" t="str">
        <x:v>业务支持费</x:v>
      </x:c>
      <x:c r="D108" s="62" t="str">
        <x:v>业务支持费-技术配置</x:v>
      </x:c>
      <x:c r="E108" s="62" t="n">
        <x:v>5</x:v>
      </x:c>
      <x:c r="F108" s="62" t="n">
        <x:v>5</x:v>
      </x:c>
      <x:c r="G108" s="62" t="str">
        <x:v>DOC2106</x:v>
      </x:c>
      <x:c r="H108" s="62" t="n">
        <x:v>10</x:v>
      </x:c>
      <x:c r="I108" s="74" t="n">
        <x:v>45792</x:v>
      </x:c>
      <x:c r="J108" s="74" t="n">
        <x:v>45792</x:v>
      </x:c>
      <x:c r="K108" s="74" t="n">
        <x:v>45792</x:v>
      </x:c>
      <x:c r="L108" s="74" t="n">
        <x:v>45792</x:v>
      </x:c>
      <x:c r="M108" s="77" t="n">
        <x:v>13</x:v>
      </x:c>
      <x:c r="N108" s="77"/>
      <x:c r="O108" s="78"/>
      <x:c r="P108" s="79" t="n">
        <x:f>M108</x:f>
        <x:v>13</x:v>
      </x:c>
      <x:c r="Q108" s="79" t="n">
        <x:f>IF(D108="营业收入",-P108,P108)</x:f>
        <x:v>13</x:v>
      </x:c>
      <x:c r="R108" s="62" t="str">
        <x:v>CNY</x:v>
      </x:c>
      <x:c r="S108" s="62" t="str">
        <x:v>万元</x:v>
      </x:c>
      <x:c r="T108" s="62" t="str">
        <x:v>费用不含税</x:v>
      </x:c>
      <x:c r="U108" s="62" t="str">
        <x:v>安全运行部</x:v>
      </x:c>
      <x:c r="V108" s="62" t="str">
        <x:v>概率安全分析技术配置_实施阶段</x:v>
      </x:c>
      <x:c r="W108" s="62" t="str">
        <x:v>概率安全分析技术配置_实施阶段</x:v>
      </x:c>
      <x:c r="X108" s="62" t="str">
        <x:v>供应商1</x:v>
      </x:c>
      <x:c r="Y108" s="62" t="str">
        <x:v>供应商1</x:v>
      </x:c>
      <x:c r="Z108" s="62" t="str">
        <x:v>17</x:v>
      </x:c>
      <x:c r="AA108" s="62" t="str">
        <x:v>概率安全分析</x:v>
      </x:c>
      <x:c r="AB108" s="62" t="str">
        <x:v>PRJ-AQ-概率-2024-001</x:v>
      </x:c>
      <x:c r="AC108" s="74" t="n">
        <x:v>46022</x:v>
      </x:c>
      <x:c r="AD108" s="71" t="str">
        <x:v>源记录保留</x:v>
      </x:c>
      <x:c r="AE108" s="71" t="str">
        <x:v>2025年实际执行.xlsx</x:v>
      </x:c>
      <x:c r="AF108" s="71" t="str">
        <x:v>Sheet</x:v>
      </x:c>
      <x:c r="AG108" s="71" t="n">
        <x:v>108</x:v>
      </x:c>
      <x:c r="AH108" s="71" t="str">
        <x:v>2025年实际执行.xlsx/Sheet!108:108</x:v>
      </x:c>
      <x:c r="AI108" s="62" t="str">
        <x:f>IF(F108=MONTH(L108),"OK","FAIL")</x:f>
        <x:v>OK</x:v>
      </x:c>
      <x:c r="AJ108" s="62" t="str">
        <x:f>IF(J108&lt;=L108,"OK","FAIL")</x:f>
        <x:v>OK</x:v>
      </x:c>
      <x:c r="AK108" s="62" t="str">
        <x:f>IF(D108&lt;&gt;"营业收入","OK",IF(AND(P108&lt;0,Q108&gt;0),"OK","FAIL"))</x:f>
        <x:v>OK</x:v>
      </x:c>
      <x:c r="AL108" s="62" t="str">
        <x:f>IF(COUNTIF($A$2:$A$218,A108)=1,"OK","FAIL")</x:f>
        <x:v>OK</x:v>
      </x:c>
    </x:row>
    <x:row r="109" ht="23" customHeight="1">
      <x:c r="A109" s="62" t="str">
        <x:v>DEMO01|2025|DOC2107|10</x:v>
      </x:c>
      <x:c r="B109" s="62" t="str">
        <x:v>SOURCE</x:v>
      </x:c>
      <x:c r="C109" s="62" t="str">
        <x:v>生产物料费</x:v>
      </x:c>
      <x:c r="D109" s="62" t="str">
        <x:v>生产物料费</x:v>
      </x:c>
      <x:c r="E109" s="62" t="n">
        <x:v>9</x:v>
      </x:c>
      <x:c r="F109" s="62" t="n">
        <x:v>9</x:v>
      </x:c>
      <x:c r="G109" s="62" t="str">
        <x:v>DOC2107</x:v>
      </x:c>
      <x:c r="H109" s="62" t="n">
        <x:v>10</x:v>
      </x:c>
      <x:c r="I109" s="74" t="n">
        <x:v>45915</x:v>
      </x:c>
      <x:c r="J109" s="74" t="n">
        <x:v>45915</x:v>
      </x:c>
      <x:c r="K109" s="74" t="n">
        <x:v>45915</x:v>
      </x:c>
      <x:c r="L109" s="74" t="n">
        <x:v>45915</x:v>
      </x:c>
      <x:c r="M109" s="77" t="n">
        <x:v>2.397</x:v>
      </x:c>
      <x:c r="N109" s="77"/>
      <x:c r="O109" s="78"/>
      <x:c r="P109" s="79" t="n">
        <x:f>M109</x:f>
        <x:v>2.397</x:v>
      </x:c>
      <x:c r="Q109" s="79" t="n">
        <x:f>IF(D109="营业收入",-P109,P109)</x:f>
        <x:v>2.397</x:v>
      </x:c>
      <x:c r="R109" s="62" t="str">
        <x:v>CNY</x:v>
      </x:c>
      <x:c r="S109" s="62" t="str">
        <x:v>万元</x:v>
      </x:c>
      <x:c r="T109" s="62" t="str">
        <x:v>费用不含税</x:v>
      </x:c>
      <x:c r="U109" s="62" t="str">
        <x:v>安全运行部</x:v>
      </x:c>
      <x:c r="V109" s="62" t="str">
        <x:v>概率安全分析现场物料采购</x:v>
      </x:c>
      <x:c r="W109" s="62" t="str">
        <x:v>概率安全分析现场物料采购</x:v>
      </x:c>
      <x:c r="X109" s="62" t="str">
        <x:v>上海电气</x:v>
      </x:c>
      <x:c r="Y109" s="62" t="str">
        <x:v>上海电气</x:v>
      </x:c>
      <x:c r="Z109" s="62" t="str">
        <x:v>17</x:v>
      </x:c>
      <x:c r="AA109" s="62" t="str">
        <x:v>概率安全分析</x:v>
      </x:c>
      <x:c r="AB109" s="62" t="str">
        <x:v>PRJ-AQ-概率-2024-001</x:v>
      </x:c>
      <x:c r="AC109" s="74" t="n">
        <x:v>46022</x:v>
      </x:c>
      <x:c r="AD109" s="71" t="str">
        <x:v>源记录保留</x:v>
      </x:c>
      <x:c r="AE109" s="71" t="str">
        <x:v>2025年实际执行.xlsx</x:v>
      </x:c>
      <x:c r="AF109" s="71" t="str">
        <x:v>Sheet</x:v>
      </x:c>
      <x:c r="AG109" s="71" t="n">
        <x:v>109</x:v>
      </x:c>
      <x:c r="AH109" s="71" t="str">
        <x:v>2025年实际执行.xlsx/Sheet!109:109</x:v>
      </x:c>
      <x:c r="AI109" s="62" t="str">
        <x:f>IF(F109=MONTH(L109),"OK","FAIL")</x:f>
        <x:v>OK</x:v>
      </x:c>
      <x:c r="AJ109" s="62" t="str">
        <x:f>IF(J109&lt;=L109,"OK","FAIL")</x:f>
        <x:v>OK</x:v>
      </x:c>
      <x:c r="AK109" s="62" t="str">
        <x:f>IF(D109&lt;&gt;"营业收入","OK",IF(AND(P109&lt;0,Q109&gt;0),"OK","FAIL"))</x:f>
        <x:v>OK</x:v>
      </x:c>
      <x:c r="AL109" s="62" t="str">
        <x:f>IF(COUNTIF($A$2:$A$218,A109)=1,"OK","FAIL")</x:f>
        <x:v>OK</x:v>
      </x:c>
    </x:row>
    <x:row r="110" ht="23" customHeight="1">
      <x:c r="A110" s="62" t="str">
        <x:v>DEMO01|2025|DOC2108|10</x:v>
      </x:c>
      <x:c r="B110" s="62" t="str">
        <x:v>SOURCE</x:v>
      </x:c>
      <x:c r="C110" s="62" t="str">
        <x:v>办公费</x:v>
      </x:c>
      <x:c r="D110" s="62" t="str">
        <x:v>办公费</x:v>
      </x:c>
      <x:c r="E110" s="62" t="n">
        <x:v>10</x:v>
      </x:c>
      <x:c r="F110" s="62" t="n">
        <x:v>10</x:v>
      </x:c>
      <x:c r="G110" s="62" t="str">
        <x:v>DOC2108</x:v>
      </x:c>
      <x:c r="H110" s="62" t="n">
        <x:v>10</x:v>
      </x:c>
      <x:c r="I110" s="74" t="n">
        <x:v>45945</x:v>
      </x:c>
      <x:c r="J110" s="74" t="n">
        <x:v>45945</x:v>
      </x:c>
      <x:c r="K110" s="74" t="n">
        <x:v>45945</x:v>
      </x:c>
      <x:c r="L110" s="74" t="n">
        <x:v>45945</x:v>
      </x:c>
      <x:c r="M110" s="77" t="n">
        <x:v>0.4794</x:v>
      </x:c>
      <x:c r="N110" s="77"/>
      <x:c r="O110" s="78"/>
      <x:c r="P110" s="79" t="n">
        <x:f>M110</x:f>
        <x:v>0.4794</x:v>
      </x:c>
      <x:c r="Q110" s="79" t="n">
        <x:f>IF(D110="营业收入",-P110,P110)</x:f>
        <x:v>0.4794</x:v>
      </x:c>
      <x:c r="R110" s="62" t="str">
        <x:v>CNY</x:v>
      </x:c>
      <x:c r="S110" s="62" t="str">
        <x:v>万元</x:v>
      </x:c>
      <x:c r="T110" s="62" t="str">
        <x:v>费用不含税</x:v>
      </x:c>
      <x:c r="U110" s="62" t="str">
        <x:v>安全运行部</x:v>
      </x:c>
      <x:c r="V110" s="62" t="str">
        <x:v>概率安全分析日常办公</x:v>
      </x:c>
      <x:c r="W110" s="62" t="str">
        <x:v>概率安全分析日常办公</x:v>
      </x:c>
      <x:c r="X110" s="62" t="str">
        <x:v>上海电气</x:v>
      </x:c>
      <x:c r="Y110" s="62" t="str">
        <x:v>上海电气</x:v>
      </x:c>
      <x:c r="Z110" s="62" t="str">
        <x:v>17</x:v>
      </x:c>
      <x:c r="AA110" s="62" t="str">
        <x:v>概率安全分析</x:v>
      </x:c>
      <x:c r="AB110" s="62" t="str">
        <x:v>PRJ-AQ-概率-2024-001</x:v>
      </x:c>
      <x:c r="AC110" s="74" t="n">
        <x:v>46022</x:v>
      </x:c>
      <x:c r="AD110" s="71" t="str">
        <x:v>源记录保留</x:v>
      </x:c>
      <x:c r="AE110" s="71" t="str">
        <x:v>2025年实际执行.xlsx</x:v>
      </x:c>
      <x:c r="AF110" s="71" t="str">
        <x:v>Sheet</x:v>
      </x:c>
      <x:c r="AG110" s="71" t="n">
        <x:v>110</x:v>
      </x:c>
      <x:c r="AH110" s="71" t="str">
        <x:v>2025年实际执行.xlsx/Sheet!110:110</x:v>
      </x:c>
      <x:c r="AI110" s="62" t="str">
        <x:f>IF(F110=MONTH(L110),"OK","FAIL")</x:f>
        <x:v>OK</x:v>
      </x:c>
      <x:c r="AJ110" s="62" t="str">
        <x:f>IF(J110&lt;=L110,"OK","FAIL")</x:f>
        <x:v>OK</x:v>
      </x:c>
      <x:c r="AK110" s="62" t="str">
        <x:f>IF(D110&lt;&gt;"营业收入","OK",IF(AND(P110&lt;0,Q110&gt;0),"OK","FAIL"))</x:f>
        <x:v>OK</x:v>
      </x:c>
      <x:c r="AL110" s="62" t="str">
        <x:f>IF(COUNTIF($A$2:$A$218,A110)=1,"OK","FAIL")</x:f>
        <x:v>OK</x:v>
      </x:c>
    </x:row>
    <x:row r="111" ht="23" customHeight="1">
      <x:c r="A111" s="62" t="str">
        <x:v>DEMO01|2025|DOC2109|10</x:v>
      </x:c>
      <x:c r="B111" s="62" t="str">
        <x:v>CORRECTED</x:v>
      </x:c>
      <x:c r="C111" s="62" t="str">
        <x:v>交通运输费</x:v>
      </x:c>
      <x:c r="D111" s="62" t="str">
        <x:v>交通运输费</x:v>
      </x:c>
      <x:c r="E111" s="62" t="n">
        <x:v>7</x:v>
      </x:c>
      <x:c r="F111" s="62" t="n">
        <x:v>7</x:v>
      </x:c>
      <x:c r="G111" s="62" t="str">
        <x:v>DOC2109</x:v>
      </x:c>
      <x:c r="H111" s="62" t="n">
        <x:v>10</x:v>
      </x:c>
      <x:c r="I111" s="74" t="n">
        <x:v>45853</x:v>
      </x:c>
      <x:c r="J111" s="74" t="n">
        <x:v>45853</x:v>
      </x:c>
      <x:c r="K111" s="74" t="n">
        <x:v>45853</x:v>
      </x:c>
      <x:c r="L111" s="74" t="n">
        <x:v>45853</x:v>
      </x:c>
      <x:c r="M111" s="77" t="n">
        <x:v>0.799</x:v>
      </x:c>
      <x:c r="N111" s="77"/>
      <x:c r="O111" s="78"/>
      <x:c r="P111" s="79" t="n">
        <x:f>M111</x:f>
        <x:v>0.799</x:v>
      </x:c>
      <x:c r="Q111" s="79" t="n">
        <x:f>IF(D111="营业收入",-P111,P111)</x:f>
        <x:v>0.799</x:v>
      </x:c>
      <x:c r="R111" s="62" t="str">
        <x:v>CNY</x:v>
      </x:c>
      <x:c r="S111" s="62" t="str">
        <x:v>万元</x:v>
      </x:c>
      <x:c r="T111" s="62" t="str">
        <x:v>费用不含税</x:v>
      </x:c>
      <x:c r="U111" s="62" t="str">
        <x:v>安全运行部</x:v>
      </x:c>
      <x:c r="V111" s="62" t="str">
        <x:v>概率安全分析材料运输</x:v>
      </x:c>
      <x:c r="W111" s="62" t="str">
        <x:v>概率安全分析材料运输</x:v>
      </x:c>
      <x:c r="X111" s="62" t="str">
        <x:v>上海电气</x:v>
      </x:c>
      <x:c r="Y111" s="62" t="str">
        <x:v>上海电气</x:v>
      </x:c>
      <x:c r="Z111" s="62" t="str">
        <x:v>17</x:v>
      </x:c>
      <x:c r="AA111" s="62" t="str">
        <x:v>概率安全分析</x:v>
      </x:c>
      <x:c r="AB111" s="62" t="str">
        <x:v>PRJ-AQ-概率-2024-001</x:v>
      </x:c>
      <x:c r="AC111" s="74" t="n">
        <x:v>46022</x:v>
      </x:c>
      <x:c r="AD111" s="71" t="str">
        <x:v>补凭证行号</x:v>
      </x:c>
      <x:c r="AE111" s="71" t="str">
        <x:v>2025年实际执行.xlsx</x:v>
      </x:c>
      <x:c r="AF111" s="71" t="str">
        <x:v>Sheet</x:v>
      </x:c>
      <x:c r="AG111" s="71" t="n">
        <x:v>111</x:v>
      </x:c>
      <x:c r="AH111" s="71" t="str">
        <x:v>2025年实际执行.xlsx/Sheet!111:111</x:v>
      </x:c>
      <x:c r="AI111" s="62" t="str">
        <x:f>IF(F111=MONTH(L111),"OK","FAIL")</x:f>
        <x:v>OK</x:v>
      </x:c>
      <x:c r="AJ111" s="62" t="str">
        <x:f>IF(J111&lt;=L111,"OK","FAIL")</x:f>
        <x:v>OK</x:v>
      </x:c>
      <x:c r="AK111" s="62" t="str">
        <x:f>IF(D111&lt;&gt;"营业收入","OK",IF(AND(P111&lt;0,Q111&gt;0),"OK","FAIL"))</x:f>
        <x:v>OK</x:v>
      </x:c>
      <x:c r="AL111" s="62" t="str">
        <x:f>IF(COUNTIF($A$2:$A$218,A111)=1,"OK","FAIL")</x:f>
        <x:v>OK</x:v>
      </x:c>
    </x:row>
    <x:row r="112" ht="23" customHeight="1">
      <x:c r="A112" s="62" t="str">
        <x:v>DEMO01|2025|DOC2110|10</x:v>
      </x:c>
      <x:c r="B112" s="62" t="str">
        <x:v>SOURCE</x:v>
      </x:c>
      <x:c r="C112" s="62" t="str">
        <x:v>人工成本</x:v>
      </x:c>
      <x:c r="D112" s="62" t="str">
        <x:v>人工成本</x:v>
      </x:c>
      <x:c r="E112" s="62" t="n">
        <x:v>6</x:v>
      </x:c>
      <x:c r="F112" s="62" t="n">
        <x:v>6</x:v>
      </x:c>
      <x:c r="G112" s="62" t="str">
        <x:v>DOC2110</x:v>
      </x:c>
      <x:c r="H112" s="62" t="n">
        <x:v>10</x:v>
      </x:c>
      <x:c r="I112" s="74" t="n">
        <x:v>45838</x:v>
      </x:c>
      <x:c r="J112" s="74" t="n">
        <x:v>45838</x:v>
      </x:c>
      <x:c r="K112" s="74" t="n">
        <x:v>45838</x:v>
      </x:c>
      <x:c r="L112" s="74" t="n">
        <x:v>45838</x:v>
      </x:c>
      <x:c r="M112" s="77" t="n">
        <x:v>10</x:v>
      </x:c>
      <x:c r="N112" s="77"/>
      <x:c r="O112" s="78"/>
      <x:c r="P112" s="79" t="n">
        <x:f>M112</x:f>
        <x:v>10</x:v>
      </x:c>
      <x:c r="Q112" s="79" t="n">
        <x:f>IF(D112="营业收入",-P112,P112)</x:f>
        <x:v>10</x:v>
      </x:c>
      <x:c r="R112" s="62" t="str">
        <x:v>CNY</x:v>
      </x:c>
      <x:c r="S112" s="62" t="str">
        <x:v>万元</x:v>
      </x:c>
      <x:c r="T112" s="62" t="str">
        <x:v>费用不含税</x:v>
      </x:c>
      <x:c r="U112" s="62" t="str">
        <x:v>安全运行部</x:v>
      </x:c>
      <x:c r="V112" s="62" t="str">
        <x:v>概率安全分析人工成本分摊</x:v>
      </x:c>
      <x:c r="W112" s="62" t="str">
        <x:v>概率安全分析人工成本分摊</x:v>
      </x:c>
      <x:c r="X112" s="62" t="str">
        <x:v>17</x:v>
      </x:c>
      <x:c r="Y112" s="62" t="str">
        <x:v>17</x:v>
      </x:c>
      <x:c r="Z112" s="62" t="str">
        <x:v>17</x:v>
      </x:c>
      <x:c r="AA112" s="62" t="str">
        <x:v>概率安全分析</x:v>
      </x:c>
      <x:c r="AB112" s="62" t="str">
        <x:v>PRJ-AQ-概率-2024-001</x:v>
      </x:c>
      <x:c r="AC112" s="74" t="n">
        <x:v>46022</x:v>
      </x:c>
      <x:c r="AD112" s="71" t="str">
        <x:v>源记录保留</x:v>
      </x:c>
      <x:c r="AE112" s="71" t="str">
        <x:v>2025年实际执行.xlsx</x:v>
      </x:c>
      <x:c r="AF112" s="71" t="str">
        <x:v>Sheet</x:v>
      </x:c>
      <x:c r="AG112" s="71" t="n">
        <x:v>112</x:v>
      </x:c>
      <x:c r="AH112" s="71" t="str">
        <x:v>2025年实际执行.xlsx/Sheet!112:112</x:v>
      </x:c>
      <x:c r="AI112" s="62" t="str">
        <x:f>IF(F112=MONTH(L112),"OK","FAIL")</x:f>
        <x:v>OK</x:v>
      </x:c>
      <x:c r="AJ112" s="62" t="str">
        <x:f>IF(J112&lt;=L112,"OK","FAIL")</x:f>
        <x:v>OK</x:v>
      </x:c>
      <x:c r="AK112" s="62" t="str">
        <x:f>IF(D112&lt;&gt;"营业收入","OK",IF(AND(P112&lt;0,Q112&gt;0),"OK","FAIL"))</x:f>
        <x:v>OK</x:v>
      </x:c>
      <x:c r="AL112" s="62" t="str">
        <x:f>IF(COUNTIF($A$2:$A$218,A112)=1,"OK","FAIL")</x:f>
        <x:v>OK</x:v>
      </x:c>
    </x:row>
    <x:row r="113" ht="23" customHeight="1">
      <x:c r="A113" s="62" t="str">
        <x:v>DEMO01|2025|DOC2111|10</x:v>
      </x:c>
      <x:c r="B113" s="62" t="str">
        <x:v>SOURCE</x:v>
      </x:c>
      <x:c r="C113" s="62" t="str">
        <x:v>折旧摊销</x:v>
      </x:c>
      <x:c r="D113" s="62" t="str">
        <x:v>折旧摊销</x:v>
      </x:c>
      <x:c r="E113" s="62" t="n">
        <x:v>12</x:v>
      </x:c>
      <x:c r="F113" s="62" t="n">
        <x:v>12</x:v>
      </x:c>
      <x:c r="G113" s="62" t="str">
        <x:v>DOC2111</x:v>
      </x:c>
      <x:c r="H113" s="62" t="n">
        <x:v>10</x:v>
      </x:c>
      <x:c r="I113" s="74" t="n">
        <x:v>46022</x:v>
      </x:c>
      <x:c r="J113" s="74" t="n">
        <x:v>46022</x:v>
      </x:c>
      <x:c r="K113" s="74" t="n">
        <x:v>46022</x:v>
      </x:c>
      <x:c r="L113" s="74" t="n">
        <x:v>46022</x:v>
      </x:c>
      <x:c r="M113" s="77" t="n">
        <x:v>2</x:v>
      </x:c>
      <x:c r="N113" s="77"/>
      <x:c r="O113" s="78"/>
      <x:c r="P113" s="79" t="n">
        <x:f>M113</x:f>
        <x:v>2</x:v>
      </x:c>
      <x:c r="Q113" s="79" t="n">
        <x:f>IF(D113="营业收入",-P113,P113)</x:f>
        <x:v>2</x:v>
      </x:c>
      <x:c r="R113" s="62" t="str">
        <x:v>CNY</x:v>
      </x:c>
      <x:c r="S113" s="62" t="str">
        <x:v>万元</x:v>
      </x:c>
      <x:c r="T113" s="62" t="str">
        <x:v>费用不含税</x:v>
      </x:c>
      <x:c r="U113" s="62" t="str">
        <x:v>安全运行部</x:v>
      </x:c>
      <x:c r="V113" s="62" t="str">
        <x:v>概率安全分析折旧摊销分摊</x:v>
      </x:c>
      <x:c r="W113" s="62" t="str">
        <x:v>概率安全分析折旧摊销分摊</x:v>
      </x:c>
      <x:c r="X113" s="62" t="str">
        <x:v>17</x:v>
      </x:c>
      <x:c r="Y113" s="62" t="str">
        <x:v>17</x:v>
      </x:c>
      <x:c r="Z113" s="62" t="str">
        <x:v>17</x:v>
      </x:c>
      <x:c r="AA113" s="62" t="str">
        <x:v>概率安全分析</x:v>
      </x:c>
      <x:c r="AB113" s="62" t="str">
        <x:v>PRJ-AQ-概率-2024-001</x:v>
      </x:c>
      <x:c r="AC113" s="74" t="n">
        <x:v>46022</x:v>
      </x:c>
      <x:c r="AD113" s="71" t="str">
        <x:v>源记录保留</x:v>
      </x:c>
      <x:c r="AE113" s="71" t="str">
        <x:v>2025年实际执行.xlsx</x:v>
      </x:c>
      <x:c r="AF113" s="71" t="str">
        <x:v>Sheet</x:v>
      </x:c>
      <x:c r="AG113" s="71" t="n">
        <x:v>113</x:v>
      </x:c>
      <x:c r="AH113" s="71" t="str">
        <x:v>2025年实际执行.xlsx/Sheet!113:113</x:v>
      </x:c>
      <x:c r="AI113" s="62" t="str">
        <x:f>IF(F113=MONTH(L113),"OK","FAIL")</x:f>
        <x:v>OK</x:v>
      </x:c>
      <x:c r="AJ113" s="62" t="str">
        <x:f>IF(J113&lt;=L113,"OK","FAIL")</x:f>
        <x:v>OK</x:v>
      </x:c>
      <x:c r="AK113" s="62" t="str">
        <x:f>IF(D113&lt;&gt;"营业收入","OK",IF(AND(P113&lt;0,Q113&gt;0),"OK","FAIL"))</x:f>
        <x:v>OK</x:v>
      </x:c>
      <x:c r="AL113" s="62" t="str">
        <x:f>IF(COUNTIF($A$2:$A$218,A113)=1,"OK","FAIL")</x:f>
        <x:v>OK</x:v>
      </x:c>
    </x:row>
    <x:row r="114" ht="23" customHeight="1">
      <x:c r="A114" s="62" t="str">
        <x:v>DEMO01|2025|DOC2112|10</x:v>
      </x:c>
      <x:c r="B114" s="62" t="str">
        <x:v>CORRECTED</x:v>
      </x:c>
      <x:c r="C114" s="62" t="str">
        <x:v>业务支持费</x:v>
      </x:c>
      <x:c r="D114" s="62" t="str">
        <x:v>业务支持费-其他</x:v>
      </x:c>
      <x:c r="E114" s="62" t="n">
        <x:v>4</x:v>
      </x:c>
      <x:c r="F114" s="62" t="n">
        <x:v>5</x:v>
      </x:c>
      <x:c r="G114" s="62" t="str">
        <x:v>DOC2112</x:v>
      </x:c>
      <x:c r="H114" s="62" t="n">
        <x:v>10</x:v>
      </x:c>
      <x:c r="I114" s="74" t="n">
        <x:v>45767</x:v>
      </x:c>
      <x:c r="J114" s="74" t="n">
        <x:v>45767</x:v>
      </x:c>
      <x:c r="K114" s="74" t="n">
        <x:v>45797</x:v>
      </x:c>
      <x:c r="L114" s="74" t="n">
        <x:v>45797</x:v>
      </x:c>
      <x:c r="M114" s="77" t="n">
        <x:v>5</x:v>
      </x:c>
      <x:c r="N114" s="77"/>
      <x:c r="O114" s="78"/>
      <x:c r="P114" s="79" t="n">
        <x:f>M114</x:f>
        <x:v>5</x:v>
      </x:c>
      <x:c r="Q114" s="79" t="n">
        <x:f>IF(D114="营业收入",-P114,P114)</x:f>
        <x:v>5</x:v>
      </x:c>
      <x:c r="R114" s="62" t="str">
        <x:v>CNY</x:v>
      </x:c>
      <x:c r="S114" s="62" t="str">
        <x:v>万元</x:v>
      </x:c>
      <x:c r="T114" s="62" t="str">
        <x:v>费用不含税</x:v>
      </x:c>
      <x:c r="U114" s="62" t="str">
        <x:v>安全运行部</x:v>
      </x:c>
      <x:c r="V114" s="62" t="str">
        <x:v>确认概率安全分析_实际成本</x:v>
      </x:c>
      <x:c r="W114" s="62" t="str">
        <x:v>确认概率安全分析_实际成本</x:v>
      </x:c>
      <x:c r="X114" s="62" t="str">
        <x:v>上海电气</x:v>
      </x:c>
      <x:c r="Y114" s="62" t="str">
        <x:v>上海电气</x:v>
      </x:c>
      <x:c r="Z114" s="62" t="str">
        <x:v>17</x:v>
      </x:c>
      <x:c r="AA114" s="62" t="str">
        <x:v>概率安全分析</x:v>
      </x:c>
      <x:c r="AB114" s="62" t="str">
        <x:v>PRJ-AQ-概率-2024-001</x:v>
      </x:c>
      <x:c r="AC114" s="74" t="n">
        <x:v>46022</x:v>
      </x:c>
      <x:c r="AD114" s="71" t="str">
        <x:v>期间改为过账月</x:v>
      </x:c>
      <x:c r="AE114" s="71" t="str">
        <x:v>2025年实际执行.xlsx</x:v>
      </x:c>
      <x:c r="AF114" s="71" t="str">
        <x:v>Sheet</x:v>
      </x:c>
      <x:c r="AG114" s="71" t="n">
        <x:v>114</x:v>
      </x:c>
      <x:c r="AH114" s="71" t="str">
        <x:v>2025年实际执行.xlsx/Sheet!114:114</x:v>
      </x:c>
      <x:c r="AI114" s="62" t="str">
        <x:f>IF(F114=MONTH(L114),"OK","FAIL")</x:f>
        <x:v>OK</x:v>
      </x:c>
      <x:c r="AJ114" s="62" t="str">
        <x:f>IF(J114&lt;=L114,"OK","FAIL")</x:f>
        <x:v>OK</x:v>
      </x:c>
      <x:c r="AK114" s="62" t="str">
        <x:f>IF(D114&lt;&gt;"营业收入","OK",IF(AND(P114&lt;0,Q114&gt;0),"OK","FAIL"))</x:f>
        <x:v>OK</x:v>
      </x:c>
      <x:c r="AL114" s="62" t="str">
        <x:f>IF(COUNTIF($A$2:$A$218,A114)=1,"OK","FAIL")</x:f>
        <x:v>OK</x:v>
      </x:c>
    </x:row>
    <x:row r="115" ht="23" customHeight="1">
      <x:c r="A115" s="62" t="str">
        <x:v>DEMO01|2025|DOC2113|10</x:v>
      </x:c>
      <x:c r="B115" s="62" t="str">
        <x:v>SOURCE</x:v>
      </x:c>
      <x:c r="C115" s="62" t="str">
        <x:v>营业收入</x:v>
      </x:c>
      <x:c r="D115" s="62" t="str">
        <x:v>营业收入</x:v>
      </x:c>
      <x:c r="E115" s="62" t="n">
        <x:v>6</x:v>
      </x:c>
      <x:c r="F115" s="62" t="n">
        <x:v>6</x:v>
      </x:c>
      <x:c r="G115" s="62" t="str">
        <x:v>DOC2113</x:v>
      </x:c>
      <x:c r="H115" s="62" t="n">
        <x:v>10</x:v>
      </x:c>
      <x:c r="I115" s="74" t="n">
        <x:v>45823</x:v>
      </x:c>
      <x:c r="J115" s="74" t="n">
        <x:v>45823</x:v>
      </x:c>
      <x:c r="K115" s="74" t="n">
        <x:v>45823</x:v>
      </x:c>
      <x:c r="L115" s="74" t="n">
        <x:v>45823</x:v>
      </x:c>
      <x:c r="M115" s="77" t="n">
        <x:v>-36.255557</x:v>
      </x:c>
      <x:c r="N115" s="77"/>
      <x:c r="O115" s="78"/>
      <x:c r="P115" s="79" t="n">
        <x:f>M115</x:f>
        <x:v>-36.255557</x:v>
      </x:c>
      <x:c r="Q115" s="79" t="n">
        <x:f>IF(D115="营业收入",-P115,P115)</x:f>
        <x:v>36.255557</x:v>
      </x:c>
      <x:c r="R115" s="62" t="str">
        <x:v>CNY</x:v>
      </x:c>
      <x:c r="S115" s="62" t="str">
        <x:v>万元</x:v>
      </x:c>
      <x:c r="T115" s="62" t="str">
        <x:v>收益；源负号</x:v>
      </x:c>
      <x:c r="U115" s="62" t="str">
        <x:v>安全运行部</x:v>
      </x:c>
      <x:c r="V115" s="62" t="str">
        <x:v>概率安全分析收入确认</x:v>
      </x:c>
      <x:c r="W115" s="62" t="str">
        <x:v>概率安全分析收入确认</x:v>
      </x:c>
      <x:c r="X115" s="62" t="str">
        <x:v>17</x:v>
      </x:c>
      <x:c r="Y115" s="62" t="str">
        <x:v>17</x:v>
      </x:c>
      <x:c r="Z115" s="62" t="str">
        <x:v>17</x:v>
      </x:c>
      <x:c r="AA115" s="62" t="str">
        <x:v>概率安全分析</x:v>
      </x:c>
      <x:c r="AB115" s="62" t="str">
        <x:v>PRJ-AQ-概率-2025-002</x:v>
      </x:c>
      <x:c r="AC115" s="74" t="n">
        <x:v>46022</x:v>
      </x:c>
      <x:c r="AD115" s="71" t="str">
        <x:v>源记录保留</x:v>
      </x:c>
      <x:c r="AE115" s="71" t="str">
        <x:v>2025年实际执行.xlsx</x:v>
      </x:c>
      <x:c r="AF115" s="71" t="str">
        <x:v>Sheet</x:v>
      </x:c>
      <x:c r="AG115" s="71" t="n">
        <x:v>115</x:v>
      </x:c>
      <x:c r="AH115" s="71" t="str">
        <x:v>2025年实际执行.xlsx/Sheet!115:115</x:v>
      </x:c>
      <x:c r="AI115" s="62" t="str">
        <x:f>IF(F115=MONTH(L115),"OK","FAIL")</x:f>
        <x:v>OK</x:v>
      </x:c>
      <x:c r="AJ115" s="62" t="str">
        <x:f>IF(J115&lt;=L115,"OK","FAIL")</x:f>
        <x:v>OK</x:v>
      </x:c>
      <x:c r="AK115" s="62" t="str">
        <x:f>IF(D115&lt;&gt;"营业收入","OK",IF(AND(P115&lt;0,Q115&gt;0),"OK","FAIL"))</x:f>
        <x:v>OK</x:v>
      </x:c>
      <x:c r="AL115" s="62" t="str">
        <x:f>IF(COUNTIF($A$2:$A$218,A115)=1,"OK","FAIL")</x:f>
        <x:v>OK</x:v>
      </x:c>
    </x:row>
    <x:row r="116" ht="23" customHeight="1">
      <x:c r="A116" s="62" t="str">
        <x:v>DEMO01|2025|DOC2114|10</x:v>
      </x:c>
      <x:c r="B116" s="62" t="str">
        <x:v>SOURCE</x:v>
      </x:c>
      <x:c r="C116" s="62" t="str">
        <x:v>会议费</x:v>
      </x:c>
      <x:c r="D116" s="62" t="str">
        <x:v>会议费</x:v>
      </x:c>
      <x:c r="E116" s="62" t="n">
        <x:v>11</x:v>
      </x:c>
      <x:c r="F116" s="62" t="n">
        <x:v>11</x:v>
      </x:c>
      <x:c r="G116" s="62" t="str">
        <x:v>DOC2114</x:v>
      </x:c>
      <x:c r="H116" s="62" t="n">
        <x:v>10</x:v>
      </x:c>
      <x:c r="I116" s="74" t="n">
        <x:v>45976</x:v>
      </x:c>
      <x:c r="J116" s="74" t="n">
        <x:v>45976</x:v>
      </x:c>
      <x:c r="K116" s="74" t="n">
        <x:v>45976</x:v>
      </x:c>
      <x:c r="L116" s="74" t="n">
        <x:v>45976</x:v>
      </x:c>
      <x:c r="M116" s="77" t="n">
        <x:v>2</x:v>
      </x:c>
      <x:c r="N116" s="77"/>
      <x:c r="O116" s="78"/>
      <x:c r="P116" s="79" t="n">
        <x:f>M116</x:f>
        <x:v>2</x:v>
      </x:c>
      <x:c r="Q116" s="79" t="n">
        <x:f>IF(D116="营业收入",-P116,P116)</x:f>
        <x:v>2</x:v>
      </x:c>
      <x:c r="R116" s="62" t="str">
        <x:v>CNY</x:v>
      </x:c>
      <x:c r="S116" s="62" t="str">
        <x:v>万元</x:v>
      </x:c>
      <x:c r="T116" s="62" t="str">
        <x:v>费用不含税</x:v>
      </x:c>
      <x:c r="U116" s="62" t="str">
        <x:v>安全运行部</x:v>
      </x:c>
      <x:c r="V116" s="62" t="str">
        <x:v>概率安全分析项目阶段评审会</x:v>
      </x:c>
      <x:c r="W116" s="62" t="str">
        <x:v>概率安全分析项目阶段评审会</x:v>
      </x:c>
      <x:c r="X116" s="62" t="str">
        <x:v>苏州热工</x:v>
      </x:c>
      <x:c r="Y116" s="62" t="str">
        <x:v>苏州热工</x:v>
      </x:c>
      <x:c r="Z116" s="62" t="str">
        <x:v>17</x:v>
      </x:c>
      <x:c r="AA116" s="62" t="str">
        <x:v>概率安全分析</x:v>
      </x:c>
      <x:c r="AB116" s="62" t="str">
        <x:v>PRJ-AQ-概率-2025-002</x:v>
      </x:c>
      <x:c r="AC116" s="74" t="n">
        <x:v>46022</x:v>
      </x:c>
      <x:c r="AD116" s="71" t="str">
        <x:v>源记录保留</x:v>
      </x:c>
      <x:c r="AE116" s="71" t="str">
        <x:v>2025年实际执行.xlsx</x:v>
      </x:c>
      <x:c r="AF116" s="71" t="str">
        <x:v>Sheet</x:v>
      </x:c>
      <x:c r="AG116" s="71" t="n">
        <x:v>116</x:v>
      </x:c>
      <x:c r="AH116" s="71" t="str">
        <x:v>2025年实际执行.xlsx/Sheet!116:116</x:v>
      </x:c>
      <x:c r="AI116" s="62" t="str">
        <x:f>IF(F116=MONTH(L116),"OK","FAIL")</x:f>
        <x:v>OK</x:v>
      </x:c>
      <x:c r="AJ116" s="62" t="str">
        <x:f>IF(J116&lt;=L116,"OK","FAIL")</x:f>
        <x:v>OK</x:v>
      </x:c>
      <x:c r="AK116" s="62" t="str">
        <x:f>IF(D116&lt;&gt;"营业收入","OK",IF(AND(P116&lt;0,Q116&gt;0),"OK","FAIL"))</x:f>
        <x:v>OK</x:v>
      </x:c>
      <x:c r="AL116" s="62" t="str">
        <x:f>IF(COUNTIF($A$2:$A$218,A116)=1,"OK","FAIL")</x:f>
        <x:v>OK</x:v>
      </x:c>
    </x:row>
    <x:row r="117" ht="23" customHeight="1">
      <x:c r="A117" s="62" t="str">
        <x:v>DEMO01|2025|DOC2115|10</x:v>
      </x:c>
      <x:c r="B117" s="62" t="str">
        <x:v>SOURCE</x:v>
      </x:c>
      <x:c r="C117" s="62" t="str">
        <x:v>业务支持费</x:v>
      </x:c>
      <x:c r="D117" s="62" t="str">
        <x:v>业务支持费-技术配置</x:v>
      </x:c>
      <x:c r="E117" s="62" t="n">
        <x:v>11</x:v>
      </x:c>
      <x:c r="F117" s="62" t="n">
        <x:v>11</x:v>
      </x:c>
      <x:c r="G117" s="62" t="str">
        <x:v>DOC2115</x:v>
      </x:c>
      <x:c r="H117" s="62" t="n">
        <x:v>10</x:v>
      </x:c>
      <x:c r="I117" s="74" t="n">
        <x:v>45976</x:v>
      </x:c>
      <x:c r="J117" s="74" t="n">
        <x:v>45976</x:v>
      </x:c>
      <x:c r="K117" s="74" t="n">
        <x:v>45976</x:v>
      </x:c>
      <x:c r="L117" s="74" t="n">
        <x:v>45976</x:v>
      </x:c>
      <x:c r="M117" s="77" t="n">
        <x:v>15</x:v>
      </x:c>
      <x:c r="N117" s="77"/>
      <x:c r="O117" s="78"/>
      <x:c r="P117" s="79" t="n">
        <x:f>M117</x:f>
        <x:v>15</x:v>
      </x:c>
      <x:c r="Q117" s="79" t="n">
        <x:f>IF(D117="营业收入",-P117,P117)</x:f>
        <x:v>15</x:v>
      </x:c>
      <x:c r="R117" s="62" t="str">
        <x:v>CNY</x:v>
      </x:c>
      <x:c r="S117" s="62" t="str">
        <x:v>万元</x:v>
      </x:c>
      <x:c r="T117" s="62" t="str">
        <x:v>费用不含税</x:v>
      </x:c>
      <x:c r="U117" s="62" t="str">
        <x:v>安全运行部</x:v>
      </x:c>
      <x:c r="V117" s="62" t="str">
        <x:v>概率安全分析技术配置_实施阶段</x:v>
      </x:c>
      <x:c r="W117" s="62" t="str">
        <x:v>概率安全分析技术配置_实施阶段</x:v>
      </x:c>
      <x:c r="X117" s="62" t="str">
        <x:v>供应商3</x:v>
      </x:c>
      <x:c r="Y117" s="62" t="str">
        <x:v>供应商3</x:v>
      </x:c>
      <x:c r="Z117" s="62" t="str">
        <x:v>17</x:v>
      </x:c>
      <x:c r="AA117" s="62" t="str">
        <x:v>概率安全分析</x:v>
      </x:c>
      <x:c r="AB117" s="62" t="str">
        <x:v>PRJ-AQ-概率-2025-002</x:v>
      </x:c>
      <x:c r="AC117" s="74" t="n">
        <x:v>46022</x:v>
      </x:c>
      <x:c r="AD117" s="71" t="str">
        <x:v>源记录保留</x:v>
      </x:c>
      <x:c r="AE117" s="71" t="str">
        <x:v>2025年实际执行.xlsx</x:v>
      </x:c>
      <x:c r="AF117" s="71" t="str">
        <x:v>Sheet</x:v>
      </x:c>
      <x:c r="AG117" s="71" t="n">
        <x:v>117</x:v>
      </x:c>
      <x:c r="AH117" s="71" t="str">
        <x:v>2025年实际执行.xlsx/Sheet!117:117</x:v>
      </x:c>
      <x:c r="AI117" s="62" t="str">
        <x:f>IF(F117=MONTH(L117),"OK","FAIL")</x:f>
        <x:v>OK</x:v>
      </x:c>
      <x:c r="AJ117" s="62" t="str">
        <x:f>IF(J117&lt;=L117,"OK","FAIL")</x:f>
        <x:v>OK</x:v>
      </x:c>
      <x:c r="AK117" s="62" t="str">
        <x:f>IF(D117&lt;&gt;"营业收入","OK",IF(AND(P117&lt;0,Q117&gt;0),"OK","FAIL"))</x:f>
        <x:v>OK</x:v>
      </x:c>
      <x:c r="AL117" s="62" t="str">
        <x:f>IF(COUNTIF($A$2:$A$218,A117)=1,"OK","FAIL")</x:f>
        <x:v>OK</x:v>
      </x:c>
    </x:row>
    <x:row r="118" ht="23" customHeight="1">
      <x:c r="A118" s="62" t="str">
        <x:v>DEMO01|2025|DOC2116|10</x:v>
      </x:c>
      <x:c r="B118" s="62" t="str">
        <x:v>SOURCE</x:v>
      </x:c>
      <x:c r="C118" s="62" t="str">
        <x:v>生产物料费</x:v>
      </x:c>
      <x:c r="D118" s="62" t="str">
        <x:v>生产物料费</x:v>
      </x:c>
      <x:c r="E118" s="62" t="n">
        <x:v>6</x:v>
      </x:c>
      <x:c r="F118" s="62" t="n">
        <x:v>6</x:v>
      </x:c>
      <x:c r="G118" s="62" t="str">
        <x:v>DOC2116</x:v>
      </x:c>
      <x:c r="H118" s="62" t="n">
        <x:v>10</x:v>
      </x:c>
      <x:c r="I118" s="74" t="n">
        <x:v>45823</x:v>
      </x:c>
      <x:c r="J118" s="74" t="n">
        <x:v>45823</x:v>
      </x:c>
      <x:c r="K118" s="74" t="n">
        <x:v>45823</x:v>
      </x:c>
      <x:c r="L118" s="74" t="n">
        <x:v>45823</x:v>
      </x:c>
      <x:c r="M118" s="77" t="n">
        <x:v>2.8995</x:v>
      </x:c>
      <x:c r="N118" s="77"/>
      <x:c r="O118" s="78"/>
      <x:c r="P118" s="79" t="n">
        <x:f>M118</x:f>
        <x:v>2.8995</x:v>
      </x:c>
      <x:c r="Q118" s="79" t="n">
        <x:f>IF(D118="营业收入",-P118,P118)</x:f>
        <x:v>2.8995</x:v>
      </x:c>
      <x:c r="R118" s="62" t="str">
        <x:v>CNY</x:v>
      </x:c>
      <x:c r="S118" s="62" t="str">
        <x:v>万元</x:v>
      </x:c>
      <x:c r="T118" s="62" t="str">
        <x:v>费用不含税</x:v>
      </x:c>
      <x:c r="U118" s="62" t="str">
        <x:v>安全运行部</x:v>
      </x:c>
      <x:c r="V118" s="62" t="str">
        <x:v>概率安全分析现场物料采购</x:v>
      </x:c>
      <x:c r="W118" s="62" t="str">
        <x:v>概率安全分析现场物料采购</x:v>
      </x:c>
      <x:c r="X118" s="62" t="str">
        <x:v>苏州热工</x:v>
      </x:c>
      <x:c r="Y118" s="62" t="str">
        <x:v>苏州热工</x:v>
      </x:c>
      <x:c r="Z118" s="62" t="str">
        <x:v>17</x:v>
      </x:c>
      <x:c r="AA118" s="62" t="str">
        <x:v>概率安全分析</x:v>
      </x:c>
      <x:c r="AB118" s="62" t="str">
        <x:v>PRJ-AQ-概率-2025-002</x:v>
      </x:c>
      <x:c r="AC118" s="74" t="n">
        <x:v>46022</x:v>
      </x:c>
      <x:c r="AD118" s="71" t="str">
        <x:v>源记录保留</x:v>
      </x:c>
      <x:c r="AE118" s="71" t="str">
        <x:v>2025年实际执行.xlsx</x:v>
      </x:c>
      <x:c r="AF118" s="71" t="str">
        <x:v>Sheet</x:v>
      </x:c>
      <x:c r="AG118" s="71" t="n">
        <x:v>118</x:v>
      </x:c>
      <x:c r="AH118" s="71" t="str">
        <x:v>2025年实际执行.xlsx/Sheet!118:118</x:v>
      </x:c>
      <x:c r="AI118" s="62" t="str">
        <x:f>IF(F118=MONTH(L118),"OK","FAIL")</x:f>
        <x:v>OK</x:v>
      </x:c>
      <x:c r="AJ118" s="62" t="str">
        <x:f>IF(J118&lt;=L118,"OK","FAIL")</x:f>
        <x:v>OK</x:v>
      </x:c>
      <x:c r="AK118" s="62" t="str">
        <x:f>IF(D118&lt;&gt;"营业收入","OK",IF(AND(P118&lt;0,Q118&gt;0),"OK","FAIL"))</x:f>
        <x:v>OK</x:v>
      </x:c>
      <x:c r="AL118" s="62" t="str">
        <x:f>IF(COUNTIF($A$2:$A$218,A118)=1,"OK","FAIL")</x:f>
        <x:v>OK</x:v>
      </x:c>
    </x:row>
    <x:row r="119" ht="23" customHeight="1">
      <x:c r="A119" s="62" t="str">
        <x:v>DEMO01|2025|DOC2117|10</x:v>
      </x:c>
      <x:c r="B119" s="62" t="str">
        <x:v>SOURCE</x:v>
      </x:c>
      <x:c r="C119" s="62" t="str">
        <x:v>办公费</x:v>
      </x:c>
      <x:c r="D119" s="62" t="str">
        <x:v>办公费</x:v>
      </x:c>
      <x:c r="E119" s="62" t="n">
        <x:v>8</x:v>
      </x:c>
      <x:c r="F119" s="62" t="n">
        <x:v>8</x:v>
      </x:c>
      <x:c r="G119" s="62" t="str">
        <x:v>DOC2117</x:v>
      </x:c>
      <x:c r="H119" s="62" t="n">
        <x:v>10</x:v>
      </x:c>
      <x:c r="I119" s="74" t="n">
        <x:v>45884</x:v>
      </x:c>
      <x:c r="J119" s="74" t="n">
        <x:v>45884</x:v>
      </x:c>
      <x:c r="K119" s="74" t="n">
        <x:v>45884</x:v>
      </x:c>
      <x:c r="L119" s="74" t="n">
        <x:v>45884</x:v>
      </x:c>
      <x:c r="M119" s="77" t="n">
        <x:v>0.5799</x:v>
      </x:c>
      <x:c r="N119" s="77"/>
      <x:c r="O119" s="78"/>
      <x:c r="P119" s="79" t="n">
        <x:f>M119</x:f>
        <x:v>0.5799</x:v>
      </x:c>
      <x:c r="Q119" s="79" t="n">
        <x:f>IF(D119="营业收入",-P119,P119)</x:f>
        <x:v>0.5799</x:v>
      </x:c>
      <x:c r="R119" s="62" t="str">
        <x:v>CNY</x:v>
      </x:c>
      <x:c r="S119" s="62" t="str">
        <x:v>万元</x:v>
      </x:c>
      <x:c r="T119" s="62" t="str">
        <x:v>费用不含税</x:v>
      </x:c>
      <x:c r="U119" s="62" t="str">
        <x:v>安全运行部</x:v>
      </x:c>
      <x:c r="V119" s="62" t="str">
        <x:v>概率安全分析日常办公</x:v>
      </x:c>
      <x:c r="W119" s="62" t="str">
        <x:v>概率安全分析日常办公</x:v>
      </x:c>
      <x:c r="X119" s="62" t="str">
        <x:v>苏州热工</x:v>
      </x:c>
      <x:c r="Y119" s="62" t="str">
        <x:v>苏州热工</x:v>
      </x:c>
      <x:c r="Z119" s="62" t="str">
        <x:v>17</x:v>
      </x:c>
      <x:c r="AA119" s="62" t="str">
        <x:v>概率安全分析</x:v>
      </x:c>
      <x:c r="AB119" s="62" t="str">
        <x:v>PRJ-AQ-概率-2025-002</x:v>
      </x:c>
      <x:c r="AC119" s="74" t="n">
        <x:v>46022</x:v>
      </x:c>
      <x:c r="AD119" s="71" t="str">
        <x:v>源记录保留</x:v>
      </x:c>
      <x:c r="AE119" s="71" t="str">
        <x:v>2025年实际执行.xlsx</x:v>
      </x:c>
      <x:c r="AF119" s="71" t="str">
        <x:v>Sheet</x:v>
      </x:c>
      <x:c r="AG119" s="71" t="n">
        <x:v>119</x:v>
      </x:c>
      <x:c r="AH119" s="71" t="str">
        <x:v>2025年实际执行.xlsx/Sheet!119:119</x:v>
      </x:c>
      <x:c r="AI119" s="62" t="str">
        <x:f>IF(F119=MONTH(L119),"OK","FAIL")</x:f>
        <x:v>OK</x:v>
      </x:c>
      <x:c r="AJ119" s="62" t="str">
        <x:f>IF(J119&lt;=L119,"OK","FAIL")</x:f>
        <x:v>OK</x:v>
      </x:c>
      <x:c r="AK119" s="62" t="str">
        <x:f>IF(D119&lt;&gt;"营业收入","OK",IF(AND(P119&lt;0,Q119&gt;0),"OK","FAIL"))</x:f>
        <x:v>OK</x:v>
      </x:c>
      <x:c r="AL119" s="62" t="str">
        <x:f>IF(COUNTIF($A$2:$A$218,A119)=1,"OK","FAIL")</x:f>
        <x:v>OK</x:v>
      </x:c>
    </x:row>
    <x:row r="120" ht="23" customHeight="1">
      <x:c r="A120" s="62" t="str">
        <x:v>DEMO01|2025|DOC2118|10</x:v>
      </x:c>
      <x:c r="B120" s="62" t="str">
        <x:v>CORRECTED</x:v>
      </x:c>
      <x:c r="C120" s="62" t="str">
        <x:v>交通运输费</x:v>
      </x:c>
      <x:c r="D120" s="62" t="str">
        <x:v>交通运输费</x:v>
      </x:c>
      <x:c r="E120" s="62" t="n">
        <x:v>9</x:v>
      </x:c>
      <x:c r="F120" s="62" t="n">
        <x:v>9</x:v>
      </x:c>
      <x:c r="G120" s="62" t="str">
        <x:v>DOC2118</x:v>
      </x:c>
      <x:c r="H120" s="62" t="n">
        <x:v>10</x:v>
      </x:c>
      <x:c r="I120" s="74" t="n">
        <x:v>45915</x:v>
      </x:c>
      <x:c r="J120" s="74" t="n">
        <x:v>45915</x:v>
      </x:c>
      <x:c r="K120" s="74" t="n">
        <x:v>45915</x:v>
      </x:c>
      <x:c r="L120" s="74" t="n">
        <x:v>45915</x:v>
      </x:c>
      <x:c r="M120" s="77" t="n">
        <x:v>0.9665</x:v>
      </x:c>
      <x:c r="N120" s="77"/>
      <x:c r="O120" s="78"/>
      <x:c r="P120" s="79" t="n">
        <x:f>M120</x:f>
        <x:v>0.9665</x:v>
      </x:c>
      <x:c r="Q120" s="79" t="n">
        <x:f>IF(D120="营业收入",-P120,P120)</x:f>
        <x:v>0.9665</x:v>
      </x:c>
      <x:c r="R120" s="62" t="str">
        <x:v>CNY</x:v>
      </x:c>
      <x:c r="S120" s="62" t="str">
        <x:v>万元</x:v>
      </x:c>
      <x:c r="T120" s="62" t="str">
        <x:v>费用不含税</x:v>
      </x:c>
      <x:c r="U120" s="62" t="str">
        <x:v>安全运行部</x:v>
      </x:c>
      <x:c r="V120" s="62" t="str">
        <x:v>概率安全分析材料运输</x:v>
      </x:c>
      <x:c r="W120" s="62" t="str">
        <x:v>概率安全分析材料运输</x:v>
      </x:c>
      <x:c r="X120" s="62" t="str">
        <x:v>苏州热工</x:v>
      </x:c>
      <x:c r="Y120" s="62" t="str">
        <x:v>苏州热工</x:v>
      </x:c>
      <x:c r="Z120" s="62" t="str">
        <x:v>17</x:v>
      </x:c>
      <x:c r="AA120" s="62" t="str">
        <x:v>概率安全分析</x:v>
      </x:c>
      <x:c r="AB120" s="62" t="str">
        <x:v>PRJ-AQ-概率-2025-002</x:v>
      </x:c>
      <x:c r="AC120" s="74" t="n">
        <x:v>46022</x:v>
      </x:c>
      <x:c r="AD120" s="71" t="str">
        <x:v>补凭证行号</x:v>
      </x:c>
      <x:c r="AE120" s="71" t="str">
        <x:v>2025年实际执行.xlsx</x:v>
      </x:c>
      <x:c r="AF120" s="71" t="str">
        <x:v>Sheet</x:v>
      </x:c>
      <x:c r="AG120" s="71" t="n">
        <x:v>120</x:v>
      </x:c>
      <x:c r="AH120" s="71" t="str">
        <x:v>2025年实际执行.xlsx/Sheet!120:120</x:v>
      </x:c>
      <x:c r="AI120" s="62" t="str">
        <x:f>IF(F120=MONTH(L120),"OK","FAIL")</x:f>
        <x:v>OK</x:v>
      </x:c>
      <x:c r="AJ120" s="62" t="str">
        <x:f>IF(J120&lt;=L120,"OK","FAIL")</x:f>
        <x:v>OK</x:v>
      </x:c>
      <x:c r="AK120" s="62" t="str">
        <x:f>IF(D120&lt;&gt;"营业收入","OK",IF(AND(P120&lt;0,Q120&gt;0),"OK","FAIL"))</x:f>
        <x:v>OK</x:v>
      </x:c>
      <x:c r="AL120" s="62" t="str">
        <x:f>IF(COUNTIF($A$2:$A$218,A120)=1,"OK","FAIL")</x:f>
        <x:v>OK</x:v>
      </x:c>
    </x:row>
    <x:row r="121" ht="23" customHeight="1">
      <x:c r="A121" s="62" t="str">
        <x:v>DEMO01|2025|DOC2119|10</x:v>
      </x:c>
      <x:c r="B121" s="62" t="str">
        <x:v>SOURCE</x:v>
      </x:c>
      <x:c r="C121" s="62" t="str">
        <x:v>人工成本</x:v>
      </x:c>
      <x:c r="D121" s="62" t="str">
        <x:v>人工成本</x:v>
      </x:c>
      <x:c r="E121" s="62" t="n">
        <x:v>6</x:v>
      </x:c>
      <x:c r="F121" s="62" t="n">
        <x:v>6</x:v>
      </x:c>
      <x:c r="G121" s="62" t="str">
        <x:v>DOC2119</x:v>
      </x:c>
      <x:c r="H121" s="62" t="n">
        <x:v>10</x:v>
      </x:c>
      <x:c r="I121" s="74" t="n">
        <x:v>45838</x:v>
      </x:c>
      <x:c r="J121" s="74" t="n">
        <x:v>45838</x:v>
      </x:c>
      <x:c r="K121" s="74" t="n">
        <x:v>45838</x:v>
      </x:c>
      <x:c r="L121" s="74" t="n">
        <x:v>45838</x:v>
      </x:c>
      <x:c r="M121" s="77" t="n">
        <x:v>9</x:v>
      </x:c>
      <x:c r="N121" s="77"/>
      <x:c r="O121" s="78"/>
      <x:c r="P121" s="79" t="n">
        <x:f>M121</x:f>
        <x:v>9</x:v>
      </x:c>
      <x:c r="Q121" s="79" t="n">
        <x:f>IF(D121="营业收入",-P121,P121)</x:f>
        <x:v>9</x:v>
      </x:c>
      <x:c r="R121" s="62" t="str">
        <x:v>CNY</x:v>
      </x:c>
      <x:c r="S121" s="62" t="str">
        <x:v>万元</x:v>
      </x:c>
      <x:c r="T121" s="62" t="str">
        <x:v>费用不含税</x:v>
      </x:c>
      <x:c r="U121" s="62" t="str">
        <x:v>安全运行部</x:v>
      </x:c>
      <x:c r="V121" s="62" t="str">
        <x:v>概率安全分析人工成本分摊</x:v>
      </x:c>
      <x:c r="W121" s="62" t="str">
        <x:v>概率安全分析人工成本分摊</x:v>
      </x:c>
      <x:c r="X121" s="62" t="str">
        <x:v>17</x:v>
      </x:c>
      <x:c r="Y121" s="62" t="str">
        <x:v>17</x:v>
      </x:c>
      <x:c r="Z121" s="62" t="str">
        <x:v>17</x:v>
      </x:c>
      <x:c r="AA121" s="62" t="str">
        <x:v>概率安全分析</x:v>
      </x:c>
      <x:c r="AB121" s="62" t="str">
        <x:v>PRJ-AQ-概率-2025-002</x:v>
      </x:c>
      <x:c r="AC121" s="74" t="n">
        <x:v>46022</x:v>
      </x:c>
      <x:c r="AD121" s="71" t="str">
        <x:v>源记录保留</x:v>
      </x:c>
      <x:c r="AE121" s="71" t="str">
        <x:v>2025年实际执行.xlsx</x:v>
      </x:c>
      <x:c r="AF121" s="71" t="str">
        <x:v>Sheet</x:v>
      </x:c>
      <x:c r="AG121" s="71" t="n">
        <x:v>121</x:v>
      </x:c>
      <x:c r="AH121" s="71" t="str">
        <x:v>2025年实际执行.xlsx/Sheet!121:121</x:v>
      </x:c>
      <x:c r="AI121" s="62" t="str">
        <x:f>IF(F121=MONTH(L121),"OK","FAIL")</x:f>
        <x:v>OK</x:v>
      </x:c>
      <x:c r="AJ121" s="62" t="str">
        <x:f>IF(J121&lt;=L121,"OK","FAIL")</x:f>
        <x:v>OK</x:v>
      </x:c>
      <x:c r="AK121" s="62" t="str">
        <x:f>IF(D121&lt;&gt;"营业收入","OK",IF(AND(P121&lt;0,Q121&gt;0),"OK","FAIL"))</x:f>
        <x:v>OK</x:v>
      </x:c>
      <x:c r="AL121" s="62" t="str">
        <x:f>IF(COUNTIF($A$2:$A$218,A121)=1,"OK","FAIL")</x:f>
        <x:v>OK</x:v>
      </x:c>
    </x:row>
    <x:row r="122" ht="23" customHeight="1">
      <x:c r="A122" s="62" t="str">
        <x:v>DEMO01|2025|DOC2120|10</x:v>
      </x:c>
      <x:c r="B122" s="62" t="str">
        <x:v>SOURCE</x:v>
      </x:c>
      <x:c r="C122" s="62" t="str">
        <x:v>折旧摊销</x:v>
      </x:c>
      <x:c r="D122" s="62" t="str">
        <x:v>折旧摊销</x:v>
      </x:c>
      <x:c r="E122" s="62" t="n">
        <x:v>12</x:v>
      </x:c>
      <x:c r="F122" s="62" t="n">
        <x:v>12</x:v>
      </x:c>
      <x:c r="G122" s="62" t="str">
        <x:v>DOC2120</x:v>
      </x:c>
      <x:c r="H122" s="62" t="n">
        <x:v>10</x:v>
      </x:c>
      <x:c r="I122" s="74" t="n">
        <x:v>46022</x:v>
      </x:c>
      <x:c r="J122" s="74" t="n">
        <x:v>46022</x:v>
      </x:c>
      <x:c r="K122" s="74" t="n">
        <x:v>46022</x:v>
      </x:c>
      <x:c r="L122" s="74" t="n">
        <x:v>46022</x:v>
      </x:c>
      <x:c r="M122" s="77" t="n">
        <x:v>3</x:v>
      </x:c>
      <x:c r="N122" s="77"/>
      <x:c r="O122" s="78"/>
      <x:c r="P122" s="79" t="n">
        <x:f>M122</x:f>
        <x:v>3</x:v>
      </x:c>
      <x:c r="Q122" s="79" t="n">
        <x:f>IF(D122="营业收入",-P122,P122)</x:f>
        <x:v>3</x:v>
      </x:c>
      <x:c r="R122" s="62" t="str">
        <x:v>CNY</x:v>
      </x:c>
      <x:c r="S122" s="62" t="str">
        <x:v>万元</x:v>
      </x:c>
      <x:c r="T122" s="62" t="str">
        <x:v>费用不含税</x:v>
      </x:c>
      <x:c r="U122" s="62" t="str">
        <x:v>安全运行部</x:v>
      </x:c>
      <x:c r="V122" s="62" t="str">
        <x:v>概率安全分析折旧摊销分摊</x:v>
      </x:c>
      <x:c r="W122" s="62" t="str">
        <x:v>概率安全分析折旧摊销分摊</x:v>
      </x:c>
      <x:c r="X122" s="62" t="str">
        <x:v>17</x:v>
      </x:c>
      <x:c r="Y122" s="62" t="str">
        <x:v>17</x:v>
      </x:c>
      <x:c r="Z122" s="62" t="str">
        <x:v>17</x:v>
      </x:c>
      <x:c r="AA122" s="62" t="str">
        <x:v>概率安全分析</x:v>
      </x:c>
      <x:c r="AB122" s="62" t="str">
        <x:v>PRJ-AQ-概率-2025-002</x:v>
      </x:c>
      <x:c r="AC122" s="74" t="n">
        <x:v>46022</x:v>
      </x:c>
      <x:c r="AD122" s="71" t="str">
        <x:v>源记录保留</x:v>
      </x:c>
      <x:c r="AE122" s="71" t="str">
        <x:v>2025年实际执行.xlsx</x:v>
      </x:c>
      <x:c r="AF122" s="71" t="str">
        <x:v>Sheet</x:v>
      </x:c>
      <x:c r="AG122" s="71" t="n">
        <x:v>122</x:v>
      </x:c>
      <x:c r="AH122" s="71" t="str">
        <x:v>2025年实际执行.xlsx/Sheet!122:122</x:v>
      </x:c>
      <x:c r="AI122" s="62" t="str">
        <x:f>IF(F122=MONTH(L122),"OK","FAIL")</x:f>
        <x:v>OK</x:v>
      </x:c>
      <x:c r="AJ122" s="62" t="str">
        <x:f>IF(J122&lt;=L122,"OK","FAIL")</x:f>
        <x:v>OK</x:v>
      </x:c>
      <x:c r="AK122" s="62" t="str">
        <x:f>IF(D122&lt;&gt;"营业收入","OK",IF(AND(P122&lt;0,Q122&gt;0),"OK","FAIL"))</x:f>
        <x:v>OK</x:v>
      </x:c>
      <x:c r="AL122" s="62" t="str">
        <x:f>IF(COUNTIF($A$2:$A$218,A122)=1,"OK","FAIL")</x:f>
        <x:v>OK</x:v>
      </x:c>
    </x:row>
    <x:row r="123" ht="23" customHeight="1">
      <x:c r="A123" s="62" t="str">
        <x:v>DEMO01|2025|DOC2121|10</x:v>
      </x:c>
      <x:c r="B123" s="62" t="str">
        <x:v>CORRECTED</x:v>
      </x:c>
      <x:c r="C123" s="62" t="str">
        <x:v>业务支持费</x:v>
      </x:c>
      <x:c r="D123" s="62" t="str">
        <x:v>业务支持费-其他</x:v>
      </x:c>
      <x:c r="E123" s="62" t="n">
        <x:v>6</x:v>
      </x:c>
      <x:c r="F123" s="62" t="n">
        <x:v>4</x:v>
      </x:c>
      <x:c r="G123" s="62" t="str">
        <x:v>DOC2121</x:v>
      </x:c>
      <x:c r="H123" s="62" t="n">
        <x:v>10</x:v>
      </x:c>
      <x:c r="I123" s="74" t="n">
        <x:v>45736</x:v>
      </x:c>
      <x:c r="J123" s="74" t="n">
        <x:v>45736</x:v>
      </x:c>
      <x:c r="K123" s="74" t="n">
        <x:v>45767</x:v>
      </x:c>
      <x:c r="L123" s="74" t="n">
        <x:v>45767</x:v>
      </x:c>
      <x:c r="M123" s="77" t="n">
        <x:v>5</x:v>
      </x:c>
      <x:c r="N123" s="77"/>
      <x:c r="O123" s="78"/>
      <x:c r="P123" s="79" t="n">
        <x:f>M123</x:f>
        <x:v>5</x:v>
      </x:c>
      <x:c r="Q123" s="79" t="n">
        <x:f>IF(D123="营业收入",-P123,P123)</x:f>
        <x:v>5</x:v>
      </x:c>
      <x:c r="R123" s="62" t="str">
        <x:v>CNY</x:v>
      </x:c>
      <x:c r="S123" s="62" t="str">
        <x:v>万元</x:v>
      </x:c>
      <x:c r="T123" s="62" t="str">
        <x:v>费用不含税</x:v>
      </x:c>
      <x:c r="U123" s="62" t="str">
        <x:v>安全运行部</x:v>
      </x:c>
      <x:c r="V123" s="62" t="str">
        <x:v>确认概率安全分析_实际成本</x:v>
      </x:c>
      <x:c r="W123" s="62" t="str">
        <x:v>确认概率安全分析_实际成本</x:v>
      </x:c>
      <x:c r="X123" s="62" t="str">
        <x:v>苏州热工</x:v>
      </x:c>
      <x:c r="Y123" s="62" t="str">
        <x:v>苏州热工</x:v>
      </x:c>
      <x:c r="Z123" s="62" t="str">
        <x:v>17</x:v>
      </x:c>
      <x:c r="AA123" s="62" t="str">
        <x:v>概率安全分析</x:v>
      </x:c>
      <x:c r="AB123" s="62" t="str">
        <x:v>PRJ-AQ-概率-2025-002</x:v>
      </x:c>
      <x:c r="AC123" s="74" t="n">
        <x:v>46022</x:v>
      </x:c>
      <x:c r="AD123" s="71" t="str">
        <x:v>期间改为过账月</x:v>
      </x:c>
      <x:c r="AE123" s="71" t="str">
        <x:v>2025年实际执行.xlsx</x:v>
      </x:c>
      <x:c r="AF123" s="71" t="str">
        <x:v>Sheet</x:v>
      </x:c>
      <x:c r="AG123" s="71" t="n">
        <x:v>123</x:v>
      </x:c>
      <x:c r="AH123" s="71" t="str">
        <x:v>2025年实际执行.xlsx/Sheet!123:123</x:v>
      </x:c>
      <x:c r="AI123" s="62" t="str">
        <x:f>IF(F123=MONTH(L123),"OK","FAIL")</x:f>
        <x:v>OK</x:v>
      </x:c>
      <x:c r="AJ123" s="62" t="str">
        <x:f>IF(J123&lt;=L123,"OK","FAIL")</x:f>
        <x:v>OK</x:v>
      </x:c>
      <x:c r="AK123" s="62" t="str">
        <x:f>IF(D123&lt;&gt;"营业收入","OK",IF(AND(P123&lt;0,Q123&gt;0),"OK","FAIL"))</x:f>
        <x:v>OK</x:v>
      </x:c>
      <x:c r="AL123" s="62" t="str">
        <x:f>IF(COUNTIF($A$2:$A$218,A123)=1,"OK","FAIL")</x:f>
        <x:v>OK</x:v>
      </x:c>
    </x:row>
    <x:row r="124" ht="23" customHeight="1">
      <x:c r="A124" s="62" t="str">
        <x:v>DEMO01|2025|DOC2122|10</x:v>
      </x:c>
      <x:c r="B124" s="62" t="str">
        <x:v>SOURCE</x:v>
      </x:c>
      <x:c r="C124" s="62" t="str">
        <x:v>营业收入</x:v>
      </x:c>
      <x:c r="D124" s="62" t="str">
        <x:v>营业收入</x:v>
      </x:c>
      <x:c r="E124" s="62" t="n">
        <x:v>6</x:v>
      </x:c>
      <x:c r="F124" s="62" t="n">
        <x:v>6</x:v>
      </x:c>
      <x:c r="G124" s="62" t="str">
        <x:v>DOC2122</x:v>
      </x:c>
      <x:c r="H124" s="62" t="n">
        <x:v>10</x:v>
      </x:c>
      <x:c r="I124" s="74" t="n">
        <x:v>45823</x:v>
      </x:c>
      <x:c r="J124" s="74" t="n">
        <x:v>45823</x:v>
      </x:c>
      <x:c r="K124" s="74" t="n">
        <x:v>45823</x:v>
      </x:c>
      <x:c r="L124" s="74" t="n">
        <x:v>45823</x:v>
      </x:c>
      <x:c r="M124" s="77" t="n">
        <x:v>-29.9</x:v>
      </x:c>
      <x:c r="N124" s="77"/>
      <x:c r="O124" s="78"/>
      <x:c r="P124" s="79" t="n">
        <x:f>M124</x:f>
        <x:v>-29.9</x:v>
      </x:c>
      <x:c r="Q124" s="79" t="n">
        <x:f>IF(D124="营业收入",-P124,P124)</x:f>
        <x:v>29.9</x:v>
      </x:c>
      <x:c r="R124" s="62" t="str">
        <x:v>CNY</x:v>
      </x:c>
      <x:c r="S124" s="62" t="str">
        <x:v>万元</x:v>
      </x:c>
      <x:c r="T124" s="62" t="str">
        <x:v>收益；源负号</x:v>
      </x:c>
      <x:c r="U124" s="62" t="str">
        <x:v>安全运行部</x:v>
      </x:c>
      <x:c r="V124" s="62" t="str">
        <x:v>概率安全分析收入确认</x:v>
      </x:c>
      <x:c r="W124" s="62" t="str">
        <x:v>概率安全分析收入确认</x:v>
      </x:c>
      <x:c r="X124" s="62" t="str">
        <x:v>17</x:v>
      </x:c>
      <x:c r="Y124" s="62" t="str">
        <x:v>17</x:v>
      </x:c>
      <x:c r="Z124" s="62" t="str">
        <x:v>17</x:v>
      </x:c>
      <x:c r="AA124" s="62" t="str">
        <x:v>概率安全分析</x:v>
      </x:c>
      <x:c r="AB124" s="62" t="str">
        <x:v>PRJ-AQ-概率-2025-003</x:v>
      </x:c>
      <x:c r="AC124" s="74" t="n">
        <x:v>46022</x:v>
      </x:c>
      <x:c r="AD124" s="71" t="str">
        <x:v>源记录保留</x:v>
      </x:c>
      <x:c r="AE124" s="71" t="str">
        <x:v>2025年实际执行.xlsx</x:v>
      </x:c>
      <x:c r="AF124" s="71" t="str">
        <x:v>Sheet</x:v>
      </x:c>
      <x:c r="AG124" s="71" t="n">
        <x:v>124</x:v>
      </x:c>
      <x:c r="AH124" s="71" t="str">
        <x:v>2025年实际执行.xlsx/Sheet!124:124</x:v>
      </x:c>
      <x:c r="AI124" s="62" t="str">
        <x:f>IF(F124=MONTH(L124),"OK","FAIL")</x:f>
        <x:v>OK</x:v>
      </x:c>
      <x:c r="AJ124" s="62" t="str">
        <x:f>IF(J124&lt;=L124,"OK","FAIL")</x:f>
        <x:v>OK</x:v>
      </x:c>
      <x:c r="AK124" s="62" t="str">
        <x:f>IF(D124&lt;&gt;"营业收入","OK",IF(AND(P124&lt;0,Q124&gt;0),"OK","FAIL"))</x:f>
        <x:v>OK</x:v>
      </x:c>
      <x:c r="AL124" s="62" t="str">
        <x:f>IF(COUNTIF($A$2:$A$218,A124)=1,"OK","FAIL")</x:f>
        <x:v>OK</x:v>
      </x:c>
    </x:row>
    <x:row r="125" ht="23" customHeight="1">
      <x:c r="A125" s="62" t="str">
        <x:v>DEMO01|2025|DOC2123|10</x:v>
      </x:c>
      <x:c r="B125" s="62" t="str">
        <x:v>SOURCE</x:v>
      </x:c>
      <x:c r="C125" s="62" t="str">
        <x:v>会议费</x:v>
      </x:c>
      <x:c r="D125" s="62" t="str">
        <x:v>会议费</x:v>
      </x:c>
      <x:c r="E125" s="62" t="n">
        <x:v>2</x:v>
      </x:c>
      <x:c r="F125" s="62" t="n">
        <x:v>2</x:v>
      </x:c>
      <x:c r="G125" s="62" t="str">
        <x:v>DOC2123</x:v>
      </x:c>
      <x:c r="H125" s="62" t="n">
        <x:v>10</x:v>
      </x:c>
      <x:c r="I125" s="74" t="n">
        <x:v>45703</x:v>
      </x:c>
      <x:c r="J125" s="74" t="n">
        <x:v>45703</x:v>
      </x:c>
      <x:c r="K125" s="74" t="n">
        <x:v>45703</x:v>
      </x:c>
      <x:c r="L125" s="74" t="n">
        <x:v>45703</x:v>
      </x:c>
      <x:c r="M125" s="77" t="n">
        <x:v>1</x:v>
      </x:c>
      <x:c r="N125" s="77"/>
      <x:c r="O125" s="78"/>
      <x:c r="P125" s="79" t="n">
        <x:f>M125</x:f>
        <x:v>1</x:v>
      </x:c>
      <x:c r="Q125" s="79" t="n">
        <x:f>IF(D125="营业收入",-P125,P125)</x:f>
        <x:v>1</x:v>
      </x:c>
      <x:c r="R125" s="62" t="str">
        <x:v>CNY</x:v>
      </x:c>
      <x:c r="S125" s="62" t="str">
        <x:v>万元</x:v>
      </x:c>
      <x:c r="T125" s="62" t="str">
        <x:v>费用不含税</x:v>
      </x:c>
      <x:c r="U125" s="62" t="str">
        <x:v>安全运行部</x:v>
      </x:c>
      <x:c r="V125" s="62" t="str">
        <x:v>概率安全分析项目阶段评审会</x:v>
      </x:c>
      <x:c r="W125" s="62" t="str">
        <x:v>概率安全分析项目阶段评审会</x:v>
      </x:c>
      <x:c r="X125" s="62" t="str">
        <x:v>国电智深</x:v>
      </x:c>
      <x:c r="Y125" s="62" t="str">
        <x:v>国电智深</x:v>
      </x:c>
      <x:c r="Z125" s="62" t="str">
        <x:v>17</x:v>
      </x:c>
      <x:c r="AA125" s="62" t="str">
        <x:v>概率安全分析</x:v>
      </x:c>
      <x:c r="AB125" s="62" t="str">
        <x:v>PRJ-AQ-概率-2025-003</x:v>
      </x:c>
      <x:c r="AC125" s="74" t="n">
        <x:v>46022</x:v>
      </x:c>
      <x:c r="AD125" s="71" t="str">
        <x:v>源记录保留</x:v>
      </x:c>
      <x:c r="AE125" s="71" t="str">
        <x:v>2025年实际执行.xlsx</x:v>
      </x:c>
      <x:c r="AF125" s="71" t="str">
        <x:v>Sheet</x:v>
      </x:c>
      <x:c r="AG125" s="71" t="n">
        <x:v>125</x:v>
      </x:c>
      <x:c r="AH125" s="71" t="str">
        <x:v>2025年实际执行.xlsx/Sheet!125:125</x:v>
      </x:c>
      <x:c r="AI125" s="62" t="str">
        <x:f>IF(F125=MONTH(L125),"OK","FAIL")</x:f>
        <x:v>OK</x:v>
      </x:c>
      <x:c r="AJ125" s="62" t="str">
        <x:f>IF(J125&lt;=L125,"OK","FAIL")</x:f>
        <x:v>OK</x:v>
      </x:c>
      <x:c r="AK125" s="62" t="str">
        <x:f>IF(D125&lt;&gt;"营业收入","OK",IF(AND(P125&lt;0,Q125&gt;0),"OK","FAIL"))</x:f>
        <x:v>OK</x:v>
      </x:c>
      <x:c r="AL125" s="62" t="str">
        <x:f>IF(COUNTIF($A$2:$A$218,A125)=1,"OK","FAIL")</x:f>
        <x:v>OK</x:v>
      </x:c>
    </x:row>
    <x:row r="126" ht="23" customHeight="1">
      <x:c r="A126" s="62" t="str">
        <x:v>DEMO01|2025|DOC2124|10</x:v>
      </x:c>
      <x:c r="B126" s="62" t="str">
        <x:v>SOURCE</x:v>
      </x:c>
      <x:c r="C126" s="62" t="str">
        <x:v>业务支持费</x:v>
      </x:c>
      <x:c r="D126" s="62" t="str">
        <x:v>业务支持费-技术配置</x:v>
      </x:c>
      <x:c r="E126" s="62" t="n">
        <x:v>6</x:v>
      </x:c>
      <x:c r="F126" s="62" t="n">
        <x:v>6</x:v>
      </x:c>
      <x:c r="G126" s="62" t="str">
        <x:v>DOC2124</x:v>
      </x:c>
      <x:c r="H126" s="62" t="n">
        <x:v>10</x:v>
      </x:c>
      <x:c r="I126" s="74" t="n">
        <x:v>45823</x:v>
      </x:c>
      <x:c r="J126" s="74" t="n">
        <x:v>45823</x:v>
      </x:c>
      <x:c r="K126" s="74" t="n">
        <x:v>45823</x:v>
      </x:c>
      <x:c r="L126" s="74" t="n">
        <x:v>45823</x:v>
      </x:c>
      <x:c r="M126" s="77" t="n">
        <x:v>13</x:v>
      </x:c>
      <x:c r="N126" s="77"/>
      <x:c r="O126" s="78"/>
      <x:c r="P126" s="79" t="n">
        <x:f>M126</x:f>
        <x:v>13</x:v>
      </x:c>
      <x:c r="Q126" s="79" t="n">
        <x:f>IF(D126="营业收入",-P126,P126)</x:f>
        <x:v>13</x:v>
      </x:c>
      <x:c r="R126" s="62" t="str">
        <x:v>CNY</x:v>
      </x:c>
      <x:c r="S126" s="62" t="str">
        <x:v>万元</x:v>
      </x:c>
      <x:c r="T126" s="62" t="str">
        <x:v>费用不含税</x:v>
      </x:c>
      <x:c r="U126" s="62" t="str">
        <x:v>安全运行部</x:v>
      </x:c>
      <x:c r="V126" s="62" t="str">
        <x:v>概率安全分析技术配置_实施阶段</x:v>
      </x:c>
      <x:c r="W126" s="62" t="str">
        <x:v>概率安全分析技术配置_实施阶段</x:v>
      </x:c>
      <x:c r="X126" s="62" t="str">
        <x:v>供应商2</x:v>
      </x:c>
      <x:c r="Y126" s="62" t="str">
        <x:v>供应商2</x:v>
      </x:c>
      <x:c r="Z126" s="62" t="str">
        <x:v>17</x:v>
      </x:c>
      <x:c r="AA126" s="62" t="str">
        <x:v>概率安全分析</x:v>
      </x:c>
      <x:c r="AB126" s="62" t="str">
        <x:v>PRJ-AQ-概率-2025-003</x:v>
      </x:c>
      <x:c r="AC126" s="74" t="n">
        <x:v>46022</x:v>
      </x:c>
      <x:c r="AD126" s="71" t="str">
        <x:v>源记录保留</x:v>
      </x:c>
      <x:c r="AE126" s="71" t="str">
        <x:v>2025年实际执行.xlsx</x:v>
      </x:c>
      <x:c r="AF126" s="71" t="str">
        <x:v>Sheet</x:v>
      </x:c>
      <x:c r="AG126" s="71" t="n">
        <x:v>126</x:v>
      </x:c>
      <x:c r="AH126" s="71" t="str">
        <x:v>2025年实际执行.xlsx/Sheet!126:126</x:v>
      </x:c>
      <x:c r="AI126" s="62" t="str">
        <x:f>IF(F126=MONTH(L126),"OK","FAIL")</x:f>
        <x:v>OK</x:v>
      </x:c>
      <x:c r="AJ126" s="62" t="str">
        <x:f>IF(J126&lt;=L126,"OK","FAIL")</x:f>
        <x:v>OK</x:v>
      </x:c>
      <x:c r="AK126" s="62" t="str">
        <x:f>IF(D126&lt;&gt;"营业收入","OK",IF(AND(P126&lt;0,Q126&gt;0),"OK","FAIL"))</x:f>
        <x:v>OK</x:v>
      </x:c>
      <x:c r="AL126" s="62" t="str">
        <x:f>IF(COUNTIF($A$2:$A$218,A126)=1,"OK","FAIL")</x:f>
        <x:v>OK</x:v>
      </x:c>
    </x:row>
    <x:row r="127" ht="23" customHeight="1">
      <x:c r="A127" s="62" t="str">
        <x:v>DEMO01|2025|DOC2125|10</x:v>
      </x:c>
      <x:c r="B127" s="62" t="str">
        <x:v>SOURCE</x:v>
      </x:c>
      <x:c r="C127" s="62" t="str">
        <x:v>生产物料费</x:v>
      </x:c>
      <x:c r="D127" s="62" t="str">
        <x:v>生产物料费</x:v>
      </x:c>
      <x:c r="E127" s="62" t="n">
        <x:v>1</x:v>
      </x:c>
      <x:c r="F127" s="62" t="n">
        <x:v>1</x:v>
      </x:c>
      <x:c r="G127" s="62" t="str">
        <x:v>DOC2125</x:v>
      </x:c>
      <x:c r="H127" s="62" t="n">
        <x:v>10</x:v>
      </x:c>
      <x:c r="I127" s="74" t="n">
        <x:v>45672</x:v>
      </x:c>
      <x:c r="J127" s="74" t="n">
        <x:v>45672</x:v>
      </x:c>
      <x:c r="K127" s="74" t="n">
        <x:v>45672</x:v>
      </x:c>
      <x:c r="L127" s="74" t="n">
        <x:v>45672</x:v>
      </x:c>
      <x:c r="M127" s="77" t="n">
        <x:v>2.391</x:v>
      </x:c>
      <x:c r="N127" s="77"/>
      <x:c r="O127" s="78"/>
      <x:c r="P127" s="79" t="n">
        <x:f>M127</x:f>
        <x:v>2.391</x:v>
      </x:c>
      <x:c r="Q127" s="79" t="n">
        <x:f>IF(D127="营业收入",-P127,P127)</x:f>
        <x:v>2.391</x:v>
      </x:c>
      <x:c r="R127" s="62" t="str">
        <x:v>CNY</x:v>
      </x:c>
      <x:c r="S127" s="62" t="str">
        <x:v>万元</x:v>
      </x:c>
      <x:c r="T127" s="62" t="str">
        <x:v>费用不含税</x:v>
      </x:c>
      <x:c r="U127" s="62" t="str">
        <x:v>安全运行部</x:v>
      </x:c>
      <x:c r="V127" s="62" t="str">
        <x:v>概率安全分析现场物料采购</x:v>
      </x:c>
      <x:c r="W127" s="62" t="str">
        <x:v>概率安全分析现场物料采购</x:v>
      </x:c>
      <x:c r="X127" s="62" t="str">
        <x:v>国电智深</x:v>
      </x:c>
      <x:c r="Y127" s="62" t="str">
        <x:v>国电智深</x:v>
      </x:c>
      <x:c r="Z127" s="62" t="str">
        <x:v>17</x:v>
      </x:c>
      <x:c r="AA127" s="62" t="str">
        <x:v>概率安全分析</x:v>
      </x:c>
      <x:c r="AB127" s="62" t="str">
        <x:v>PRJ-AQ-概率-2025-003</x:v>
      </x:c>
      <x:c r="AC127" s="74" t="n">
        <x:v>46022</x:v>
      </x:c>
      <x:c r="AD127" s="71" t="str">
        <x:v>源记录保留</x:v>
      </x:c>
      <x:c r="AE127" s="71" t="str">
        <x:v>2025年实际执行.xlsx</x:v>
      </x:c>
      <x:c r="AF127" s="71" t="str">
        <x:v>Sheet</x:v>
      </x:c>
      <x:c r="AG127" s="71" t="n">
        <x:v>127</x:v>
      </x:c>
      <x:c r="AH127" s="71" t="str">
        <x:v>2025年实际执行.xlsx/Sheet!127:127</x:v>
      </x:c>
      <x:c r="AI127" s="62" t="str">
        <x:f>IF(F127=MONTH(L127),"OK","FAIL")</x:f>
        <x:v>OK</x:v>
      </x:c>
      <x:c r="AJ127" s="62" t="str">
        <x:f>IF(J127&lt;=L127,"OK","FAIL")</x:f>
        <x:v>OK</x:v>
      </x:c>
      <x:c r="AK127" s="62" t="str">
        <x:f>IF(D127&lt;&gt;"营业收入","OK",IF(AND(P127&lt;0,Q127&gt;0),"OK","FAIL"))</x:f>
        <x:v>OK</x:v>
      </x:c>
      <x:c r="AL127" s="62" t="str">
        <x:f>IF(COUNTIF($A$2:$A$218,A127)=1,"OK","FAIL")</x:f>
        <x:v>OK</x:v>
      </x:c>
    </x:row>
    <x:row r="128" ht="23" customHeight="1">
      <x:c r="A128" s="62" t="str">
        <x:v>DEMO01|2025|DOC2126|10</x:v>
      </x:c>
      <x:c r="B128" s="62" t="str">
        <x:v>SOURCE</x:v>
      </x:c>
      <x:c r="C128" s="62" t="str">
        <x:v>办公费</x:v>
      </x:c>
      <x:c r="D128" s="62" t="str">
        <x:v>办公费</x:v>
      </x:c>
      <x:c r="E128" s="62" t="n">
        <x:v>10</x:v>
      </x:c>
      <x:c r="F128" s="62" t="n">
        <x:v>10</x:v>
      </x:c>
      <x:c r="G128" s="62" t="str">
        <x:v>DOC2126</x:v>
      </x:c>
      <x:c r="H128" s="62" t="n">
        <x:v>10</x:v>
      </x:c>
      <x:c r="I128" s="74" t="n">
        <x:v>45945</x:v>
      </x:c>
      <x:c r="J128" s="74" t="n">
        <x:v>45945</x:v>
      </x:c>
      <x:c r="K128" s="74" t="n">
        <x:v>45945</x:v>
      </x:c>
      <x:c r="L128" s="74" t="n">
        <x:v>45945</x:v>
      </x:c>
      <x:c r="M128" s="77" t="n">
        <x:v>0.4782</x:v>
      </x:c>
      <x:c r="N128" s="77"/>
      <x:c r="O128" s="78"/>
      <x:c r="P128" s="79" t="n">
        <x:f>M128</x:f>
        <x:v>0.4782</x:v>
      </x:c>
      <x:c r="Q128" s="79" t="n">
        <x:f>IF(D128="营业收入",-P128,P128)</x:f>
        <x:v>0.4782</x:v>
      </x:c>
      <x:c r="R128" s="62" t="str">
        <x:v>CNY</x:v>
      </x:c>
      <x:c r="S128" s="62" t="str">
        <x:v>万元</x:v>
      </x:c>
      <x:c r="T128" s="62" t="str">
        <x:v>费用不含税</x:v>
      </x:c>
      <x:c r="U128" s="62" t="str">
        <x:v>安全运行部</x:v>
      </x:c>
      <x:c r="V128" s="62" t="str">
        <x:v>概率安全分析日常办公</x:v>
      </x:c>
      <x:c r="W128" s="62" t="str">
        <x:v>概率安全分析日常办公</x:v>
      </x:c>
      <x:c r="X128" s="62" t="str">
        <x:v>国电智深</x:v>
      </x:c>
      <x:c r="Y128" s="62" t="str">
        <x:v>国电智深</x:v>
      </x:c>
      <x:c r="Z128" s="62" t="str">
        <x:v>17</x:v>
      </x:c>
      <x:c r="AA128" s="62" t="str">
        <x:v>概率安全分析</x:v>
      </x:c>
      <x:c r="AB128" s="62" t="str">
        <x:v>PRJ-AQ-概率-2025-003</x:v>
      </x:c>
      <x:c r="AC128" s="74" t="n">
        <x:v>46022</x:v>
      </x:c>
      <x:c r="AD128" s="71" t="str">
        <x:v>源记录保留</x:v>
      </x:c>
      <x:c r="AE128" s="71" t="str">
        <x:v>2025年实际执行.xlsx</x:v>
      </x:c>
      <x:c r="AF128" s="71" t="str">
        <x:v>Sheet</x:v>
      </x:c>
      <x:c r="AG128" s="71" t="n">
        <x:v>128</x:v>
      </x:c>
      <x:c r="AH128" s="71" t="str">
        <x:v>2025年实际执行.xlsx/Sheet!128:128</x:v>
      </x:c>
      <x:c r="AI128" s="62" t="str">
        <x:f>IF(F128=MONTH(L128),"OK","FAIL")</x:f>
        <x:v>OK</x:v>
      </x:c>
      <x:c r="AJ128" s="62" t="str">
        <x:f>IF(J128&lt;=L128,"OK","FAIL")</x:f>
        <x:v>OK</x:v>
      </x:c>
      <x:c r="AK128" s="62" t="str">
        <x:f>IF(D128&lt;&gt;"营业收入","OK",IF(AND(P128&lt;0,Q128&gt;0),"OK","FAIL"))</x:f>
        <x:v>OK</x:v>
      </x:c>
      <x:c r="AL128" s="62" t="str">
        <x:f>IF(COUNTIF($A$2:$A$218,A128)=1,"OK","FAIL")</x:f>
        <x:v>OK</x:v>
      </x:c>
    </x:row>
    <x:row r="129" ht="23" customHeight="1">
      <x:c r="A129" s="62" t="str">
        <x:v>DEMO01|2025|DOC2127|10</x:v>
      </x:c>
      <x:c r="B129" s="62" t="str">
        <x:v>CORRECTED</x:v>
      </x:c>
      <x:c r="C129" s="62" t="str">
        <x:v>交通运输费</x:v>
      </x:c>
      <x:c r="D129" s="62" t="str">
        <x:v>交通运输费</x:v>
      </x:c>
      <x:c r="E129" s="62" t="n">
        <x:v>9</x:v>
      </x:c>
      <x:c r="F129" s="62" t="n">
        <x:v>9</x:v>
      </x:c>
      <x:c r="G129" s="62" t="str">
        <x:v>DOC2127</x:v>
      </x:c>
      <x:c r="H129" s="62" t="n">
        <x:v>10</x:v>
      </x:c>
      <x:c r="I129" s="74" t="n">
        <x:v>45915</x:v>
      </x:c>
      <x:c r="J129" s="74" t="n">
        <x:v>45915</x:v>
      </x:c>
      <x:c r="K129" s="74" t="n">
        <x:v>45915</x:v>
      </x:c>
      <x:c r="L129" s="74" t="n">
        <x:v>45915</x:v>
      </x:c>
      <x:c r="M129" s="77" t="n">
        <x:v>0.797</x:v>
      </x:c>
      <x:c r="N129" s="77"/>
      <x:c r="O129" s="78"/>
      <x:c r="P129" s="79" t="n">
        <x:f>M129</x:f>
        <x:v>0.797</x:v>
      </x:c>
      <x:c r="Q129" s="79" t="n">
        <x:f>IF(D129="营业收入",-P129,P129)</x:f>
        <x:v>0.797</x:v>
      </x:c>
      <x:c r="R129" s="62" t="str">
        <x:v>CNY</x:v>
      </x:c>
      <x:c r="S129" s="62" t="str">
        <x:v>万元</x:v>
      </x:c>
      <x:c r="T129" s="62" t="str">
        <x:v>费用不含税</x:v>
      </x:c>
      <x:c r="U129" s="62" t="str">
        <x:v>安全运行部</x:v>
      </x:c>
      <x:c r="V129" s="62" t="str">
        <x:v>概率安全分析材料运输</x:v>
      </x:c>
      <x:c r="W129" s="62" t="str">
        <x:v>概率安全分析材料运输</x:v>
      </x:c>
      <x:c r="X129" s="62" t="str">
        <x:v>国电智深</x:v>
      </x:c>
      <x:c r="Y129" s="62" t="str">
        <x:v>国电智深</x:v>
      </x:c>
      <x:c r="Z129" s="62" t="str">
        <x:v>17</x:v>
      </x:c>
      <x:c r="AA129" s="62" t="str">
        <x:v>概率安全分析</x:v>
      </x:c>
      <x:c r="AB129" s="62" t="str">
        <x:v>PRJ-AQ-概率-2025-003</x:v>
      </x:c>
      <x:c r="AC129" s="74" t="n">
        <x:v>46022</x:v>
      </x:c>
      <x:c r="AD129" s="71" t="str">
        <x:v>补凭证行号</x:v>
      </x:c>
      <x:c r="AE129" s="71" t="str">
        <x:v>2025年实际执行.xlsx</x:v>
      </x:c>
      <x:c r="AF129" s="71" t="str">
        <x:v>Sheet</x:v>
      </x:c>
      <x:c r="AG129" s="71" t="n">
        <x:v>129</x:v>
      </x:c>
      <x:c r="AH129" s="71" t="str">
        <x:v>2025年实际执行.xlsx/Sheet!129:129</x:v>
      </x:c>
      <x:c r="AI129" s="62" t="str">
        <x:f>IF(F129=MONTH(L129),"OK","FAIL")</x:f>
        <x:v>OK</x:v>
      </x:c>
      <x:c r="AJ129" s="62" t="str">
        <x:f>IF(J129&lt;=L129,"OK","FAIL")</x:f>
        <x:v>OK</x:v>
      </x:c>
      <x:c r="AK129" s="62" t="str">
        <x:f>IF(D129&lt;&gt;"营业收入","OK",IF(AND(P129&lt;0,Q129&gt;0),"OK","FAIL"))</x:f>
        <x:v>OK</x:v>
      </x:c>
      <x:c r="AL129" s="62" t="str">
        <x:f>IF(COUNTIF($A$2:$A$218,A129)=1,"OK","FAIL")</x:f>
        <x:v>OK</x:v>
      </x:c>
    </x:row>
    <x:row r="130" ht="23" customHeight="1">
      <x:c r="A130" s="62" t="str">
        <x:v>DEMO01|2025|DOC2128|10</x:v>
      </x:c>
      <x:c r="B130" s="62" t="str">
        <x:v>SOURCE</x:v>
      </x:c>
      <x:c r="C130" s="62" t="str">
        <x:v>人工成本</x:v>
      </x:c>
      <x:c r="D130" s="62" t="str">
        <x:v>人工成本</x:v>
      </x:c>
      <x:c r="E130" s="62" t="n">
        <x:v>6</x:v>
      </x:c>
      <x:c r="F130" s="62" t="n">
        <x:v>6</x:v>
      </x:c>
      <x:c r="G130" s="62" t="str">
        <x:v>DOC2128</x:v>
      </x:c>
      <x:c r="H130" s="62" t="n">
        <x:v>10</x:v>
      </x:c>
      <x:c r="I130" s="74" t="n">
        <x:v>45838</x:v>
      </x:c>
      <x:c r="J130" s="74" t="n">
        <x:v>45838</x:v>
      </x:c>
      <x:c r="K130" s="74" t="n">
        <x:v>45838</x:v>
      </x:c>
      <x:c r="L130" s="74" t="n">
        <x:v>45838</x:v>
      </x:c>
      <x:c r="M130" s="77" t="n">
        <x:v>10</x:v>
      </x:c>
      <x:c r="N130" s="77"/>
      <x:c r="O130" s="78"/>
      <x:c r="P130" s="79" t="n">
        <x:f>M130</x:f>
        <x:v>10</x:v>
      </x:c>
      <x:c r="Q130" s="79" t="n">
        <x:f>IF(D130="营业收入",-P130,P130)</x:f>
        <x:v>10</x:v>
      </x:c>
      <x:c r="R130" s="62" t="str">
        <x:v>CNY</x:v>
      </x:c>
      <x:c r="S130" s="62" t="str">
        <x:v>万元</x:v>
      </x:c>
      <x:c r="T130" s="62" t="str">
        <x:v>费用不含税</x:v>
      </x:c>
      <x:c r="U130" s="62" t="str">
        <x:v>安全运行部</x:v>
      </x:c>
      <x:c r="V130" s="62" t="str">
        <x:v>概率安全分析人工成本分摊</x:v>
      </x:c>
      <x:c r="W130" s="62" t="str">
        <x:v>概率安全分析人工成本分摊</x:v>
      </x:c>
      <x:c r="X130" s="62" t="str">
        <x:v>17</x:v>
      </x:c>
      <x:c r="Y130" s="62" t="str">
        <x:v>17</x:v>
      </x:c>
      <x:c r="Z130" s="62" t="str">
        <x:v>17</x:v>
      </x:c>
      <x:c r="AA130" s="62" t="str">
        <x:v>概率安全分析</x:v>
      </x:c>
      <x:c r="AB130" s="62" t="str">
        <x:v>PRJ-AQ-概率-2025-003</x:v>
      </x:c>
      <x:c r="AC130" s="74" t="n">
        <x:v>46022</x:v>
      </x:c>
      <x:c r="AD130" s="71" t="str">
        <x:v>源记录保留</x:v>
      </x:c>
      <x:c r="AE130" s="71" t="str">
        <x:v>2025年实际执行.xlsx</x:v>
      </x:c>
      <x:c r="AF130" s="71" t="str">
        <x:v>Sheet</x:v>
      </x:c>
      <x:c r="AG130" s="71" t="n">
        <x:v>130</x:v>
      </x:c>
      <x:c r="AH130" s="71" t="str">
        <x:v>2025年实际执行.xlsx/Sheet!130:130</x:v>
      </x:c>
      <x:c r="AI130" s="62" t="str">
        <x:f>IF(F130=MONTH(L130),"OK","FAIL")</x:f>
        <x:v>OK</x:v>
      </x:c>
      <x:c r="AJ130" s="62" t="str">
        <x:f>IF(J130&lt;=L130,"OK","FAIL")</x:f>
        <x:v>OK</x:v>
      </x:c>
      <x:c r="AK130" s="62" t="str">
        <x:f>IF(D130&lt;&gt;"营业收入","OK",IF(AND(P130&lt;0,Q130&gt;0),"OK","FAIL"))</x:f>
        <x:v>OK</x:v>
      </x:c>
      <x:c r="AL130" s="62" t="str">
        <x:f>IF(COUNTIF($A$2:$A$218,A130)=1,"OK","FAIL")</x:f>
        <x:v>OK</x:v>
      </x:c>
    </x:row>
    <x:row r="131" ht="23" customHeight="1">
      <x:c r="A131" s="62" t="str">
        <x:v>DEMO01|2025|DOC2129|10</x:v>
      </x:c>
      <x:c r="B131" s="62" t="str">
        <x:v>SOURCE</x:v>
      </x:c>
      <x:c r="C131" s="62" t="str">
        <x:v>折旧摊销</x:v>
      </x:c>
      <x:c r="D131" s="62" t="str">
        <x:v>折旧摊销</x:v>
      </x:c>
      <x:c r="E131" s="62" t="n">
        <x:v>12</x:v>
      </x:c>
      <x:c r="F131" s="62" t="n">
        <x:v>12</x:v>
      </x:c>
      <x:c r="G131" s="62" t="str">
        <x:v>DOC2129</x:v>
      </x:c>
      <x:c r="H131" s="62" t="n">
        <x:v>10</x:v>
      </x:c>
      <x:c r="I131" s="74" t="n">
        <x:v>46022</x:v>
      </x:c>
      <x:c r="J131" s="74" t="n">
        <x:v>46022</x:v>
      </x:c>
      <x:c r="K131" s="74" t="n">
        <x:v>46022</x:v>
      </x:c>
      <x:c r="L131" s="74" t="n">
        <x:v>46022</x:v>
      </x:c>
      <x:c r="M131" s="77" t="n">
        <x:v>2</x:v>
      </x:c>
      <x:c r="N131" s="77"/>
      <x:c r="O131" s="78"/>
      <x:c r="P131" s="79" t="n">
        <x:f>M131</x:f>
        <x:v>2</x:v>
      </x:c>
      <x:c r="Q131" s="79" t="n">
        <x:f>IF(D131="营业收入",-P131,P131)</x:f>
        <x:v>2</x:v>
      </x:c>
      <x:c r="R131" s="62" t="str">
        <x:v>CNY</x:v>
      </x:c>
      <x:c r="S131" s="62" t="str">
        <x:v>万元</x:v>
      </x:c>
      <x:c r="T131" s="62" t="str">
        <x:v>费用不含税</x:v>
      </x:c>
      <x:c r="U131" s="62" t="str">
        <x:v>安全运行部</x:v>
      </x:c>
      <x:c r="V131" s="62" t="str">
        <x:v>概率安全分析折旧摊销分摊</x:v>
      </x:c>
      <x:c r="W131" s="62" t="str">
        <x:v>概率安全分析折旧摊销分摊</x:v>
      </x:c>
      <x:c r="X131" s="62" t="str">
        <x:v>17</x:v>
      </x:c>
      <x:c r="Y131" s="62" t="str">
        <x:v>17</x:v>
      </x:c>
      <x:c r="Z131" s="62" t="str">
        <x:v>17</x:v>
      </x:c>
      <x:c r="AA131" s="62" t="str">
        <x:v>概率安全分析</x:v>
      </x:c>
      <x:c r="AB131" s="62" t="str">
        <x:v>PRJ-AQ-概率-2025-003</x:v>
      </x:c>
      <x:c r="AC131" s="74" t="n">
        <x:v>46022</x:v>
      </x:c>
      <x:c r="AD131" s="71" t="str">
        <x:v>源记录保留</x:v>
      </x:c>
      <x:c r="AE131" s="71" t="str">
        <x:v>2025年实际执行.xlsx</x:v>
      </x:c>
      <x:c r="AF131" s="71" t="str">
        <x:v>Sheet</x:v>
      </x:c>
      <x:c r="AG131" s="71" t="n">
        <x:v>131</x:v>
      </x:c>
      <x:c r="AH131" s="71" t="str">
        <x:v>2025年实际执行.xlsx/Sheet!131:131</x:v>
      </x:c>
      <x:c r="AI131" s="62" t="str">
        <x:f>IF(F131=MONTH(L131),"OK","FAIL")</x:f>
        <x:v>OK</x:v>
      </x:c>
      <x:c r="AJ131" s="62" t="str">
        <x:f>IF(J131&lt;=L131,"OK","FAIL")</x:f>
        <x:v>OK</x:v>
      </x:c>
      <x:c r="AK131" s="62" t="str">
        <x:f>IF(D131&lt;&gt;"营业收入","OK",IF(AND(P131&lt;0,Q131&gt;0),"OK","FAIL"))</x:f>
        <x:v>OK</x:v>
      </x:c>
      <x:c r="AL131" s="62" t="str">
        <x:f>IF(COUNTIF($A$2:$A$218,A131)=1,"OK","FAIL")</x:f>
        <x:v>OK</x:v>
      </x:c>
    </x:row>
    <x:row r="132" ht="23" customHeight="1">
      <x:c r="A132" s="62" t="str">
        <x:v>DEMO01|2025|DOC2130|10</x:v>
      </x:c>
      <x:c r="B132" s="62" t="str">
        <x:v>SOURCE</x:v>
      </x:c>
      <x:c r="C132" s="62" t="str">
        <x:v>营业收入</x:v>
      </x:c>
      <x:c r="D132" s="62" t="str">
        <x:v>营业收入</x:v>
      </x:c>
      <x:c r="E132" s="62" t="n">
        <x:v>6</x:v>
      </x:c>
      <x:c r="F132" s="62" t="n">
        <x:v>6</x:v>
      </x:c>
      <x:c r="G132" s="62" t="str">
        <x:v>DOC2130</x:v>
      </x:c>
      <x:c r="H132" s="62" t="n">
        <x:v>10</x:v>
      </x:c>
      <x:c r="I132" s="74" t="n">
        <x:v>45823</x:v>
      </x:c>
      <x:c r="J132" s="74" t="n">
        <x:v>45823</x:v>
      </x:c>
      <x:c r="K132" s="74" t="n">
        <x:v>45823</x:v>
      </x:c>
      <x:c r="L132" s="74" t="n">
        <x:v>45823</x:v>
      </x:c>
      <x:c r="M132" s="77" t="n">
        <x:v>-29.9</x:v>
      </x:c>
      <x:c r="N132" s="77"/>
      <x:c r="O132" s="78"/>
      <x:c r="P132" s="79" t="n">
        <x:f>M132</x:f>
        <x:v>-29.9</x:v>
      </x:c>
      <x:c r="Q132" s="79" t="n">
        <x:f>IF(D132="营业收入",-P132,P132)</x:f>
        <x:v>29.9</x:v>
      </x:c>
      <x:c r="R132" s="62" t="str">
        <x:v>CNY</x:v>
      </x:c>
      <x:c r="S132" s="62" t="str">
        <x:v>万元</x:v>
      </x:c>
      <x:c r="T132" s="62" t="str">
        <x:v>收益；源负号</x:v>
      </x:c>
      <x:c r="U132" s="62" t="str">
        <x:v>安全运行部</x:v>
      </x:c>
      <x:c r="V132" s="62" t="str">
        <x:v>灾害防护收入确认</x:v>
      </x:c>
      <x:c r="W132" s="62" t="str">
        <x:v>灾害防护收入确认</x:v>
      </x:c>
      <x:c r="X132" s="62" t="str">
        <x:v>17</x:v>
      </x:c>
      <x:c r="Y132" s="62" t="str">
        <x:v>17</x:v>
      </x:c>
      <x:c r="Z132" s="62" t="str">
        <x:v>17</x:v>
      </x:c>
      <x:c r="AA132" s="62" t="str">
        <x:v>灾害防护</x:v>
      </x:c>
      <x:c r="AB132" s="62" t="str">
        <x:v>PRJ-AQ-灾害-2024-001</x:v>
      </x:c>
      <x:c r="AC132" s="74" t="n">
        <x:v>46022</x:v>
      </x:c>
      <x:c r="AD132" s="71" t="str">
        <x:v>源记录保留</x:v>
      </x:c>
      <x:c r="AE132" s="71" t="str">
        <x:v>2025年实际执行.xlsx</x:v>
      </x:c>
      <x:c r="AF132" s="71" t="str">
        <x:v>Sheet</x:v>
      </x:c>
      <x:c r="AG132" s="71" t="n">
        <x:v>132</x:v>
      </x:c>
      <x:c r="AH132" s="71" t="str">
        <x:v>2025年实际执行.xlsx/Sheet!132:132</x:v>
      </x:c>
      <x:c r="AI132" s="62" t="str">
        <x:f>IF(F132=MONTH(L132),"OK","FAIL")</x:f>
        <x:v>OK</x:v>
      </x:c>
      <x:c r="AJ132" s="62" t="str">
        <x:f>IF(J132&lt;=L132,"OK","FAIL")</x:f>
        <x:v>OK</x:v>
      </x:c>
      <x:c r="AK132" s="62" t="str">
        <x:f>IF(D132&lt;&gt;"营业收入","OK",IF(AND(P132&lt;0,Q132&gt;0),"OK","FAIL"))</x:f>
        <x:v>OK</x:v>
      </x:c>
      <x:c r="AL132" s="62" t="str">
        <x:f>IF(COUNTIF($A$2:$A$218,A132)=1,"OK","FAIL")</x:f>
        <x:v>OK</x:v>
      </x:c>
    </x:row>
    <x:row r="133" ht="23" customHeight="1">
      <x:c r="A133" s="62" t="str">
        <x:v>DEMO01|2025|DOC2131|10</x:v>
      </x:c>
      <x:c r="B133" s="62" t="str">
        <x:v>SOURCE</x:v>
      </x:c>
      <x:c r="C133" s="62" t="str">
        <x:v>会议费</x:v>
      </x:c>
      <x:c r="D133" s="62" t="str">
        <x:v>会议费</x:v>
      </x:c>
      <x:c r="E133" s="62" t="n">
        <x:v>10</x:v>
      </x:c>
      <x:c r="F133" s="62" t="n">
        <x:v>10</x:v>
      </x:c>
      <x:c r="G133" s="62" t="str">
        <x:v>DOC2131</x:v>
      </x:c>
      <x:c r="H133" s="62" t="n">
        <x:v>10</x:v>
      </x:c>
      <x:c r="I133" s="74" t="n">
        <x:v>45945</x:v>
      </x:c>
      <x:c r="J133" s="74" t="n">
        <x:v>45945</x:v>
      </x:c>
      <x:c r="K133" s="74" t="n">
        <x:v>45945</x:v>
      </x:c>
      <x:c r="L133" s="74" t="n">
        <x:v>45945</x:v>
      </x:c>
      <x:c r="M133" s="77" t="n">
        <x:v>5</x:v>
      </x:c>
      <x:c r="N133" s="77"/>
      <x:c r="O133" s="78"/>
      <x:c r="P133" s="79" t="n">
        <x:f>M133</x:f>
        <x:v>5</x:v>
      </x:c>
      <x:c r="Q133" s="79" t="n">
        <x:f>IF(D133="营业收入",-P133,P133)</x:f>
        <x:v>5</x:v>
      </x:c>
      <x:c r="R133" s="62" t="str">
        <x:v>CNY</x:v>
      </x:c>
      <x:c r="S133" s="62" t="str">
        <x:v>万元</x:v>
      </x:c>
      <x:c r="T133" s="62" t="str">
        <x:v>费用不含税</x:v>
      </x:c>
      <x:c r="U133" s="62" t="str">
        <x:v>安全运行部</x:v>
      </x:c>
      <x:c r="V133" s="62" t="str">
        <x:v>灾害防护项目阶段评审会</x:v>
      </x:c>
      <x:c r="W133" s="62" t="str">
        <x:v>灾害防护项目阶段评审会</x:v>
      </x:c>
      <x:c r="X133" s="62" t="str">
        <x:v>国电智深</x:v>
      </x:c>
      <x:c r="Y133" s="62" t="str">
        <x:v>国电智深</x:v>
      </x:c>
      <x:c r="Z133" s="62" t="str">
        <x:v>17</x:v>
      </x:c>
      <x:c r="AA133" s="62" t="str">
        <x:v>灾害防护</x:v>
      </x:c>
      <x:c r="AB133" s="62" t="str">
        <x:v>PRJ-AQ-灾害-2024-001</x:v>
      </x:c>
      <x:c r="AC133" s="74" t="n">
        <x:v>46022</x:v>
      </x:c>
      <x:c r="AD133" s="71" t="str">
        <x:v>源记录保留</x:v>
      </x:c>
      <x:c r="AE133" s="71" t="str">
        <x:v>2025年实际执行.xlsx</x:v>
      </x:c>
      <x:c r="AF133" s="71" t="str">
        <x:v>Sheet</x:v>
      </x:c>
      <x:c r="AG133" s="71" t="n">
        <x:v>133</x:v>
      </x:c>
      <x:c r="AH133" s="71" t="str">
        <x:v>2025年实际执行.xlsx/Sheet!133:133</x:v>
      </x:c>
      <x:c r="AI133" s="62" t="str">
        <x:f>IF(F133=MONTH(L133),"OK","FAIL")</x:f>
        <x:v>OK</x:v>
      </x:c>
      <x:c r="AJ133" s="62" t="str">
        <x:f>IF(J133&lt;=L133,"OK","FAIL")</x:f>
        <x:v>OK</x:v>
      </x:c>
      <x:c r="AK133" s="62" t="str">
        <x:f>IF(D133&lt;&gt;"营业收入","OK",IF(AND(P133&lt;0,Q133&gt;0),"OK","FAIL"))</x:f>
        <x:v>OK</x:v>
      </x:c>
      <x:c r="AL133" s="62" t="str">
        <x:f>IF(COUNTIF($A$2:$A$218,A133)=1,"OK","FAIL")</x:f>
        <x:v>OK</x:v>
      </x:c>
    </x:row>
    <x:row r="134" ht="23" customHeight="1">
      <x:c r="A134" s="62" t="str">
        <x:v>DEMO01|2025|DOC2132|10</x:v>
      </x:c>
      <x:c r="B134" s="62" t="str">
        <x:v>SOURCE</x:v>
      </x:c>
      <x:c r="C134" s="62" t="str">
        <x:v>业务支持费</x:v>
      </x:c>
      <x:c r="D134" s="62" t="str">
        <x:v>业务支持费-技术配置</x:v>
      </x:c>
      <x:c r="E134" s="62" t="n">
        <x:v>4</x:v>
      </x:c>
      <x:c r="F134" s="62" t="n">
        <x:v>4</x:v>
      </x:c>
      <x:c r="G134" s="62" t="str">
        <x:v>DOC2132</x:v>
      </x:c>
      <x:c r="H134" s="62" t="n">
        <x:v>10</x:v>
      </x:c>
      <x:c r="I134" s="74" t="n">
        <x:v>45762</x:v>
      </x:c>
      <x:c r="J134" s="74" t="n">
        <x:v>45762</x:v>
      </x:c>
      <x:c r="K134" s="74" t="n">
        <x:v>45762</x:v>
      </x:c>
      <x:c r="L134" s="74" t="n">
        <x:v>45762</x:v>
      </x:c>
      <x:c r="M134" s="77" t="n">
        <x:v>13</x:v>
      </x:c>
      <x:c r="N134" s="77"/>
      <x:c r="O134" s="78"/>
      <x:c r="P134" s="79" t="n">
        <x:f>M134</x:f>
        <x:v>13</x:v>
      </x:c>
      <x:c r="Q134" s="79" t="n">
        <x:f>IF(D134="营业收入",-P134,P134)</x:f>
        <x:v>13</x:v>
      </x:c>
      <x:c r="R134" s="62" t="str">
        <x:v>CNY</x:v>
      </x:c>
      <x:c r="S134" s="62" t="str">
        <x:v>万元</x:v>
      </x:c>
      <x:c r="T134" s="62" t="str">
        <x:v>费用不含税</x:v>
      </x:c>
      <x:c r="U134" s="62" t="str">
        <x:v>安全运行部</x:v>
      </x:c>
      <x:c r="V134" s="62" t="str">
        <x:v>灾害防护技术配置_实施阶段</x:v>
      </x:c>
      <x:c r="W134" s="62" t="str">
        <x:v>灾害防护技术配置_实施阶段</x:v>
      </x:c>
      <x:c r="X134" s="62" t="str">
        <x:v>供应商2</x:v>
      </x:c>
      <x:c r="Y134" s="62" t="str">
        <x:v>供应商2</x:v>
      </x:c>
      <x:c r="Z134" s="62" t="str">
        <x:v>17</x:v>
      </x:c>
      <x:c r="AA134" s="62" t="str">
        <x:v>灾害防护</x:v>
      </x:c>
      <x:c r="AB134" s="62" t="str">
        <x:v>PRJ-AQ-灾害-2024-001</x:v>
      </x:c>
      <x:c r="AC134" s="74" t="n">
        <x:v>46022</x:v>
      </x:c>
      <x:c r="AD134" s="71" t="str">
        <x:v>源记录保留</x:v>
      </x:c>
      <x:c r="AE134" s="71" t="str">
        <x:v>2025年实际执行.xlsx</x:v>
      </x:c>
      <x:c r="AF134" s="71" t="str">
        <x:v>Sheet</x:v>
      </x:c>
      <x:c r="AG134" s="71" t="n">
        <x:v>134</x:v>
      </x:c>
      <x:c r="AH134" s="71" t="str">
        <x:v>2025年实际执行.xlsx/Sheet!134:134</x:v>
      </x:c>
      <x:c r="AI134" s="62" t="str">
        <x:f>IF(F134=MONTH(L134),"OK","FAIL")</x:f>
        <x:v>OK</x:v>
      </x:c>
      <x:c r="AJ134" s="62" t="str">
        <x:f>IF(J134&lt;=L134,"OK","FAIL")</x:f>
        <x:v>OK</x:v>
      </x:c>
      <x:c r="AK134" s="62" t="str">
        <x:f>IF(D134&lt;&gt;"营业收入","OK",IF(AND(P134&lt;0,Q134&gt;0),"OK","FAIL"))</x:f>
        <x:v>OK</x:v>
      </x:c>
      <x:c r="AL134" s="62" t="str">
        <x:f>IF(COUNTIF($A$2:$A$218,A134)=1,"OK","FAIL")</x:f>
        <x:v>OK</x:v>
      </x:c>
    </x:row>
    <x:row r="135" ht="23" customHeight="1">
      <x:c r="A135" s="62" t="str">
        <x:v>DEMO01|2025|DOC2133|10</x:v>
      </x:c>
      <x:c r="B135" s="62" t="str">
        <x:v>SOURCE</x:v>
      </x:c>
      <x:c r="C135" s="62" t="str">
        <x:v>生产物料费</x:v>
      </x:c>
      <x:c r="D135" s="62" t="str">
        <x:v>生产物料费</x:v>
      </x:c>
      <x:c r="E135" s="62" t="n">
        <x:v>1</x:v>
      </x:c>
      <x:c r="F135" s="62" t="n">
        <x:v>1</x:v>
      </x:c>
      <x:c r="G135" s="62" t="str">
        <x:v>DOC2133</x:v>
      </x:c>
      <x:c r="H135" s="62" t="n">
        <x:v>10</x:v>
      </x:c>
      <x:c r="I135" s="74" t="n">
        <x:v>45672</x:v>
      </x:c>
      <x:c r="J135" s="74" t="n">
        <x:v>45672</x:v>
      </x:c>
      <x:c r="K135" s="74" t="n">
        <x:v>45672</x:v>
      </x:c>
      <x:c r="L135" s="74" t="n">
        <x:v>45672</x:v>
      </x:c>
      <x:c r="M135" s="77" t="n">
        <x:v>2.3385</x:v>
      </x:c>
      <x:c r="N135" s="77"/>
      <x:c r="O135" s="78"/>
      <x:c r="P135" s="79" t="n">
        <x:f>M135</x:f>
        <x:v>2.3385</x:v>
      </x:c>
      <x:c r="Q135" s="79" t="n">
        <x:f>IF(D135="营业收入",-P135,P135)</x:f>
        <x:v>2.3385</x:v>
      </x:c>
      <x:c r="R135" s="62" t="str">
        <x:v>CNY</x:v>
      </x:c>
      <x:c r="S135" s="62" t="str">
        <x:v>万元</x:v>
      </x:c>
      <x:c r="T135" s="62" t="str">
        <x:v>费用不含税</x:v>
      </x:c>
      <x:c r="U135" s="62" t="str">
        <x:v>安全运行部</x:v>
      </x:c>
      <x:c r="V135" s="62" t="str">
        <x:v>灾害防护现场物料采购</x:v>
      </x:c>
      <x:c r="W135" s="62" t="str">
        <x:v>灾害防护现场物料采购</x:v>
      </x:c>
      <x:c r="X135" s="62" t="str">
        <x:v>国电智深</x:v>
      </x:c>
      <x:c r="Y135" s="62" t="str">
        <x:v>国电智深</x:v>
      </x:c>
      <x:c r="Z135" s="62" t="str">
        <x:v>17</x:v>
      </x:c>
      <x:c r="AA135" s="62" t="str">
        <x:v>灾害防护</x:v>
      </x:c>
      <x:c r="AB135" s="62" t="str">
        <x:v>PRJ-AQ-灾害-2024-001</x:v>
      </x:c>
      <x:c r="AC135" s="74" t="n">
        <x:v>46022</x:v>
      </x:c>
      <x:c r="AD135" s="71" t="str">
        <x:v>源记录保留</x:v>
      </x:c>
      <x:c r="AE135" s="71" t="str">
        <x:v>2025年实际执行.xlsx</x:v>
      </x:c>
      <x:c r="AF135" s="71" t="str">
        <x:v>Sheet</x:v>
      </x:c>
      <x:c r="AG135" s="71" t="n">
        <x:v>135</x:v>
      </x:c>
      <x:c r="AH135" s="71" t="str">
        <x:v>2025年实际执行.xlsx/Sheet!135:135</x:v>
      </x:c>
      <x:c r="AI135" s="62" t="str">
        <x:f>IF(F135=MONTH(L135),"OK","FAIL")</x:f>
        <x:v>OK</x:v>
      </x:c>
      <x:c r="AJ135" s="62" t="str">
        <x:f>IF(J135&lt;=L135,"OK","FAIL")</x:f>
        <x:v>OK</x:v>
      </x:c>
      <x:c r="AK135" s="62" t="str">
        <x:f>IF(D135&lt;&gt;"营业收入","OK",IF(AND(P135&lt;0,Q135&gt;0),"OK","FAIL"))</x:f>
        <x:v>OK</x:v>
      </x:c>
      <x:c r="AL135" s="62" t="str">
        <x:f>IF(COUNTIF($A$2:$A$218,A135)=1,"OK","FAIL")</x:f>
        <x:v>OK</x:v>
      </x:c>
    </x:row>
    <x:row r="136" ht="23" customHeight="1">
      <x:c r="A136" s="62" t="str">
        <x:v>DEMO01|2025|DOC2134|10</x:v>
      </x:c>
      <x:c r="B136" s="62" t="str">
        <x:v>SOURCE</x:v>
      </x:c>
      <x:c r="C136" s="62" t="str">
        <x:v>办公费</x:v>
      </x:c>
      <x:c r="D136" s="62" t="str">
        <x:v>办公费</x:v>
      </x:c>
      <x:c r="E136" s="62" t="n">
        <x:v>2</x:v>
      </x:c>
      <x:c r="F136" s="62" t="n">
        <x:v>2</x:v>
      </x:c>
      <x:c r="G136" s="62" t="str">
        <x:v>DOC2134</x:v>
      </x:c>
      <x:c r="H136" s="62" t="n">
        <x:v>10</x:v>
      </x:c>
      <x:c r="I136" s="74" t="n">
        <x:v>45703</x:v>
      </x:c>
      <x:c r="J136" s="74" t="n">
        <x:v>45703</x:v>
      </x:c>
      <x:c r="K136" s="74" t="n">
        <x:v>45703</x:v>
      </x:c>
      <x:c r="L136" s="74" t="n">
        <x:v>45703</x:v>
      </x:c>
      <x:c r="M136" s="77" t="n">
        <x:v>0.4677</x:v>
      </x:c>
      <x:c r="N136" s="77"/>
      <x:c r="O136" s="78"/>
      <x:c r="P136" s="79" t="n">
        <x:f>M136</x:f>
        <x:v>0.4677</x:v>
      </x:c>
      <x:c r="Q136" s="79" t="n">
        <x:f>IF(D136="营业收入",-P136,P136)</x:f>
        <x:v>0.4677</x:v>
      </x:c>
      <x:c r="R136" s="62" t="str">
        <x:v>CNY</x:v>
      </x:c>
      <x:c r="S136" s="62" t="str">
        <x:v>万元</x:v>
      </x:c>
      <x:c r="T136" s="62" t="str">
        <x:v>费用不含税</x:v>
      </x:c>
      <x:c r="U136" s="62" t="str">
        <x:v>安全运行部</x:v>
      </x:c>
      <x:c r="V136" s="62" t="str">
        <x:v>灾害防护日常办公</x:v>
      </x:c>
      <x:c r="W136" s="62" t="str">
        <x:v>灾害防护日常办公</x:v>
      </x:c>
      <x:c r="X136" s="62" t="str">
        <x:v>国电智深</x:v>
      </x:c>
      <x:c r="Y136" s="62" t="str">
        <x:v>国电智深</x:v>
      </x:c>
      <x:c r="Z136" s="62" t="str">
        <x:v>17</x:v>
      </x:c>
      <x:c r="AA136" s="62" t="str">
        <x:v>灾害防护</x:v>
      </x:c>
      <x:c r="AB136" s="62" t="str">
        <x:v>PRJ-AQ-灾害-2024-001</x:v>
      </x:c>
      <x:c r="AC136" s="74" t="n">
        <x:v>46022</x:v>
      </x:c>
      <x:c r="AD136" s="71" t="str">
        <x:v>源记录保留</x:v>
      </x:c>
      <x:c r="AE136" s="71" t="str">
        <x:v>2025年实际执行.xlsx</x:v>
      </x:c>
      <x:c r="AF136" s="71" t="str">
        <x:v>Sheet</x:v>
      </x:c>
      <x:c r="AG136" s="71" t="n">
        <x:v>136</x:v>
      </x:c>
      <x:c r="AH136" s="71" t="str">
        <x:v>2025年实际执行.xlsx/Sheet!136:136</x:v>
      </x:c>
      <x:c r="AI136" s="62" t="str">
        <x:f>IF(F136=MONTH(L136),"OK","FAIL")</x:f>
        <x:v>OK</x:v>
      </x:c>
      <x:c r="AJ136" s="62" t="str">
        <x:f>IF(J136&lt;=L136,"OK","FAIL")</x:f>
        <x:v>OK</x:v>
      </x:c>
      <x:c r="AK136" s="62" t="str">
        <x:f>IF(D136&lt;&gt;"营业收入","OK",IF(AND(P136&lt;0,Q136&gt;0),"OK","FAIL"))</x:f>
        <x:v>OK</x:v>
      </x:c>
      <x:c r="AL136" s="62" t="str">
        <x:f>IF(COUNTIF($A$2:$A$218,A136)=1,"OK","FAIL")</x:f>
        <x:v>OK</x:v>
      </x:c>
    </x:row>
    <x:row r="137" ht="23" customHeight="1">
      <x:c r="A137" s="62" t="str">
        <x:v>DEMO01|2025|DOC2135|10</x:v>
      </x:c>
      <x:c r="B137" s="62" t="str">
        <x:v>CORRECTED</x:v>
      </x:c>
      <x:c r="C137" s="62" t="str">
        <x:v>交通运输费</x:v>
      </x:c>
      <x:c r="D137" s="62" t="str">
        <x:v>交通运输费</x:v>
      </x:c>
      <x:c r="E137" s="62" t="n">
        <x:v>12</x:v>
      </x:c>
      <x:c r="F137" s="62" t="n">
        <x:v>12</x:v>
      </x:c>
      <x:c r="G137" s="62" t="str">
        <x:v>DOC2135</x:v>
      </x:c>
      <x:c r="H137" s="62" t="n">
        <x:v>10</x:v>
      </x:c>
      <x:c r="I137" s="74" t="n">
        <x:v>46006</x:v>
      </x:c>
      <x:c r="J137" s="74" t="n">
        <x:v>46006</x:v>
      </x:c>
      <x:c r="K137" s="74" t="n">
        <x:v>46006</x:v>
      </x:c>
      <x:c r="L137" s="74" t="n">
        <x:v>46006</x:v>
      </x:c>
      <x:c r="M137" s="77" t="n">
        <x:v>0.7795</x:v>
      </x:c>
      <x:c r="N137" s="77"/>
      <x:c r="O137" s="78"/>
      <x:c r="P137" s="79" t="n">
        <x:f>M137</x:f>
        <x:v>0.7795</x:v>
      </x:c>
      <x:c r="Q137" s="79" t="n">
        <x:f>IF(D137="营业收入",-P137,P137)</x:f>
        <x:v>0.7795</x:v>
      </x:c>
      <x:c r="R137" s="62" t="str">
        <x:v>CNY</x:v>
      </x:c>
      <x:c r="S137" s="62" t="str">
        <x:v>万元</x:v>
      </x:c>
      <x:c r="T137" s="62" t="str">
        <x:v>费用不含税</x:v>
      </x:c>
      <x:c r="U137" s="62" t="str">
        <x:v>安全运行部</x:v>
      </x:c>
      <x:c r="V137" s="62" t="str">
        <x:v>灾害防护材料运输</x:v>
      </x:c>
      <x:c r="W137" s="62" t="str">
        <x:v>灾害防护材料运输</x:v>
      </x:c>
      <x:c r="X137" s="62" t="str">
        <x:v>国电智深</x:v>
      </x:c>
      <x:c r="Y137" s="62" t="str">
        <x:v>国电智深</x:v>
      </x:c>
      <x:c r="Z137" s="62" t="str">
        <x:v>17</x:v>
      </x:c>
      <x:c r="AA137" s="62" t="str">
        <x:v>灾害防护</x:v>
      </x:c>
      <x:c r="AB137" s="62" t="str">
        <x:v>PRJ-AQ-灾害-2024-001</x:v>
      </x:c>
      <x:c r="AC137" s="74" t="n">
        <x:v>46022</x:v>
      </x:c>
      <x:c r="AD137" s="71" t="str">
        <x:v>补凭证行号</x:v>
      </x:c>
      <x:c r="AE137" s="71" t="str">
        <x:v>2025年实际执行.xlsx</x:v>
      </x:c>
      <x:c r="AF137" s="71" t="str">
        <x:v>Sheet</x:v>
      </x:c>
      <x:c r="AG137" s="71" t="n">
        <x:v>137</x:v>
      </x:c>
      <x:c r="AH137" s="71" t="str">
        <x:v>2025年实际执行.xlsx/Sheet!137:137</x:v>
      </x:c>
      <x:c r="AI137" s="62" t="str">
        <x:f>IF(F137=MONTH(L137),"OK","FAIL")</x:f>
        <x:v>OK</x:v>
      </x:c>
      <x:c r="AJ137" s="62" t="str">
        <x:f>IF(J137&lt;=L137,"OK","FAIL")</x:f>
        <x:v>OK</x:v>
      </x:c>
      <x:c r="AK137" s="62" t="str">
        <x:f>IF(D137&lt;&gt;"营业收入","OK",IF(AND(P137&lt;0,Q137&gt;0),"OK","FAIL"))</x:f>
        <x:v>OK</x:v>
      </x:c>
      <x:c r="AL137" s="62" t="str">
        <x:f>IF(COUNTIF($A$2:$A$218,A137)=1,"OK","FAIL")</x:f>
        <x:v>OK</x:v>
      </x:c>
    </x:row>
    <x:row r="138" ht="23" customHeight="1">
      <x:c r="A138" s="62" t="str">
        <x:v>DEMO01|2025|DOC2136|10</x:v>
      </x:c>
      <x:c r="B138" s="62" t="str">
        <x:v>SOURCE</x:v>
      </x:c>
      <x:c r="C138" s="62" t="str">
        <x:v>人工成本</x:v>
      </x:c>
      <x:c r="D138" s="62" t="str">
        <x:v>人工成本</x:v>
      </x:c>
      <x:c r="E138" s="62" t="n">
        <x:v>6</x:v>
      </x:c>
      <x:c r="F138" s="62" t="n">
        <x:v>6</x:v>
      </x:c>
      <x:c r="G138" s="62" t="str">
        <x:v>DOC2136</x:v>
      </x:c>
      <x:c r="H138" s="62" t="n">
        <x:v>10</x:v>
      </x:c>
      <x:c r="I138" s="74" t="n">
        <x:v>45838</x:v>
      </x:c>
      <x:c r="J138" s="74" t="n">
        <x:v>45838</x:v>
      </x:c>
      <x:c r="K138" s="74" t="n">
        <x:v>45838</x:v>
      </x:c>
      <x:c r="L138" s="74" t="n">
        <x:v>45838</x:v>
      </x:c>
      <x:c r="M138" s="77" t="n">
        <x:v>9</x:v>
      </x:c>
      <x:c r="N138" s="77"/>
      <x:c r="O138" s="78"/>
      <x:c r="P138" s="79" t="n">
        <x:f>M138</x:f>
        <x:v>9</x:v>
      </x:c>
      <x:c r="Q138" s="79" t="n">
        <x:f>IF(D138="营业收入",-P138,P138)</x:f>
        <x:v>9</x:v>
      </x:c>
      <x:c r="R138" s="62" t="str">
        <x:v>CNY</x:v>
      </x:c>
      <x:c r="S138" s="62" t="str">
        <x:v>万元</x:v>
      </x:c>
      <x:c r="T138" s="62" t="str">
        <x:v>费用不含税</x:v>
      </x:c>
      <x:c r="U138" s="62" t="str">
        <x:v>安全运行部</x:v>
      </x:c>
      <x:c r="V138" s="62" t="str">
        <x:v>灾害防护人工成本分摊</x:v>
      </x:c>
      <x:c r="W138" s="62" t="str">
        <x:v>灾害防护人工成本分摊</x:v>
      </x:c>
      <x:c r="X138" s="62" t="str">
        <x:v>17</x:v>
      </x:c>
      <x:c r="Y138" s="62" t="str">
        <x:v>17</x:v>
      </x:c>
      <x:c r="Z138" s="62" t="str">
        <x:v>17</x:v>
      </x:c>
      <x:c r="AA138" s="62" t="str">
        <x:v>灾害防护</x:v>
      </x:c>
      <x:c r="AB138" s="62" t="str">
        <x:v>PRJ-AQ-灾害-2024-001</x:v>
      </x:c>
      <x:c r="AC138" s="74" t="n">
        <x:v>46022</x:v>
      </x:c>
      <x:c r="AD138" s="71" t="str">
        <x:v>源记录保留</x:v>
      </x:c>
      <x:c r="AE138" s="71" t="str">
        <x:v>2025年实际执行.xlsx</x:v>
      </x:c>
      <x:c r="AF138" s="71" t="str">
        <x:v>Sheet</x:v>
      </x:c>
      <x:c r="AG138" s="71" t="n">
        <x:v>138</x:v>
      </x:c>
      <x:c r="AH138" s="71" t="str">
        <x:v>2025年实际执行.xlsx/Sheet!138:138</x:v>
      </x:c>
      <x:c r="AI138" s="62" t="str">
        <x:f>IF(F138=MONTH(L138),"OK","FAIL")</x:f>
        <x:v>OK</x:v>
      </x:c>
      <x:c r="AJ138" s="62" t="str">
        <x:f>IF(J138&lt;=L138,"OK","FAIL")</x:f>
        <x:v>OK</x:v>
      </x:c>
      <x:c r="AK138" s="62" t="str">
        <x:f>IF(D138&lt;&gt;"营业收入","OK",IF(AND(P138&lt;0,Q138&gt;0),"OK","FAIL"))</x:f>
        <x:v>OK</x:v>
      </x:c>
      <x:c r="AL138" s="62" t="str">
        <x:f>IF(COUNTIF($A$2:$A$218,A138)=1,"OK","FAIL")</x:f>
        <x:v>OK</x:v>
      </x:c>
    </x:row>
    <x:row r="139" ht="23" customHeight="1">
      <x:c r="A139" s="62" t="str">
        <x:v>DEMO01|2025|DOC2137|10</x:v>
      </x:c>
      <x:c r="B139" s="62" t="str">
        <x:v>SOURCE</x:v>
      </x:c>
      <x:c r="C139" s="62" t="str">
        <x:v>折旧摊销</x:v>
      </x:c>
      <x:c r="D139" s="62" t="str">
        <x:v>折旧摊销</x:v>
      </x:c>
      <x:c r="E139" s="62" t="n">
        <x:v>12</x:v>
      </x:c>
      <x:c r="F139" s="62" t="n">
        <x:v>12</x:v>
      </x:c>
      <x:c r="G139" s="62" t="str">
        <x:v>DOC2137</x:v>
      </x:c>
      <x:c r="H139" s="62" t="n">
        <x:v>10</x:v>
      </x:c>
      <x:c r="I139" s="74" t="n">
        <x:v>46022</x:v>
      </x:c>
      <x:c r="J139" s="74" t="n">
        <x:v>46022</x:v>
      </x:c>
      <x:c r="K139" s="74" t="n">
        <x:v>46022</x:v>
      </x:c>
      <x:c r="L139" s="74" t="n">
        <x:v>46022</x:v>
      </x:c>
      <x:c r="M139" s="77" t="n">
        <x:v>2</x:v>
      </x:c>
      <x:c r="N139" s="77"/>
      <x:c r="O139" s="78"/>
      <x:c r="P139" s="79" t="n">
        <x:f>M139</x:f>
        <x:v>2</x:v>
      </x:c>
      <x:c r="Q139" s="79" t="n">
        <x:f>IF(D139="营业收入",-P139,P139)</x:f>
        <x:v>2</x:v>
      </x:c>
      <x:c r="R139" s="62" t="str">
        <x:v>CNY</x:v>
      </x:c>
      <x:c r="S139" s="62" t="str">
        <x:v>万元</x:v>
      </x:c>
      <x:c r="T139" s="62" t="str">
        <x:v>费用不含税</x:v>
      </x:c>
      <x:c r="U139" s="62" t="str">
        <x:v>安全运行部</x:v>
      </x:c>
      <x:c r="V139" s="62" t="str">
        <x:v>灾害防护折旧摊销分摊</x:v>
      </x:c>
      <x:c r="W139" s="62" t="str">
        <x:v>灾害防护折旧摊销分摊</x:v>
      </x:c>
      <x:c r="X139" s="62" t="str">
        <x:v>17</x:v>
      </x:c>
      <x:c r="Y139" s="62" t="str">
        <x:v>17</x:v>
      </x:c>
      <x:c r="Z139" s="62" t="str">
        <x:v>17</x:v>
      </x:c>
      <x:c r="AA139" s="62" t="str">
        <x:v>灾害防护</x:v>
      </x:c>
      <x:c r="AB139" s="62" t="str">
        <x:v>PRJ-AQ-灾害-2024-001</x:v>
      </x:c>
      <x:c r="AC139" s="74" t="n">
        <x:v>46022</x:v>
      </x:c>
      <x:c r="AD139" s="71" t="str">
        <x:v>源记录保留</x:v>
      </x:c>
      <x:c r="AE139" s="71" t="str">
        <x:v>2025年实际执行.xlsx</x:v>
      </x:c>
      <x:c r="AF139" s="71" t="str">
        <x:v>Sheet</x:v>
      </x:c>
      <x:c r="AG139" s="71" t="n">
        <x:v>139</x:v>
      </x:c>
      <x:c r="AH139" s="71" t="str">
        <x:v>2025年实际执行.xlsx/Sheet!139:139</x:v>
      </x:c>
      <x:c r="AI139" s="62" t="str">
        <x:f>IF(F139=MONTH(L139),"OK","FAIL")</x:f>
        <x:v>OK</x:v>
      </x:c>
      <x:c r="AJ139" s="62" t="str">
        <x:f>IF(J139&lt;=L139,"OK","FAIL")</x:f>
        <x:v>OK</x:v>
      </x:c>
      <x:c r="AK139" s="62" t="str">
        <x:f>IF(D139&lt;&gt;"营业收入","OK",IF(AND(P139&lt;0,Q139&gt;0),"OK","FAIL"))</x:f>
        <x:v>OK</x:v>
      </x:c>
      <x:c r="AL139" s="62" t="str">
        <x:f>IF(COUNTIF($A$2:$A$218,A139)=1,"OK","FAIL")</x:f>
        <x:v>OK</x:v>
      </x:c>
    </x:row>
    <x:row r="140" ht="23" customHeight="1">
      <x:c r="A140" s="62" t="str">
        <x:v>DEMO01|2025|DOC2138|10</x:v>
      </x:c>
      <x:c r="B140" s="62" t="str">
        <x:v>CORRECTED</x:v>
      </x:c>
      <x:c r="C140" s="62" t="str">
        <x:v>业务支持费</x:v>
      </x:c>
      <x:c r="D140" s="62" t="str">
        <x:v>业务支持费-其他</x:v>
      </x:c>
      <x:c r="E140" s="62" t="n">
        <x:v>3</x:v>
      </x:c>
      <x:c r="F140" s="62" t="n">
        <x:v>3</x:v>
      </x:c>
      <x:c r="G140" s="62" t="str">
        <x:v>DOC2138</x:v>
      </x:c>
      <x:c r="H140" s="62" t="n">
        <x:v>10</x:v>
      </x:c>
      <x:c r="I140" s="74" t="n">
        <x:v>45767</x:v>
      </x:c>
      <x:c r="J140" s="74" t="n">
        <x:v>45736</x:v>
      </x:c>
      <x:c r="K140" s="74" t="n">
        <x:v>45736</x:v>
      </x:c>
      <x:c r="L140" s="74" t="n">
        <x:v>45736</x:v>
      </x:c>
      <x:c r="M140" s="77" t="n">
        <x:v>4</x:v>
      </x:c>
      <x:c r="N140" s="77"/>
      <x:c r="O140" s="78"/>
      <x:c r="P140" s="79" t="n">
        <x:f>M140</x:f>
        <x:v>4</x:v>
      </x:c>
      <x:c r="Q140" s="79" t="n">
        <x:f>IF(D140="营业收入",-P140,P140)</x:f>
        <x:v>4</x:v>
      </x:c>
      <x:c r="R140" s="62" t="str">
        <x:v>CNY</x:v>
      </x:c>
      <x:c r="S140" s="62" t="str">
        <x:v>万元</x:v>
      </x:c>
      <x:c r="T140" s="62" t="str">
        <x:v>费用不含税</x:v>
      </x:c>
      <x:c r="U140" s="62" t="str">
        <x:v>安全运行部</x:v>
      </x:c>
      <x:c r="V140" s="62" t="str">
        <x:v>确认灾害防护_实际成本</x:v>
      </x:c>
      <x:c r="W140" s="62" t="str">
        <x:v>确认灾害防护_实际成本</x:v>
      </x:c>
      <x:c r="X140" s="62" t="str">
        <x:v>国电智深</x:v>
      </x:c>
      <x:c r="Y140" s="62" t="str">
        <x:v>国电智深</x:v>
      </x:c>
      <x:c r="Z140" s="62" t="str">
        <x:v>17</x:v>
      </x:c>
      <x:c r="AA140" s="62" t="str">
        <x:v>灾害防护</x:v>
      </x:c>
      <x:c r="AB140" s="62" t="str">
        <x:v>PRJ-AQ-灾害-2024-001</x:v>
      </x:c>
      <x:c r="AC140" s="74" t="n">
        <x:v>46022</x:v>
      </x:c>
      <x:c r="AD140" s="71" t="str">
        <x:v>凭证日期改为过账日</x:v>
      </x:c>
      <x:c r="AE140" s="71" t="str">
        <x:v>2025年实际执行.xlsx</x:v>
      </x:c>
      <x:c r="AF140" s="71" t="str">
        <x:v>Sheet</x:v>
      </x:c>
      <x:c r="AG140" s="71" t="n">
        <x:v>140</x:v>
      </x:c>
      <x:c r="AH140" s="71" t="str">
        <x:v>2025年实际执行.xlsx/Sheet!140:140</x:v>
      </x:c>
      <x:c r="AI140" s="62" t="str">
        <x:f>IF(F140=MONTH(L140),"OK","FAIL")</x:f>
        <x:v>OK</x:v>
      </x:c>
      <x:c r="AJ140" s="62" t="str">
        <x:f>IF(J140&lt;=L140,"OK","FAIL")</x:f>
        <x:v>OK</x:v>
      </x:c>
      <x:c r="AK140" s="62" t="str">
        <x:f>IF(D140&lt;&gt;"营业收入","OK",IF(AND(P140&lt;0,Q140&gt;0),"OK","FAIL"))</x:f>
        <x:v>OK</x:v>
      </x:c>
      <x:c r="AL140" s="62" t="str">
        <x:f>IF(COUNTIF($A$2:$A$218,A140)=1,"OK","FAIL")</x:f>
        <x:v>OK</x:v>
      </x:c>
    </x:row>
    <x:row r="141" ht="23" customHeight="1">
      <x:c r="A141" s="62" t="str">
        <x:v>DEMO01|2025|DOC2139|10</x:v>
      </x:c>
      <x:c r="B141" s="62" t="str">
        <x:v>SOURCE</x:v>
      </x:c>
      <x:c r="C141" s="62" t="str">
        <x:v>营业收入</x:v>
      </x:c>
      <x:c r="D141" s="62" t="str">
        <x:v>营业收入</x:v>
      </x:c>
      <x:c r="E141" s="62" t="n">
        <x:v>6</x:v>
      </x:c>
      <x:c r="F141" s="62" t="n">
        <x:v>6</x:v>
      </x:c>
      <x:c r="G141" s="62" t="str">
        <x:v>DOC2139</x:v>
      </x:c>
      <x:c r="H141" s="62" t="n">
        <x:v>10</x:v>
      </x:c>
      <x:c r="I141" s="74" t="n">
        <x:v>45823</x:v>
      </x:c>
      <x:c r="J141" s="74" t="n">
        <x:v>45823</x:v>
      </x:c>
      <x:c r="K141" s="74" t="n">
        <x:v>45823</x:v>
      </x:c>
      <x:c r="L141" s="74" t="n">
        <x:v>45823</x:v>
      </x:c>
      <x:c r="M141" s="77" t="n">
        <x:v>-29.9</x:v>
      </x:c>
      <x:c r="N141" s="77"/>
      <x:c r="O141" s="78"/>
      <x:c r="P141" s="79" t="n">
        <x:f>M141</x:f>
        <x:v>-29.9</x:v>
      </x:c>
      <x:c r="Q141" s="79" t="n">
        <x:f>IF(D141="营业收入",-P141,P141)</x:f>
        <x:v>29.9</x:v>
      </x:c>
      <x:c r="R141" s="62" t="str">
        <x:v>CNY</x:v>
      </x:c>
      <x:c r="S141" s="62" t="str">
        <x:v>万元</x:v>
      </x:c>
      <x:c r="T141" s="62" t="str">
        <x:v>收益；源负号</x:v>
      </x:c>
      <x:c r="U141" s="62" t="str">
        <x:v>安全运行部</x:v>
      </x:c>
      <x:c r="V141" s="62" t="str">
        <x:v>灾害防护收入确认</x:v>
      </x:c>
      <x:c r="W141" s="62" t="str">
        <x:v>灾害防护收入确认</x:v>
      </x:c>
      <x:c r="X141" s="62" t="str">
        <x:v>17</x:v>
      </x:c>
      <x:c r="Y141" s="62" t="str">
        <x:v>17</x:v>
      </x:c>
      <x:c r="Z141" s="62" t="str">
        <x:v>17</x:v>
      </x:c>
      <x:c r="AA141" s="62" t="str">
        <x:v>灾害防护</x:v>
      </x:c>
      <x:c r="AB141" s="62" t="str">
        <x:v>PRJ-AQ-灾害-2025-002</x:v>
      </x:c>
      <x:c r="AC141" s="74" t="n">
        <x:v>46022</x:v>
      </x:c>
      <x:c r="AD141" s="71" t="str">
        <x:v>源记录保留</x:v>
      </x:c>
      <x:c r="AE141" s="71" t="str">
        <x:v>2025年实际执行.xlsx</x:v>
      </x:c>
      <x:c r="AF141" s="71" t="str">
        <x:v>Sheet</x:v>
      </x:c>
      <x:c r="AG141" s="71" t="n">
        <x:v>141</x:v>
      </x:c>
      <x:c r="AH141" s="71" t="str">
        <x:v>2025年实际执行.xlsx/Sheet!141:141</x:v>
      </x:c>
      <x:c r="AI141" s="62" t="str">
        <x:f>IF(F141=MONTH(L141),"OK","FAIL")</x:f>
        <x:v>OK</x:v>
      </x:c>
      <x:c r="AJ141" s="62" t="str">
        <x:f>IF(J141&lt;=L141,"OK","FAIL")</x:f>
        <x:v>OK</x:v>
      </x:c>
      <x:c r="AK141" s="62" t="str">
        <x:f>IF(D141&lt;&gt;"营业收入","OK",IF(AND(P141&lt;0,Q141&gt;0),"OK","FAIL"))</x:f>
        <x:v>OK</x:v>
      </x:c>
      <x:c r="AL141" s="62" t="str">
        <x:f>IF(COUNTIF($A$2:$A$218,A141)=1,"OK","FAIL")</x:f>
        <x:v>OK</x:v>
      </x:c>
    </x:row>
    <x:row r="142" ht="23" customHeight="1">
      <x:c r="A142" s="62" t="str">
        <x:v>DEMO01|2025|DOC2140|10</x:v>
      </x:c>
      <x:c r="B142" s="62" t="str">
        <x:v>SOURCE</x:v>
      </x:c>
      <x:c r="C142" s="62" t="str">
        <x:v>会议费</x:v>
      </x:c>
      <x:c r="D142" s="62" t="str">
        <x:v>会议费</x:v>
      </x:c>
      <x:c r="E142" s="62" t="n">
        <x:v>6</x:v>
      </x:c>
      <x:c r="F142" s="62" t="n">
        <x:v>6</x:v>
      </x:c>
      <x:c r="G142" s="62" t="str">
        <x:v>DOC2140</x:v>
      </x:c>
      <x:c r="H142" s="62" t="n">
        <x:v>10</x:v>
      </x:c>
      <x:c r="I142" s="74" t="n">
        <x:v>45823</x:v>
      </x:c>
      <x:c r="J142" s="74" t="n">
        <x:v>45823</x:v>
      </x:c>
      <x:c r="K142" s="74" t="n">
        <x:v>45823</x:v>
      </x:c>
      <x:c r="L142" s="74" t="n">
        <x:v>45823</x:v>
      </x:c>
      <x:c r="M142" s="77" t="n">
        <x:v>0.1598</x:v>
      </x:c>
      <x:c r="N142" s="77"/>
      <x:c r="O142" s="78"/>
      <x:c r="P142" s="79" t="n">
        <x:f>M142</x:f>
        <x:v>0.1598</x:v>
      </x:c>
      <x:c r="Q142" s="79" t="n">
        <x:f>IF(D142="营业收入",-P142,P142)</x:f>
        <x:v>0.1598</x:v>
      </x:c>
      <x:c r="R142" s="62" t="str">
        <x:v>CNY</x:v>
      </x:c>
      <x:c r="S142" s="62" t="str">
        <x:v>万元</x:v>
      </x:c>
      <x:c r="T142" s="62" t="str">
        <x:v>费用不含税</x:v>
      </x:c>
      <x:c r="U142" s="62" t="str">
        <x:v>安全运行部</x:v>
      </x:c>
      <x:c r="V142" s="62" t="str">
        <x:v>灾害防护项目阶段评审会</x:v>
      </x:c>
      <x:c r="W142" s="62" t="str">
        <x:v>灾害防护项目阶段评审会</x:v>
      </x:c>
      <x:c r="X142" s="62" t="str">
        <x:v>国电智深</x:v>
      </x:c>
      <x:c r="Y142" s="62" t="str">
        <x:v>国电智深</x:v>
      </x:c>
      <x:c r="Z142" s="62" t="str">
        <x:v>17</x:v>
      </x:c>
      <x:c r="AA142" s="62" t="str">
        <x:v>灾害防护</x:v>
      </x:c>
      <x:c r="AB142" s="62" t="str">
        <x:v>PRJ-AQ-灾害-2025-002</x:v>
      </x:c>
      <x:c r="AC142" s="74" t="n">
        <x:v>46022</x:v>
      </x:c>
      <x:c r="AD142" s="71" t="str">
        <x:v>源记录保留</x:v>
      </x:c>
      <x:c r="AE142" s="71" t="str">
        <x:v>2025年实际执行.xlsx</x:v>
      </x:c>
      <x:c r="AF142" s="71" t="str">
        <x:v>Sheet</x:v>
      </x:c>
      <x:c r="AG142" s="71" t="n">
        <x:v>142</x:v>
      </x:c>
      <x:c r="AH142" s="71" t="str">
        <x:v>2025年实际执行.xlsx/Sheet!142:142</x:v>
      </x:c>
      <x:c r="AI142" s="62" t="str">
        <x:f>IF(F142=MONTH(L142),"OK","FAIL")</x:f>
        <x:v>OK</x:v>
      </x:c>
      <x:c r="AJ142" s="62" t="str">
        <x:f>IF(J142&lt;=L142,"OK","FAIL")</x:f>
        <x:v>OK</x:v>
      </x:c>
      <x:c r="AK142" s="62" t="str">
        <x:f>IF(D142&lt;&gt;"营业收入","OK",IF(AND(P142&lt;0,Q142&gt;0),"OK","FAIL"))</x:f>
        <x:v>OK</x:v>
      </x:c>
      <x:c r="AL142" s="62" t="str">
        <x:f>IF(COUNTIF($A$2:$A$218,A142)=1,"OK","FAIL")</x:f>
        <x:v>OK</x:v>
      </x:c>
    </x:row>
    <x:row r="143" ht="23" customHeight="1">
      <x:c r="A143" s="62" t="str">
        <x:v>DEMO01|2025|DOC2141|10</x:v>
      </x:c>
      <x:c r="B143" s="62" t="str">
        <x:v>SOURCE</x:v>
      </x:c>
      <x:c r="C143" s="62" t="str">
        <x:v>业务支持费</x:v>
      </x:c>
      <x:c r="D143" s="62" t="str">
        <x:v>业务支持费-技术配置</x:v>
      </x:c>
      <x:c r="E143" s="62" t="n">
        <x:v>2</x:v>
      </x:c>
      <x:c r="F143" s="62" t="n">
        <x:v>2</x:v>
      </x:c>
      <x:c r="G143" s="62" t="str">
        <x:v>DOC2141</x:v>
      </x:c>
      <x:c r="H143" s="62" t="n">
        <x:v>10</x:v>
      </x:c>
      <x:c r="I143" s="74" t="n">
        <x:v>45703</x:v>
      </x:c>
      <x:c r="J143" s="74" t="n">
        <x:v>45703</x:v>
      </x:c>
      <x:c r="K143" s="74" t="n">
        <x:v>45703</x:v>
      </x:c>
      <x:c r="L143" s="74" t="n">
        <x:v>45703</x:v>
      </x:c>
      <x:c r="M143" s="77" t="n">
        <x:v>13</x:v>
      </x:c>
      <x:c r="N143" s="77"/>
      <x:c r="O143" s="78"/>
      <x:c r="P143" s="79" t="n">
        <x:f>M143</x:f>
        <x:v>13</x:v>
      </x:c>
      <x:c r="Q143" s="79" t="n">
        <x:f>IF(D143="营业收入",-P143,P143)</x:f>
        <x:v>13</x:v>
      </x:c>
      <x:c r="R143" s="62" t="str">
        <x:v>CNY</x:v>
      </x:c>
      <x:c r="S143" s="62" t="str">
        <x:v>万元</x:v>
      </x:c>
      <x:c r="T143" s="62" t="str">
        <x:v>费用不含税</x:v>
      </x:c>
      <x:c r="U143" s="62" t="str">
        <x:v>安全运行部</x:v>
      </x:c>
      <x:c r="V143" s="62" t="str">
        <x:v>灾害防护技术配置_实施阶段</x:v>
      </x:c>
      <x:c r="W143" s="62" t="str">
        <x:v>灾害防护技术配置_实施阶段</x:v>
      </x:c>
      <x:c r="X143" s="62" t="str">
        <x:v>供应商2</x:v>
      </x:c>
      <x:c r="Y143" s="62" t="str">
        <x:v>供应商2</x:v>
      </x:c>
      <x:c r="Z143" s="62" t="str">
        <x:v>17</x:v>
      </x:c>
      <x:c r="AA143" s="62" t="str">
        <x:v>灾害防护</x:v>
      </x:c>
      <x:c r="AB143" s="62" t="str">
        <x:v>PRJ-AQ-灾害-2025-002</x:v>
      </x:c>
      <x:c r="AC143" s="74" t="n">
        <x:v>46022</x:v>
      </x:c>
      <x:c r="AD143" s="71" t="str">
        <x:v>源记录保留</x:v>
      </x:c>
      <x:c r="AE143" s="71" t="str">
        <x:v>2025年实际执行.xlsx</x:v>
      </x:c>
      <x:c r="AF143" s="71" t="str">
        <x:v>Sheet</x:v>
      </x:c>
      <x:c r="AG143" s="71" t="n">
        <x:v>143</x:v>
      </x:c>
      <x:c r="AH143" s="71" t="str">
        <x:v>2025年实际执行.xlsx/Sheet!143:143</x:v>
      </x:c>
      <x:c r="AI143" s="62" t="str">
        <x:f>IF(F143=MONTH(L143),"OK","FAIL")</x:f>
        <x:v>OK</x:v>
      </x:c>
      <x:c r="AJ143" s="62" t="str">
        <x:f>IF(J143&lt;=L143,"OK","FAIL")</x:f>
        <x:v>OK</x:v>
      </x:c>
      <x:c r="AK143" s="62" t="str">
        <x:f>IF(D143&lt;&gt;"营业收入","OK",IF(AND(P143&lt;0,Q143&gt;0),"OK","FAIL"))</x:f>
        <x:v>OK</x:v>
      </x:c>
      <x:c r="AL143" s="62" t="str">
        <x:f>IF(COUNTIF($A$2:$A$218,A143)=1,"OK","FAIL")</x:f>
        <x:v>OK</x:v>
      </x:c>
    </x:row>
    <x:row r="144" ht="23" customHeight="1">
      <x:c r="A144" s="62" t="str">
        <x:v>DEMO01|2025|DOC2142|10</x:v>
      </x:c>
      <x:c r="B144" s="62" t="str">
        <x:v>SOURCE</x:v>
      </x:c>
      <x:c r="C144" s="62" t="str">
        <x:v>生产物料费</x:v>
      </x:c>
      <x:c r="D144" s="62" t="str">
        <x:v>生产物料费</x:v>
      </x:c>
      <x:c r="E144" s="62" t="n">
        <x:v>9</x:v>
      </x:c>
      <x:c r="F144" s="62" t="n">
        <x:v>9</x:v>
      </x:c>
      <x:c r="G144" s="62" t="str">
        <x:v>DOC2142</x:v>
      </x:c>
      <x:c r="H144" s="62" t="n">
        <x:v>10</x:v>
      </x:c>
      <x:c r="I144" s="74" t="n">
        <x:v>45915</x:v>
      </x:c>
      <x:c r="J144" s="74" t="n">
        <x:v>45915</x:v>
      </x:c>
      <x:c r="K144" s="74" t="n">
        <x:v>45915</x:v>
      </x:c>
      <x:c r="L144" s="74" t="n">
        <x:v>45915</x:v>
      </x:c>
      <x:c r="M144" s="77" t="n">
        <x:v>2.397</x:v>
      </x:c>
      <x:c r="N144" s="77"/>
      <x:c r="O144" s="78"/>
      <x:c r="P144" s="79" t="n">
        <x:f>M144</x:f>
        <x:v>2.397</x:v>
      </x:c>
      <x:c r="Q144" s="79" t="n">
        <x:f>IF(D144="营业收入",-P144,P144)</x:f>
        <x:v>2.397</x:v>
      </x:c>
      <x:c r="R144" s="62" t="str">
        <x:v>CNY</x:v>
      </x:c>
      <x:c r="S144" s="62" t="str">
        <x:v>万元</x:v>
      </x:c>
      <x:c r="T144" s="62" t="str">
        <x:v>费用不含税</x:v>
      </x:c>
      <x:c r="U144" s="62" t="str">
        <x:v>安全运行部</x:v>
      </x:c>
      <x:c r="V144" s="62" t="str">
        <x:v>灾害防护现场物料采购</x:v>
      </x:c>
      <x:c r="W144" s="62" t="str">
        <x:v>灾害防护现场物料采购</x:v>
      </x:c>
      <x:c r="X144" s="62" t="str">
        <x:v>国电智深</x:v>
      </x:c>
      <x:c r="Y144" s="62" t="str">
        <x:v>国电智深</x:v>
      </x:c>
      <x:c r="Z144" s="62" t="str">
        <x:v>17</x:v>
      </x:c>
      <x:c r="AA144" s="62" t="str">
        <x:v>灾害防护</x:v>
      </x:c>
      <x:c r="AB144" s="62" t="str">
        <x:v>PRJ-AQ-灾害-2025-002</x:v>
      </x:c>
      <x:c r="AC144" s="74" t="n">
        <x:v>46022</x:v>
      </x:c>
      <x:c r="AD144" s="71" t="str">
        <x:v>源记录保留</x:v>
      </x:c>
      <x:c r="AE144" s="71" t="str">
        <x:v>2025年实际执行.xlsx</x:v>
      </x:c>
      <x:c r="AF144" s="71" t="str">
        <x:v>Sheet</x:v>
      </x:c>
      <x:c r="AG144" s="71" t="n">
        <x:v>144</x:v>
      </x:c>
      <x:c r="AH144" s="71" t="str">
        <x:v>2025年实际执行.xlsx/Sheet!144:144</x:v>
      </x:c>
      <x:c r="AI144" s="62" t="str">
        <x:f>IF(F144=MONTH(L144),"OK","FAIL")</x:f>
        <x:v>OK</x:v>
      </x:c>
      <x:c r="AJ144" s="62" t="str">
        <x:f>IF(J144&lt;=L144,"OK","FAIL")</x:f>
        <x:v>OK</x:v>
      </x:c>
      <x:c r="AK144" s="62" t="str">
        <x:f>IF(D144&lt;&gt;"营业收入","OK",IF(AND(P144&lt;0,Q144&gt;0),"OK","FAIL"))</x:f>
        <x:v>OK</x:v>
      </x:c>
      <x:c r="AL144" s="62" t="str">
        <x:f>IF(COUNTIF($A$2:$A$218,A144)=1,"OK","FAIL")</x:f>
        <x:v>OK</x:v>
      </x:c>
    </x:row>
    <x:row r="145" ht="23" customHeight="1">
      <x:c r="A145" s="62" t="str">
        <x:v>DEMO01|2025|DOC2143|10</x:v>
      </x:c>
      <x:c r="B145" s="62" t="str">
        <x:v>SOURCE</x:v>
      </x:c>
      <x:c r="C145" s="62" t="str">
        <x:v>办公费</x:v>
      </x:c>
      <x:c r="D145" s="62" t="str">
        <x:v>办公费</x:v>
      </x:c>
      <x:c r="E145" s="62" t="n">
        <x:v>4</x:v>
      </x:c>
      <x:c r="F145" s="62" t="n">
        <x:v>4</x:v>
      </x:c>
      <x:c r="G145" s="62" t="str">
        <x:v>DOC2143</x:v>
      </x:c>
      <x:c r="H145" s="62" t="n">
        <x:v>10</x:v>
      </x:c>
      <x:c r="I145" s="74" t="n">
        <x:v>45762</x:v>
      </x:c>
      <x:c r="J145" s="74" t="n">
        <x:v>45762</x:v>
      </x:c>
      <x:c r="K145" s="74" t="n">
        <x:v>45762</x:v>
      </x:c>
      <x:c r="L145" s="74" t="n">
        <x:v>45762</x:v>
      </x:c>
      <x:c r="M145" s="77" t="n">
        <x:v>0.4794</x:v>
      </x:c>
      <x:c r="N145" s="77"/>
      <x:c r="O145" s="78"/>
      <x:c r="P145" s="79" t="n">
        <x:f>M145</x:f>
        <x:v>0.4794</x:v>
      </x:c>
      <x:c r="Q145" s="79" t="n">
        <x:f>IF(D145="营业收入",-P145,P145)</x:f>
        <x:v>0.4794</x:v>
      </x:c>
      <x:c r="R145" s="62" t="str">
        <x:v>CNY</x:v>
      </x:c>
      <x:c r="S145" s="62" t="str">
        <x:v>万元</x:v>
      </x:c>
      <x:c r="T145" s="62" t="str">
        <x:v>费用不含税</x:v>
      </x:c>
      <x:c r="U145" s="62" t="str">
        <x:v>安全运行部</x:v>
      </x:c>
      <x:c r="V145" s="62" t="str">
        <x:v>灾害防护日常办公</x:v>
      </x:c>
      <x:c r="W145" s="62" t="str">
        <x:v>灾害防护日常办公</x:v>
      </x:c>
      <x:c r="X145" s="62" t="str">
        <x:v>国电智深</x:v>
      </x:c>
      <x:c r="Y145" s="62" t="str">
        <x:v>国电智深</x:v>
      </x:c>
      <x:c r="Z145" s="62" t="str">
        <x:v>17</x:v>
      </x:c>
      <x:c r="AA145" s="62" t="str">
        <x:v>灾害防护</x:v>
      </x:c>
      <x:c r="AB145" s="62" t="str">
        <x:v>PRJ-AQ-灾害-2025-002</x:v>
      </x:c>
      <x:c r="AC145" s="74" t="n">
        <x:v>46022</x:v>
      </x:c>
      <x:c r="AD145" s="71" t="str">
        <x:v>源记录保留</x:v>
      </x:c>
      <x:c r="AE145" s="71" t="str">
        <x:v>2025年实际执行.xlsx</x:v>
      </x:c>
      <x:c r="AF145" s="71" t="str">
        <x:v>Sheet</x:v>
      </x:c>
      <x:c r="AG145" s="71" t="n">
        <x:v>145</x:v>
      </x:c>
      <x:c r="AH145" s="71" t="str">
        <x:v>2025年实际执行.xlsx/Sheet!145:145</x:v>
      </x:c>
      <x:c r="AI145" s="62" t="str">
        <x:f>IF(F145=MONTH(L145),"OK","FAIL")</x:f>
        <x:v>OK</x:v>
      </x:c>
      <x:c r="AJ145" s="62" t="str">
        <x:f>IF(J145&lt;=L145,"OK","FAIL")</x:f>
        <x:v>OK</x:v>
      </x:c>
      <x:c r="AK145" s="62" t="str">
        <x:f>IF(D145&lt;&gt;"营业收入","OK",IF(AND(P145&lt;0,Q145&gt;0),"OK","FAIL"))</x:f>
        <x:v>OK</x:v>
      </x:c>
      <x:c r="AL145" s="62" t="str">
        <x:f>IF(COUNTIF($A$2:$A$218,A145)=1,"OK","FAIL")</x:f>
        <x:v>OK</x:v>
      </x:c>
    </x:row>
    <x:row r="146" ht="23" customHeight="1">
      <x:c r="A146" s="62" t="str">
        <x:v>DEMO01|2025|DOC2144|10</x:v>
      </x:c>
      <x:c r="B146" s="62" t="str">
        <x:v>CORRECTED</x:v>
      </x:c>
      <x:c r="C146" s="62" t="str">
        <x:v>交通运输费</x:v>
      </x:c>
      <x:c r="D146" s="62" t="str">
        <x:v>交通运输费</x:v>
      </x:c>
      <x:c r="E146" s="62" t="n">
        <x:v>5</x:v>
      </x:c>
      <x:c r="F146" s="62" t="n">
        <x:v>5</x:v>
      </x:c>
      <x:c r="G146" s="62" t="str">
        <x:v>DOC2144</x:v>
      </x:c>
      <x:c r="H146" s="62" t="n">
        <x:v>10</x:v>
      </x:c>
      <x:c r="I146" s="74" t="n">
        <x:v>45792</x:v>
      </x:c>
      <x:c r="J146" s="74" t="n">
        <x:v>45792</x:v>
      </x:c>
      <x:c r="K146" s="74" t="n">
        <x:v>45792</x:v>
      </x:c>
      <x:c r="L146" s="74" t="n">
        <x:v>45792</x:v>
      </x:c>
      <x:c r="M146" s="77" t="n">
        <x:v>0.799</x:v>
      </x:c>
      <x:c r="N146" s="77"/>
      <x:c r="O146" s="78"/>
      <x:c r="P146" s="79" t="n">
        <x:f>M146</x:f>
        <x:v>0.799</x:v>
      </x:c>
      <x:c r="Q146" s="79" t="n">
        <x:f>IF(D146="营业收入",-P146,P146)</x:f>
        <x:v>0.799</x:v>
      </x:c>
      <x:c r="R146" s="62" t="str">
        <x:v>CNY</x:v>
      </x:c>
      <x:c r="S146" s="62" t="str">
        <x:v>万元</x:v>
      </x:c>
      <x:c r="T146" s="62" t="str">
        <x:v>费用不含税</x:v>
      </x:c>
      <x:c r="U146" s="62" t="str">
        <x:v>安全运行部</x:v>
      </x:c>
      <x:c r="V146" s="62" t="str">
        <x:v>灾害防护材料运输</x:v>
      </x:c>
      <x:c r="W146" s="62" t="str">
        <x:v>灾害防护材料运输</x:v>
      </x:c>
      <x:c r="X146" s="62" t="str">
        <x:v>国电智深</x:v>
      </x:c>
      <x:c r="Y146" s="62" t="str">
        <x:v>国电智深</x:v>
      </x:c>
      <x:c r="Z146" s="62" t="str">
        <x:v>17</x:v>
      </x:c>
      <x:c r="AA146" s="62" t="str">
        <x:v>灾害防护</x:v>
      </x:c>
      <x:c r="AB146" s="62" t="str">
        <x:v>PRJ-AQ-灾害-2025-002</x:v>
      </x:c>
      <x:c r="AC146" s="74" t="n">
        <x:v>46022</x:v>
      </x:c>
      <x:c r="AD146" s="71" t="str">
        <x:v>补凭证行号</x:v>
      </x:c>
      <x:c r="AE146" s="71" t="str">
        <x:v>2025年实际执行.xlsx</x:v>
      </x:c>
      <x:c r="AF146" s="71" t="str">
        <x:v>Sheet</x:v>
      </x:c>
      <x:c r="AG146" s="71" t="n">
        <x:v>146</x:v>
      </x:c>
      <x:c r="AH146" s="71" t="str">
        <x:v>2025年实际执行.xlsx/Sheet!146:146</x:v>
      </x:c>
      <x:c r="AI146" s="62" t="str">
        <x:f>IF(F146=MONTH(L146),"OK","FAIL")</x:f>
        <x:v>OK</x:v>
      </x:c>
      <x:c r="AJ146" s="62" t="str">
        <x:f>IF(J146&lt;=L146,"OK","FAIL")</x:f>
        <x:v>OK</x:v>
      </x:c>
      <x:c r="AK146" s="62" t="str">
        <x:f>IF(D146&lt;&gt;"营业收入","OK",IF(AND(P146&lt;0,Q146&gt;0),"OK","FAIL"))</x:f>
        <x:v>OK</x:v>
      </x:c>
      <x:c r="AL146" s="62" t="str">
        <x:f>IF(COUNTIF($A$2:$A$218,A146)=1,"OK","FAIL")</x:f>
        <x:v>OK</x:v>
      </x:c>
    </x:row>
    <x:row r="147" ht="23" customHeight="1">
      <x:c r="A147" s="62" t="str">
        <x:v>DEMO01|2025|DOC2145|10</x:v>
      </x:c>
      <x:c r="B147" s="62" t="str">
        <x:v>SOURCE</x:v>
      </x:c>
      <x:c r="C147" s="62" t="str">
        <x:v>人工成本</x:v>
      </x:c>
      <x:c r="D147" s="62" t="str">
        <x:v>人工成本</x:v>
      </x:c>
      <x:c r="E147" s="62" t="n">
        <x:v>6</x:v>
      </x:c>
      <x:c r="F147" s="62" t="n">
        <x:v>6</x:v>
      </x:c>
      <x:c r="G147" s="62" t="str">
        <x:v>DOC2145</x:v>
      </x:c>
      <x:c r="H147" s="62" t="n">
        <x:v>10</x:v>
      </x:c>
      <x:c r="I147" s="74" t="n">
        <x:v>45838</x:v>
      </x:c>
      <x:c r="J147" s="74" t="n">
        <x:v>45838</x:v>
      </x:c>
      <x:c r="K147" s="74" t="n">
        <x:v>45838</x:v>
      </x:c>
      <x:c r="L147" s="74" t="n">
        <x:v>45838</x:v>
      </x:c>
      <x:c r="M147" s="77" t="n">
        <x:v>8</x:v>
      </x:c>
      <x:c r="N147" s="77"/>
      <x:c r="O147" s="78"/>
      <x:c r="P147" s="79" t="n">
        <x:f>M147</x:f>
        <x:v>8</x:v>
      </x:c>
      <x:c r="Q147" s="79" t="n">
        <x:f>IF(D147="营业收入",-P147,P147)</x:f>
        <x:v>8</x:v>
      </x:c>
      <x:c r="R147" s="62" t="str">
        <x:v>CNY</x:v>
      </x:c>
      <x:c r="S147" s="62" t="str">
        <x:v>万元</x:v>
      </x:c>
      <x:c r="T147" s="62" t="str">
        <x:v>费用不含税</x:v>
      </x:c>
      <x:c r="U147" s="62" t="str">
        <x:v>安全运行部</x:v>
      </x:c>
      <x:c r="V147" s="62" t="str">
        <x:v>灾害防护人工成本分摊</x:v>
      </x:c>
      <x:c r="W147" s="62" t="str">
        <x:v>灾害防护人工成本分摊</x:v>
      </x:c>
      <x:c r="X147" s="62" t="str">
        <x:v>17</x:v>
      </x:c>
      <x:c r="Y147" s="62" t="str">
        <x:v>17</x:v>
      </x:c>
      <x:c r="Z147" s="62" t="str">
        <x:v>17</x:v>
      </x:c>
      <x:c r="AA147" s="62" t="str">
        <x:v>灾害防护</x:v>
      </x:c>
      <x:c r="AB147" s="62" t="str">
        <x:v>PRJ-AQ-灾害-2025-002</x:v>
      </x:c>
      <x:c r="AC147" s="74" t="n">
        <x:v>46022</x:v>
      </x:c>
      <x:c r="AD147" s="71" t="str">
        <x:v>源记录保留</x:v>
      </x:c>
      <x:c r="AE147" s="71" t="str">
        <x:v>2025年实际执行.xlsx</x:v>
      </x:c>
      <x:c r="AF147" s="71" t="str">
        <x:v>Sheet</x:v>
      </x:c>
      <x:c r="AG147" s="71" t="n">
        <x:v>147</x:v>
      </x:c>
      <x:c r="AH147" s="71" t="str">
        <x:v>2025年实际执行.xlsx/Sheet!147:147</x:v>
      </x:c>
      <x:c r="AI147" s="62" t="str">
        <x:f>IF(F147=MONTH(L147),"OK","FAIL")</x:f>
        <x:v>OK</x:v>
      </x:c>
      <x:c r="AJ147" s="62" t="str">
        <x:f>IF(J147&lt;=L147,"OK","FAIL")</x:f>
        <x:v>OK</x:v>
      </x:c>
      <x:c r="AK147" s="62" t="str">
        <x:f>IF(D147&lt;&gt;"营业收入","OK",IF(AND(P147&lt;0,Q147&gt;0),"OK","FAIL"))</x:f>
        <x:v>OK</x:v>
      </x:c>
      <x:c r="AL147" s="62" t="str">
        <x:f>IF(COUNTIF($A$2:$A$218,A147)=1,"OK","FAIL")</x:f>
        <x:v>OK</x:v>
      </x:c>
    </x:row>
    <x:row r="148" ht="23" customHeight="1">
      <x:c r="A148" s="62" t="str">
        <x:v>DEMO01|2025|DOC2146|10</x:v>
      </x:c>
      <x:c r="B148" s="62" t="str">
        <x:v>SOURCE</x:v>
      </x:c>
      <x:c r="C148" s="62" t="str">
        <x:v>折旧摊销</x:v>
      </x:c>
      <x:c r="D148" s="62" t="str">
        <x:v>折旧摊销</x:v>
      </x:c>
      <x:c r="E148" s="62" t="n">
        <x:v>12</x:v>
      </x:c>
      <x:c r="F148" s="62" t="n">
        <x:v>12</x:v>
      </x:c>
      <x:c r="G148" s="62" t="str">
        <x:v>DOC2146</x:v>
      </x:c>
      <x:c r="H148" s="62" t="n">
        <x:v>10</x:v>
      </x:c>
      <x:c r="I148" s="74" t="n">
        <x:v>46022</x:v>
      </x:c>
      <x:c r="J148" s="74" t="n">
        <x:v>46022</x:v>
      </x:c>
      <x:c r="K148" s="74" t="n">
        <x:v>46022</x:v>
      </x:c>
      <x:c r="L148" s="74" t="n">
        <x:v>46022</x:v>
      </x:c>
      <x:c r="M148" s="77" t="n">
        <x:v>4</x:v>
      </x:c>
      <x:c r="N148" s="77"/>
      <x:c r="O148" s="78"/>
      <x:c r="P148" s="79" t="n">
        <x:f>M148</x:f>
        <x:v>4</x:v>
      </x:c>
      <x:c r="Q148" s="79" t="n">
        <x:f>IF(D148="营业收入",-P148,P148)</x:f>
        <x:v>4</x:v>
      </x:c>
      <x:c r="R148" s="62" t="str">
        <x:v>CNY</x:v>
      </x:c>
      <x:c r="S148" s="62" t="str">
        <x:v>万元</x:v>
      </x:c>
      <x:c r="T148" s="62" t="str">
        <x:v>费用不含税</x:v>
      </x:c>
      <x:c r="U148" s="62" t="str">
        <x:v>安全运行部</x:v>
      </x:c>
      <x:c r="V148" s="62" t="str">
        <x:v>灾害防护折旧摊销分摊</x:v>
      </x:c>
      <x:c r="W148" s="62" t="str">
        <x:v>灾害防护折旧摊销分摊</x:v>
      </x:c>
      <x:c r="X148" s="62" t="str">
        <x:v>17</x:v>
      </x:c>
      <x:c r="Y148" s="62" t="str">
        <x:v>17</x:v>
      </x:c>
      <x:c r="Z148" s="62" t="str">
        <x:v>17</x:v>
      </x:c>
      <x:c r="AA148" s="62" t="str">
        <x:v>灾害防护</x:v>
      </x:c>
      <x:c r="AB148" s="62" t="str">
        <x:v>PRJ-AQ-灾害-2025-002</x:v>
      </x:c>
      <x:c r="AC148" s="74" t="n">
        <x:v>46022</x:v>
      </x:c>
      <x:c r="AD148" s="71" t="str">
        <x:v>源记录保留</x:v>
      </x:c>
      <x:c r="AE148" s="71" t="str">
        <x:v>2025年实际执行.xlsx</x:v>
      </x:c>
      <x:c r="AF148" s="71" t="str">
        <x:v>Sheet</x:v>
      </x:c>
      <x:c r="AG148" s="71" t="n">
        <x:v>148</x:v>
      </x:c>
      <x:c r="AH148" s="71" t="str">
        <x:v>2025年实际执行.xlsx/Sheet!148:148</x:v>
      </x:c>
      <x:c r="AI148" s="62" t="str">
        <x:f>IF(F148=MONTH(L148),"OK","FAIL")</x:f>
        <x:v>OK</x:v>
      </x:c>
      <x:c r="AJ148" s="62" t="str">
        <x:f>IF(J148&lt;=L148,"OK","FAIL")</x:f>
        <x:v>OK</x:v>
      </x:c>
      <x:c r="AK148" s="62" t="str">
        <x:f>IF(D148&lt;&gt;"营业收入","OK",IF(AND(P148&lt;0,Q148&gt;0),"OK","FAIL"))</x:f>
        <x:v>OK</x:v>
      </x:c>
      <x:c r="AL148" s="62" t="str">
        <x:f>IF(COUNTIF($A$2:$A$218,A148)=1,"OK","FAIL")</x:f>
        <x:v>OK</x:v>
      </x:c>
    </x:row>
    <x:row r="149" ht="23" customHeight="1">
      <x:c r="A149" s="62" t="str">
        <x:v>DEMO01|2025|DOC2147|10</x:v>
      </x:c>
      <x:c r="B149" s="62" t="str">
        <x:v>CORRECTED</x:v>
      </x:c>
      <x:c r="C149" s="62" t="str">
        <x:v>业务支持费</x:v>
      </x:c>
      <x:c r="D149" s="62" t="str">
        <x:v>业务支持费-其他</x:v>
      </x:c>
      <x:c r="E149" s="62" t="n">
        <x:v>6</x:v>
      </x:c>
      <x:c r="F149" s="62" t="n">
        <x:v>4</x:v>
      </x:c>
      <x:c r="G149" s="62" t="str">
        <x:v>DOC2147</x:v>
      </x:c>
      <x:c r="H149" s="62" t="n">
        <x:v>10</x:v>
      </x:c>
      <x:c r="I149" s="74" t="n">
        <x:v>45767</x:v>
      </x:c>
      <x:c r="J149" s="74" t="n">
        <x:v>45767</x:v>
      </x:c>
      <x:c r="K149" s="74" t="n">
        <x:v>45767</x:v>
      </x:c>
      <x:c r="L149" s="74" t="n">
        <x:v>45767</x:v>
      </x:c>
      <x:c r="M149" s="77" t="n">
        <x:v>5</x:v>
      </x:c>
      <x:c r="N149" s="77"/>
      <x:c r="O149" s="78"/>
      <x:c r="P149" s="79" t="n">
        <x:f>M149</x:f>
        <x:v>5</x:v>
      </x:c>
      <x:c r="Q149" s="79" t="n">
        <x:f>IF(D149="营业收入",-P149,P149)</x:f>
        <x:v>5</x:v>
      </x:c>
      <x:c r="R149" s="62" t="str">
        <x:v>CNY</x:v>
      </x:c>
      <x:c r="S149" s="62" t="str">
        <x:v>万元</x:v>
      </x:c>
      <x:c r="T149" s="62" t="str">
        <x:v>费用不含税</x:v>
      </x:c>
      <x:c r="U149" s="62" t="str">
        <x:v>安全运行部</x:v>
      </x:c>
      <x:c r="V149" s="62" t="str">
        <x:v>确认灾害防护_实际成本</x:v>
      </x:c>
      <x:c r="W149" s="62" t="str">
        <x:v>确认灾害防护_实际成本</x:v>
      </x:c>
      <x:c r="X149" s="62" t="str">
        <x:v>国电智深</x:v>
      </x:c>
      <x:c r="Y149" s="62" t="str">
        <x:v>国电智深</x:v>
      </x:c>
      <x:c r="Z149" s="62" t="str">
        <x:v>17</x:v>
      </x:c>
      <x:c r="AA149" s="62" t="str">
        <x:v>灾害防护</x:v>
      </x:c>
      <x:c r="AB149" s="62" t="str">
        <x:v>PRJ-AQ-灾害-2025-002</x:v>
      </x:c>
      <x:c r="AC149" s="74" t="n">
        <x:v>46022</x:v>
      </x:c>
      <x:c r="AD149" s="71" t="str">
        <x:v>期间改为过账月</x:v>
      </x:c>
      <x:c r="AE149" s="71" t="str">
        <x:v>2025年实际执行.xlsx</x:v>
      </x:c>
      <x:c r="AF149" s="71" t="str">
        <x:v>Sheet</x:v>
      </x:c>
      <x:c r="AG149" s="71" t="n">
        <x:v>149</x:v>
      </x:c>
      <x:c r="AH149" s="71" t="str">
        <x:v>2025年实际执行.xlsx/Sheet!149:149</x:v>
      </x:c>
      <x:c r="AI149" s="62" t="str">
        <x:f>IF(F149=MONTH(L149),"OK","FAIL")</x:f>
        <x:v>OK</x:v>
      </x:c>
      <x:c r="AJ149" s="62" t="str">
        <x:f>IF(J149&lt;=L149,"OK","FAIL")</x:f>
        <x:v>OK</x:v>
      </x:c>
      <x:c r="AK149" s="62" t="str">
        <x:f>IF(D149&lt;&gt;"营业收入","OK",IF(AND(P149&lt;0,Q149&gt;0),"OK","FAIL"))</x:f>
        <x:v>OK</x:v>
      </x:c>
      <x:c r="AL149" s="62" t="str">
        <x:f>IF(COUNTIF($A$2:$A$218,A149)=1,"OK","FAIL")</x:f>
        <x:v>OK</x:v>
      </x:c>
    </x:row>
    <x:row r="150" ht="23" customHeight="1">
      <x:c r="A150" s="62" t="str">
        <x:v>DEMO01|2025|DOC2148|10</x:v>
      </x:c>
      <x:c r="B150" s="62" t="str">
        <x:v>SOURCE</x:v>
      </x:c>
      <x:c r="C150" s="62" t="str">
        <x:v>营业收入</x:v>
      </x:c>
      <x:c r="D150" s="62" t="str">
        <x:v>营业收入</x:v>
      </x:c>
      <x:c r="E150" s="62" t="n">
        <x:v>6</x:v>
      </x:c>
      <x:c r="F150" s="62" t="n">
        <x:v>6</x:v>
      </x:c>
      <x:c r="G150" s="62" t="str">
        <x:v>DOC2148</x:v>
      </x:c>
      <x:c r="H150" s="62" t="n">
        <x:v>10</x:v>
      </x:c>
      <x:c r="I150" s="74" t="n">
        <x:v>45823</x:v>
      </x:c>
      <x:c r="J150" s="74" t="n">
        <x:v>45823</x:v>
      </x:c>
      <x:c r="K150" s="74" t="n">
        <x:v>45823</x:v>
      </x:c>
      <x:c r="L150" s="74" t="n">
        <x:v>45823</x:v>
      </x:c>
      <x:c r="M150" s="77" t="n">
        <x:v>-29.9</x:v>
      </x:c>
      <x:c r="N150" s="77"/>
      <x:c r="O150" s="78"/>
      <x:c r="P150" s="79" t="n">
        <x:f>M150</x:f>
        <x:v>-29.9</x:v>
      </x:c>
      <x:c r="Q150" s="79" t="n">
        <x:f>IF(D150="营业收入",-P150,P150)</x:f>
        <x:v>29.9</x:v>
      </x:c>
      <x:c r="R150" s="62" t="str">
        <x:v>CNY</x:v>
      </x:c>
      <x:c r="S150" s="62" t="str">
        <x:v>万元</x:v>
      </x:c>
      <x:c r="T150" s="62" t="str">
        <x:v>收益；源负号</x:v>
      </x:c>
      <x:c r="U150" s="62" t="str">
        <x:v>安全运行部</x:v>
      </x:c>
      <x:c r="V150" s="62" t="str">
        <x:v>灾害防护收入确认</x:v>
      </x:c>
      <x:c r="W150" s="62" t="str">
        <x:v>灾害防护收入确认</x:v>
      </x:c>
      <x:c r="X150" s="62" t="str">
        <x:v>17</x:v>
      </x:c>
      <x:c r="Y150" s="62" t="str">
        <x:v>17</x:v>
      </x:c>
      <x:c r="Z150" s="62" t="str">
        <x:v>17</x:v>
      </x:c>
      <x:c r="AA150" s="62" t="str">
        <x:v>灾害防护</x:v>
      </x:c>
      <x:c r="AB150" s="62" t="str">
        <x:v>PRJ-AQ-灾害-2025-003</x:v>
      </x:c>
      <x:c r="AC150" s="74" t="n">
        <x:v>46022</x:v>
      </x:c>
      <x:c r="AD150" s="71" t="str">
        <x:v>源记录保留</x:v>
      </x:c>
      <x:c r="AE150" s="71" t="str">
        <x:v>2025年实际执行.xlsx</x:v>
      </x:c>
      <x:c r="AF150" s="71" t="str">
        <x:v>Sheet</x:v>
      </x:c>
      <x:c r="AG150" s="71" t="n">
        <x:v>150</x:v>
      </x:c>
      <x:c r="AH150" s="71" t="str">
        <x:v>2025年实际执行.xlsx/Sheet!150:150</x:v>
      </x:c>
      <x:c r="AI150" s="62" t="str">
        <x:f>IF(F150=MONTH(L150),"OK","FAIL")</x:f>
        <x:v>OK</x:v>
      </x:c>
      <x:c r="AJ150" s="62" t="str">
        <x:f>IF(J150&lt;=L150,"OK","FAIL")</x:f>
        <x:v>OK</x:v>
      </x:c>
      <x:c r="AK150" s="62" t="str">
        <x:f>IF(D150&lt;&gt;"营业收入","OK",IF(AND(P150&lt;0,Q150&gt;0),"OK","FAIL"))</x:f>
        <x:v>OK</x:v>
      </x:c>
      <x:c r="AL150" s="62" t="str">
        <x:f>IF(COUNTIF($A$2:$A$218,A150)=1,"OK","FAIL")</x:f>
        <x:v>OK</x:v>
      </x:c>
    </x:row>
    <x:row r="151" ht="23" customHeight="1">
      <x:c r="A151" s="62" t="str">
        <x:v>DEMO01|2025|DOC2149|10</x:v>
      </x:c>
      <x:c r="B151" s="62" t="str">
        <x:v>SOURCE</x:v>
      </x:c>
      <x:c r="C151" s="62" t="str">
        <x:v>会议费</x:v>
      </x:c>
      <x:c r="D151" s="62" t="str">
        <x:v>会议费</x:v>
      </x:c>
      <x:c r="E151" s="62" t="n">
        <x:v>10</x:v>
      </x:c>
      <x:c r="F151" s="62" t="n">
        <x:v>10</x:v>
      </x:c>
      <x:c r="G151" s="62" t="str">
        <x:v>DOC2149</x:v>
      </x:c>
      <x:c r="H151" s="62" t="n">
        <x:v>10</x:v>
      </x:c>
      <x:c r="I151" s="74" t="n">
        <x:v>45945</x:v>
      </x:c>
      <x:c r="J151" s="74" t="n">
        <x:v>45945</x:v>
      </x:c>
      <x:c r="K151" s="74" t="n">
        <x:v>45945</x:v>
      </x:c>
      <x:c r="L151" s="74" t="n">
        <x:v>45945</x:v>
      </x:c>
      <x:c r="M151" s="77" t="n">
        <x:v>3</x:v>
      </x:c>
      <x:c r="N151" s="77"/>
      <x:c r="O151" s="78"/>
      <x:c r="P151" s="79" t="n">
        <x:f>M151</x:f>
        <x:v>3</x:v>
      </x:c>
      <x:c r="Q151" s="79" t="n">
        <x:f>IF(D151="营业收入",-P151,P151)</x:f>
        <x:v>3</x:v>
      </x:c>
      <x:c r="R151" s="62" t="str">
        <x:v>CNY</x:v>
      </x:c>
      <x:c r="S151" s="62" t="str">
        <x:v>万元</x:v>
      </x:c>
      <x:c r="T151" s="62" t="str">
        <x:v>费用不含税</x:v>
      </x:c>
      <x:c r="U151" s="62" t="str">
        <x:v>安全运行部</x:v>
      </x:c>
      <x:c r="V151" s="62" t="str">
        <x:v>灾害防护项目阶段评审会</x:v>
      </x:c>
      <x:c r="W151" s="62" t="str">
        <x:v>灾害防护项目阶段评审会</x:v>
      </x:c>
      <x:c r="X151" s="62" t="str">
        <x:v>国电智深</x:v>
      </x:c>
      <x:c r="Y151" s="62" t="str">
        <x:v>国电智深</x:v>
      </x:c>
      <x:c r="Z151" s="62" t="str">
        <x:v>17</x:v>
      </x:c>
      <x:c r="AA151" s="62" t="str">
        <x:v>灾害防护</x:v>
      </x:c>
      <x:c r="AB151" s="62" t="str">
        <x:v>PRJ-AQ-灾害-2025-003</x:v>
      </x:c>
      <x:c r="AC151" s="74" t="n">
        <x:v>46022</x:v>
      </x:c>
      <x:c r="AD151" s="71" t="str">
        <x:v>源记录保留</x:v>
      </x:c>
      <x:c r="AE151" s="71" t="str">
        <x:v>2025年实际执行.xlsx</x:v>
      </x:c>
      <x:c r="AF151" s="71" t="str">
        <x:v>Sheet</x:v>
      </x:c>
      <x:c r="AG151" s="71" t="n">
        <x:v>151</x:v>
      </x:c>
      <x:c r="AH151" s="71" t="str">
        <x:v>2025年实际执行.xlsx/Sheet!151:151</x:v>
      </x:c>
      <x:c r="AI151" s="62" t="str">
        <x:f>IF(F151=MONTH(L151),"OK","FAIL")</x:f>
        <x:v>OK</x:v>
      </x:c>
      <x:c r="AJ151" s="62" t="str">
        <x:f>IF(J151&lt;=L151,"OK","FAIL")</x:f>
        <x:v>OK</x:v>
      </x:c>
      <x:c r="AK151" s="62" t="str">
        <x:f>IF(D151&lt;&gt;"营业收入","OK",IF(AND(P151&lt;0,Q151&gt;0),"OK","FAIL"))</x:f>
        <x:v>OK</x:v>
      </x:c>
      <x:c r="AL151" s="62" t="str">
        <x:f>IF(COUNTIF($A$2:$A$218,A151)=1,"OK","FAIL")</x:f>
        <x:v>OK</x:v>
      </x:c>
    </x:row>
    <x:row r="152" ht="23" customHeight="1">
      <x:c r="A152" s="62" t="str">
        <x:v>DEMO01|2025|DOC2150|10</x:v>
      </x:c>
      <x:c r="B152" s="62" t="str">
        <x:v>SOURCE</x:v>
      </x:c>
      <x:c r="C152" s="62" t="str">
        <x:v>业务支持费</x:v>
      </x:c>
      <x:c r="D152" s="62" t="str">
        <x:v>业务支持费-技术配置</x:v>
      </x:c>
      <x:c r="E152" s="62" t="n">
        <x:v>10</x:v>
      </x:c>
      <x:c r="F152" s="62" t="n">
        <x:v>10</x:v>
      </x:c>
      <x:c r="G152" s="62" t="str">
        <x:v>DOC2150</x:v>
      </x:c>
      <x:c r="H152" s="62" t="n">
        <x:v>10</x:v>
      </x:c>
      <x:c r="I152" s="74" t="n">
        <x:v>45945</x:v>
      </x:c>
      <x:c r="J152" s="74" t="n">
        <x:v>45945</x:v>
      </x:c>
      <x:c r="K152" s="74" t="n">
        <x:v>45945</x:v>
      </x:c>
      <x:c r="L152" s="74" t="n">
        <x:v>45945</x:v>
      </x:c>
      <x:c r="M152" s="77" t="n">
        <x:v>15</x:v>
      </x:c>
      <x:c r="N152" s="77"/>
      <x:c r="O152" s="78"/>
      <x:c r="P152" s="79" t="n">
        <x:f>M152</x:f>
        <x:v>15</x:v>
      </x:c>
      <x:c r="Q152" s="79" t="n">
        <x:f>IF(D152="营业收入",-P152,P152)</x:f>
        <x:v>15</x:v>
      </x:c>
      <x:c r="R152" s="62" t="str">
        <x:v>CNY</x:v>
      </x:c>
      <x:c r="S152" s="62" t="str">
        <x:v>万元</x:v>
      </x:c>
      <x:c r="T152" s="62" t="str">
        <x:v>费用不含税</x:v>
      </x:c>
      <x:c r="U152" s="62" t="str">
        <x:v>安全运行部</x:v>
      </x:c>
      <x:c r="V152" s="62" t="str">
        <x:v>灾害防护技术配置_实施阶段</x:v>
      </x:c>
      <x:c r="W152" s="62" t="str">
        <x:v>灾害防护技术配置_实施阶段</x:v>
      </x:c>
      <x:c r="X152" s="62" t="str">
        <x:v>供应商2</x:v>
      </x:c>
      <x:c r="Y152" s="62" t="str">
        <x:v>供应商2</x:v>
      </x:c>
      <x:c r="Z152" s="62" t="str">
        <x:v>17</x:v>
      </x:c>
      <x:c r="AA152" s="62" t="str">
        <x:v>灾害防护</x:v>
      </x:c>
      <x:c r="AB152" s="62" t="str">
        <x:v>PRJ-AQ-灾害-2025-003</x:v>
      </x:c>
      <x:c r="AC152" s="74" t="n">
        <x:v>46022</x:v>
      </x:c>
      <x:c r="AD152" s="71" t="str">
        <x:v>源记录保留</x:v>
      </x:c>
      <x:c r="AE152" s="71" t="str">
        <x:v>2025年实际执行.xlsx</x:v>
      </x:c>
      <x:c r="AF152" s="71" t="str">
        <x:v>Sheet</x:v>
      </x:c>
      <x:c r="AG152" s="71" t="n">
        <x:v>152</x:v>
      </x:c>
      <x:c r="AH152" s="71" t="str">
        <x:v>2025年实际执行.xlsx/Sheet!152:152</x:v>
      </x:c>
      <x:c r="AI152" s="62" t="str">
        <x:f>IF(F152=MONTH(L152),"OK","FAIL")</x:f>
        <x:v>OK</x:v>
      </x:c>
      <x:c r="AJ152" s="62" t="str">
        <x:f>IF(J152&lt;=L152,"OK","FAIL")</x:f>
        <x:v>OK</x:v>
      </x:c>
      <x:c r="AK152" s="62" t="str">
        <x:f>IF(D152&lt;&gt;"营业收入","OK",IF(AND(P152&lt;0,Q152&gt;0),"OK","FAIL"))</x:f>
        <x:v>OK</x:v>
      </x:c>
      <x:c r="AL152" s="62" t="str">
        <x:f>IF(COUNTIF($A$2:$A$218,A152)=1,"OK","FAIL")</x:f>
        <x:v>OK</x:v>
      </x:c>
    </x:row>
    <x:row r="153" ht="23" customHeight="1">
      <x:c r="A153" s="62" t="str">
        <x:v>DEMO01|2025|DOC2151|10</x:v>
      </x:c>
      <x:c r="B153" s="62" t="str">
        <x:v>SOURCE</x:v>
      </x:c>
      <x:c r="C153" s="62" t="str">
        <x:v>生产物料费</x:v>
      </x:c>
      <x:c r="D153" s="62" t="str">
        <x:v>生产物料费</x:v>
      </x:c>
      <x:c r="E153" s="62" t="n">
        <x:v>8</x:v>
      </x:c>
      <x:c r="F153" s="62" t="n">
        <x:v>8</x:v>
      </x:c>
      <x:c r="G153" s="62" t="str">
        <x:v>DOC2151</x:v>
      </x:c>
      <x:c r="H153" s="62" t="n">
        <x:v>10</x:v>
      </x:c>
      <x:c r="I153" s="74" t="n">
        <x:v>45884</x:v>
      </x:c>
      <x:c r="J153" s="74" t="n">
        <x:v>45884</x:v>
      </x:c>
      <x:c r="K153" s="74" t="n">
        <x:v>45884</x:v>
      </x:c>
      <x:c r="L153" s="74" t="n">
        <x:v>45884</x:v>
      </x:c>
      <x:c r="M153" s="77" t="n">
        <x:v>2.8245</x:v>
      </x:c>
      <x:c r="N153" s="77"/>
      <x:c r="O153" s="78"/>
      <x:c r="P153" s="79" t="n">
        <x:f>M153</x:f>
        <x:v>2.8245</x:v>
      </x:c>
      <x:c r="Q153" s="79" t="n">
        <x:f>IF(D153="营业收入",-P153,P153)</x:f>
        <x:v>2.8245</x:v>
      </x:c>
      <x:c r="R153" s="62" t="str">
        <x:v>CNY</x:v>
      </x:c>
      <x:c r="S153" s="62" t="str">
        <x:v>万元</x:v>
      </x:c>
      <x:c r="T153" s="62" t="str">
        <x:v>费用不含税</x:v>
      </x:c>
      <x:c r="U153" s="62" t="str">
        <x:v>安全运行部</x:v>
      </x:c>
      <x:c r="V153" s="62" t="str">
        <x:v>灾害防护现场物料采购</x:v>
      </x:c>
      <x:c r="W153" s="62" t="str">
        <x:v>灾害防护现场物料采购</x:v>
      </x:c>
      <x:c r="X153" s="62" t="str">
        <x:v>国电智深</x:v>
      </x:c>
      <x:c r="Y153" s="62" t="str">
        <x:v>国电智深</x:v>
      </x:c>
      <x:c r="Z153" s="62" t="str">
        <x:v>17</x:v>
      </x:c>
      <x:c r="AA153" s="62" t="str">
        <x:v>灾害防护</x:v>
      </x:c>
      <x:c r="AB153" s="62" t="str">
        <x:v>PRJ-AQ-灾害-2025-003</x:v>
      </x:c>
      <x:c r="AC153" s="74" t="n">
        <x:v>46022</x:v>
      </x:c>
      <x:c r="AD153" s="71" t="str">
        <x:v>源记录保留</x:v>
      </x:c>
      <x:c r="AE153" s="71" t="str">
        <x:v>2025年实际执行.xlsx</x:v>
      </x:c>
      <x:c r="AF153" s="71" t="str">
        <x:v>Sheet</x:v>
      </x:c>
      <x:c r="AG153" s="71" t="n">
        <x:v>153</x:v>
      </x:c>
      <x:c r="AH153" s="71" t="str">
        <x:v>2025年实际执行.xlsx/Sheet!153:153</x:v>
      </x:c>
      <x:c r="AI153" s="62" t="str">
        <x:f>IF(F153=MONTH(L153),"OK","FAIL")</x:f>
        <x:v>OK</x:v>
      </x:c>
      <x:c r="AJ153" s="62" t="str">
        <x:f>IF(J153&lt;=L153,"OK","FAIL")</x:f>
        <x:v>OK</x:v>
      </x:c>
      <x:c r="AK153" s="62" t="str">
        <x:f>IF(D153&lt;&gt;"营业收入","OK",IF(AND(P153&lt;0,Q153&gt;0),"OK","FAIL"))</x:f>
        <x:v>OK</x:v>
      </x:c>
      <x:c r="AL153" s="62" t="str">
        <x:f>IF(COUNTIF($A$2:$A$218,A153)=1,"OK","FAIL")</x:f>
        <x:v>OK</x:v>
      </x:c>
    </x:row>
    <x:row r="154" ht="23" customHeight="1">
      <x:c r="A154" s="62" t="str">
        <x:v>DEMO01|2025|DOC2152|10</x:v>
      </x:c>
      <x:c r="B154" s="62" t="str">
        <x:v>SOURCE</x:v>
      </x:c>
      <x:c r="C154" s="62" t="str">
        <x:v>办公费</x:v>
      </x:c>
      <x:c r="D154" s="62" t="str">
        <x:v>办公费</x:v>
      </x:c>
      <x:c r="E154" s="62" t="n">
        <x:v>4</x:v>
      </x:c>
      <x:c r="F154" s="62" t="n">
        <x:v>4</x:v>
      </x:c>
      <x:c r="G154" s="62" t="str">
        <x:v>DOC2152</x:v>
      </x:c>
      <x:c r="H154" s="62" t="n">
        <x:v>10</x:v>
      </x:c>
      <x:c r="I154" s="74" t="n">
        <x:v>45762</x:v>
      </x:c>
      <x:c r="J154" s="74" t="n">
        <x:v>45762</x:v>
      </x:c>
      <x:c r="K154" s="74" t="n">
        <x:v>45762</x:v>
      </x:c>
      <x:c r="L154" s="74" t="n">
        <x:v>45762</x:v>
      </x:c>
      <x:c r="M154" s="77" t="n">
        <x:v>0.5649</x:v>
      </x:c>
      <x:c r="N154" s="77"/>
      <x:c r="O154" s="78"/>
      <x:c r="P154" s="79" t="n">
        <x:f>M154</x:f>
        <x:v>0.5649</x:v>
      </x:c>
      <x:c r="Q154" s="79" t="n">
        <x:f>IF(D154="营业收入",-P154,P154)</x:f>
        <x:v>0.5649</x:v>
      </x:c>
      <x:c r="R154" s="62" t="str">
        <x:v>CNY</x:v>
      </x:c>
      <x:c r="S154" s="62" t="str">
        <x:v>万元</x:v>
      </x:c>
      <x:c r="T154" s="62" t="str">
        <x:v>费用不含税</x:v>
      </x:c>
      <x:c r="U154" s="62" t="str">
        <x:v>安全运行部</x:v>
      </x:c>
      <x:c r="V154" s="62" t="str">
        <x:v>灾害防护日常办公</x:v>
      </x:c>
      <x:c r="W154" s="62" t="str">
        <x:v>灾害防护日常办公</x:v>
      </x:c>
      <x:c r="X154" s="62" t="str">
        <x:v>国电智深</x:v>
      </x:c>
      <x:c r="Y154" s="62" t="str">
        <x:v>国电智深</x:v>
      </x:c>
      <x:c r="Z154" s="62" t="str">
        <x:v>17</x:v>
      </x:c>
      <x:c r="AA154" s="62" t="str">
        <x:v>灾害防护</x:v>
      </x:c>
      <x:c r="AB154" s="62" t="str">
        <x:v>PRJ-AQ-灾害-2025-003</x:v>
      </x:c>
      <x:c r="AC154" s="74" t="n">
        <x:v>46022</x:v>
      </x:c>
      <x:c r="AD154" s="71" t="str">
        <x:v>源记录保留</x:v>
      </x:c>
      <x:c r="AE154" s="71" t="str">
        <x:v>2025年实际执行.xlsx</x:v>
      </x:c>
      <x:c r="AF154" s="71" t="str">
        <x:v>Sheet</x:v>
      </x:c>
      <x:c r="AG154" s="71" t="n">
        <x:v>154</x:v>
      </x:c>
      <x:c r="AH154" s="71" t="str">
        <x:v>2025年实际执行.xlsx/Sheet!154:154</x:v>
      </x:c>
      <x:c r="AI154" s="62" t="str">
        <x:f>IF(F154=MONTH(L154),"OK","FAIL")</x:f>
        <x:v>OK</x:v>
      </x:c>
      <x:c r="AJ154" s="62" t="str">
        <x:f>IF(J154&lt;=L154,"OK","FAIL")</x:f>
        <x:v>OK</x:v>
      </x:c>
      <x:c r="AK154" s="62" t="str">
        <x:f>IF(D154&lt;&gt;"营业收入","OK",IF(AND(P154&lt;0,Q154&gt;0),"OK","FAIL"))</x:f>
        <x:v>OK</x:v>
      </x:c>
      <x:c r="AL154" s="62" t="str">
        <x:f>IF(COUNTIF($A$2:$A$218,A154)=1,"OK","FAIL")</x:f>
        <x:v>OK</x:v>
      </x:c>
    </x:row>
    <x:row r="155" ht="23" customHeight="1">
      <x:c r="A155" s="62" t="str">
        <x:v>DEMO01|2025|DOC2153|10</x:v>
      </x:c>
      <x:c r="B155" s="62" t="str">
        <x:v>CORRECTED</x:v>
      </x:c>
      <x:c r="C155" s="62" t="str">
        <x:v>交通运输费</x:v>
      </x:c>
      <x:c r="D155" s="62" t="str">
        <x:v>交通运输费</x:v>
      </x:c>
      <x:c r="E155" s="62" t="n">
        <x:v>8</x:v>
      </x:c>
      <x:c r="F155" s="62" t="n">
        <x:v>8</x:v>
      </x:c>
      <x:c r="G155" s="62" t="str">
        <x:v>DOC2153</x:v>
      </x:c>
      <x:c r="H155" s="62" t="n">
        <x:v>10</x:v>
      </x:c>
      <x:c r="I155" s="74" t="n">
        <x:v>45884</x:v>
      </x:c>
      <x:c r="J155" s="74" t="n">
        <x:v>45884</x:v>
      </x:c>
      <x:c r="K155" s="74" t="n">
        <x:v>45884</x:v>
      </x:c>
      <x:c r="L155" s="74" t="n">
        <x:v>45884</x:v>
      </x:c>
      <x:c r="M155" s="77" t="n">
        <x:v>0.9415</x:v>
      </x:c>
      <x:c r="N155" s="77"/>
      <x:c r="O155" s="78"/>
      <x:c r="P155" s="79" t="n">
        <x:f>M155</x:f>
        <x:v>0.9415</x:v>
      </x:c>
      <x:c r="Q155" s="79" t="n">
        <x:f>IF(D155="营业收入",-P155,P155)</x:f>
        <x:v>0.9415</x:v>
      </x:c>
      <x:c r="R155" s="62" t="str">
        <x:v>CNY</x:v>
      </x:c>
      <x:c r="S155" s="62" t="str">
        <x:v>万元</x:v>
      </x:c>
      <x:c r="T155" s="62" t="str">
        <x:v>费用不含税</x:v>
      </x:c>
      <x:c r="U155" s="62" t="str">
        <x:v>安全运行部</x:v>
      </x:c>
      <x:c r="V155" s="62" t="str">
        <x:v>灾害防护材料运输</x:v>
      </x:c>
      <x:c r="W155" s="62" t="str">
        <x:v>灾害防护材料运输</x:v>
      </x:c>
      <x:c r="X155" s="62" t="str">
        <x:v>国电智深</x:v>
      </x:c>
      <x:c r="Y155" s="62" t="str">
        <x:v>国电智深</x:v>
      </x:c>
      <x:c r="Z155" s="62" t="str">
        <x:v>17</x:v>
      </x:c>
      <x:c r="AA155" s="62" t="str">
        <x:v>灾害防护</x:v>
      </x:c>
      <x:c r="AB155" s="62" t="str">
        <x:v>PRJ-AQ-灾害-2025-003</x:v>
      </x:c>
      <x:c r="AC155" s="74" t="n">
        <x:v>46022</x:v>
      </x:c>
      <x:c r="AD155" s="71" t="str">
        <x:v>补凭证行号</x:v>
      </x:c>
      <x:c r="AE155" s="71" t="str">
        <x:v>2025年实际执行.xlsx</x:v>
      </x:c>
      <x:c r="AF155" s="71" t="str">
        <x:v>Sheet</x:v>
      </x:c>
      <x:c r="AG155" s="71" t="n">
        <x:v>155</x:v>
      </x:c>
      <x:c r="AH155" s="71" t="str">
        <x:v>2025年实际执行.xlsx/Sheet!155:155</x:v>
      </x:c>
      <x:c r="AI155" s="62" t="str">
        <x:f>IF(F155=MONTH(L155),"OK","FAIL")</x:f>
        <x:v>OK</x:v>
      </x:c>
      <x:c r="AJ155" s="62" t="str">
        <x:f>IF(J155&lt;=L155,"OK","FAIL")</x:f>
        <x:v>OK</x:v>
      </x:c>
      <x:c r="AK155" s="62" t="str">
        <x:f>IF(D155&lt;&gt;"营业收入","OK",IF(AND(P155&lt;0,Q155&gt;0),"OK","FAIL"))</x:f>
        <x:v>OK</x:v>
      </x:c>
      <x:c r="AL155" s="62" t="str">
        <x:f>IF(COUNTIF($A$2:$A$218,A155)=1,"OK","FAIL")</x:f>
        <x:v>OK</x:v>
      </x:c>
    </x:row>
    <x:row r="156" ht="23" customHeight="1">
      <x:c r="A156" s="62" t="str">
        <x:v>DEMO01|2025|DOC2154|10</x:v>
      </x:c>
      <x:c r="B156" s="62" t="str">
        <x:v>SOURCE</x:v>
      </x:c>
      <x:c r="C156" s="62" t="str">
        <x:v>人工成本</x:v>
      </x:c>
      <x:c r="D156" s="62" t="str">
        <x:v>人工成本</x:v>
      </x:c>
      <x:c r="E156" s="62" t="n">
        <x:v>6</x:v>
      </x:c>
      <x:c r="F156" s="62" t="n">
        <x:v>6</x:v>
      </x:c>
      <x:c r="G156" s="62" t="str">
        <x:v>DOC2154</x:v>
      </x:c>
      <x:c r="H156" s="62" t="n">
        <x:v>10</x:v>
      </x:c>
      <x:c r="I156" s="74" t="n">
        <x:v>45838</x:v>
      </x:c>
      <x:c r="J156" s="74" t="n">
        <x:v>45838</x:v>
      </x:c>
      <x:c r="K156" s="74" t="n">
        <x:v>45838</x:v>
      </x:c>
      <x:c r="L156" s="74" t="n">
        <x:v>45838</x:v>
      </x:c>
      <x:c r="M156" s="77" t="n">
        <x:v>6</x:v>
      </x:c>
      <x:c r="N156" s="77"/>
      <x:c r="O156" s="78"/>
      <x:c r="P156" s="79" t="n">
        <x:f>M156</x:f>
        <x:v>6</x:v>
      </x:c>
      <x:c r="Q156" s="79" t="n">
        <x:f>IF(D156="营业收入",-P156,P156)</x:f>
        <x:v>6</x:v>
      </x:c>
      <x:c r="R156" s="62" t="str">
        <x:v>CNY</x:v>
      </x:c>
      <x:c r="S156" s="62" t="str">
        <x:v>万元</x:v>
      </x:c>
      <x:c r="T156" s="62" t="str">
        <x:v>费用不含税</x:v>
      </x:c>
      <x:c r="U156" s="62" t="str">
        <x:v>安全运行部</x:v>
      </x:c>
      <x:c r="V156" s="62" t="str">
        <x:v>灾害防护人工成本分摊</x:v>
      </x:c>
      <x:c r="W156" s="62" t="str">
        <x:v>灾害防护人工成本分摊</x:v>
      </x:c>
      <x:c r="X156" s="62" t="str">
        <x:v>17</x:v>
      </x:c>
      <x:c r="Y156" s="62" t="str">
        <x:v>17</x:v>
      </x:c>
      <x:c r="Z156" s="62" t="str">
        <x:v>17</x:v>
      </x:c>
      <x:c r="AA156" s="62" t="str">
        <x:v>灾害防护</x:v>
      </x:c>
      <x:c r="AB156" s="62" t="str">
        <x:v>PRJ-AQ-灾害-2025-003</x:v>
      </x:c>
      <x:c r="AC156" s="74" t="n">
        <x:v>46022</x:v>
      </x:c>
      <x:c r="AD156" s="71" t="str">
        <x:v>源记录保留</x:v>
      </x:c>
      <x:c r="AE156" s="71" t="str">
        <x:v>2025年实际执行.xlsx</x:v>
      </x:c>
      <x:c r="AF156" s="71" t="str">
        <x:v>Sheet</x:v>
      </x:c>
      <x:c r="AG156" s="71" t="n">
        <x:v>156</x:v>
      </x:c>
      <x:c r="AH156" s="71" t="str">
        <x:v>2025年实际执行.xlsx/Sheet!156:156</x:v>
      </x:c>
      <x:c r="AI156" s="62" t="str">
        <x:f>IF(F156=MONTH(L156),"OK","FAIL")</x:f>
        <x:v>OK</x:v>
      </x:c>
      <x:c r="AJ156" s="62" t="str">
        <x:f>IF(J156&lt;=L156,"OK","FAIL")</x:f>
        <x:v>OK</x:v>
      </x:c>
      <x:c r="AK156" s="62" t="str">
        <x:f>IF(D156&lt;&gt;"营业收入","OK",IF(AND(P156&lt;0,Q156&gt;0),"OK","FAIL"))</x:f>
        <x:v>OK</x:v>
      </x:c>
      <x:c r="AL156" s="62" t="str">
        <x:f>IF(COUNTIF($A$2:$A$218,A156)=1,"OK","FAIL")</x:f>
        <x:v>OK</x:v>
      </x:c>
    </x:row>
    <x:row r="157" ht="23" customHeight="1">
      <x:c r="A157" s="62" t="str">
        <x:v>DEMO01|2025|DOC2155|10</x:v>
      </x:c>
      <x:c r="B157" s="62" t="str">
        <x:v>SOURCE</x:v>
      </x:c>
      <x:c r="C157" s="62" t="str">
        <x:v>折旧摊销</x:v>
      </x:c>
      <x:c r="D157" s="62" t="str">
        <x:v>折旧摊销</x:v>
      </x:c>
      <x:c r="E157" s="62" t="n">
        <x:v>12</x:v>
      </x:c>
      <x:c r="F157" s="62" t="n">
        <x:v>12</x:v>
      </x:c>
      <x:c r="G157" s="62" t="str">
        <x:v>DOC2155</x:v>
      </x:c>
      <x:c r="H157" s="62" t="n">
        <x:v>10</x:v>
      </x:c>
      <x:c r="I157" s="74" t="n">
        <x:v>46022</x:v>
      </x:c>
      <x:c r="J157" s="74" t="n">
        <x:v>46022</x:v>
      </x:c>
      <x:c r="K157" s="74" t="n">
        <x:v>46022</x:v>
      </x:c>
      <x:c r="L157" s="74" t="n">
        <x:v>46022</x:v>
      </x:c>
      <x:c r="M157" s="77" t="n">
        <x:v>5</x:v>
      </x:c>
      <x:c r="N157" s="77"/>
      <x:c r="O157" s="78"/>
      <x:c r="P157" s="79" t="n">
        <x:f>M157</x:f>
        <x:v>5</x:v>
      </x:c>
      <x:c r="Q157" s="79" t="n">
        <x:f>IF(D157="营业收入",-P157,P157)</x:f>
        <x:v>5</x:v>
      </x:c>
      <x:c r="R157" s="62" t="str">
        <x:v>CNY</x:v>
      </x:c>
      <x:c r="S157" s="62" t="str">
        <x:v>万元</x:v>
      </x:c>
      <x:c r="T157" s="62" t="str">
        <x:v>费用不含税</x:v>
      </x:c>
      <x:c r="U157" s="62" t="str">
        <x:v>安全运行部</x:v>
      </x:c>
      <x:c r="V157" s="62" t="str">
        <x:v>灾害防护折旧摊销分摊</x:v>
      </x:c>
      <x:c r="W157" s="62" t="str">
        <x:v>灾害防护折旧摊销分摊</x:v>
      </x:c>
      <x:c r="X157" s="62" t="str">
        <x:v>17</x:v>
      </x:c>
      <x:c r="Y157" s="62" t="str">
        <x:v>17</x:v>
      </x:c>
      <x:c r="Z157" s="62" t="str">
        <x:v>17</x:v>
      </x:c>
      <x:c r="AA157" s="62" t="str">
        <x:v>灾害防护</x:v>
      </x:c>
      <x:c r="AB157" s="62" t="str">
        <x:v>PRJ-AQ-灾害-2025-003</x:v>
      </x:c>
      <x:c r="AC157" s="74" t="n">
        <x:v>46022</x:v>
      </x:c>
      <x:c r="AD157" s="71" t="str">
        <x:v>源记录保留</x:v>
      </x:c>
      <x:c r="AE157" s="71" t="str">
        <x:v>2025年实际执行.xlsx</x:v>
      </x:c>
      <x:c r="AF157" s="71" t="str">
        <x:v>Sheet</x:v>
      </x:c>
      <x:c r="AG157" s="71" t="n">
        <x:v>157</x:v>
      </x:c>
      <x:c r="AH157" s="71" t="str">
        <x:v>2025年实际执行.xlsx/Sheet!157:157</x:v>
      </x:c>
      <x:c r="AI157" s="62" t="str">
        <x:f>IF(F157=MONTH(L157),"OK","FAIL")</x:f>
        <x:v>OK</x:v>
      </x:c>
      <x:c r="AJ157" s="62" t="str">
        <x:f>IF(J157&lt;=L157,"OK","FAIL")</x:f>
        <x:v>OK</x:v>
      </x:c>
      <x:c r="AK157" s="62" t="str">
        <x:f>IF(D157&lt;&gt;"营业收入","OK",IF(AND(P157&lt;0,Q157&gt;0),"OK","FAIL"))</x:f>
        <x:v>OK</x:v>
      </x:c>
      <x:c r="AL157" s="62" t="str">
        <x:f>IF(COUNTIF($A$2:$A$218,A157)=1,"OK","FAIL")</x:f>
        <x:v>OK</x:v>
      </x:c>
    </x:row>
    <x:row r="158" ht="23" customHeight="1">
      <x:c r="A158" s="62" t="str">
        <x:v>DEMO01|2025|DOC2156|10</x:v>
      </x:c>
      <x:c r="B158" s="62" t="str">
        <x:v>SOURCE</x:v>
      </x:c>
      <x:c r="C158" s="62" t="str">
        <x:v>营业收入</x:v>
      </x:c>
      <x:c r="D158" s="62" t="str">
        <x:v>营业收入</x:v>
      </x:c>
      <x:c r="E158" s="62" t="n">
        <x:v>6</x:v>
      </x:c>
      <x:c r="F158" s="62" t="n">
        <x:v>6</x:v>
      </x:c>
      <x:c r="G158" s="62" t="str">
        <x:v>DOC2156</x:v>
      </x:c>
      <x:c r="H158" s="62" t="n">
        <x:v>10</x:v>
      </x:c>
      <x:c r="I158" s="74" t="n">
        <x:v>45823</x:v>
      </x:c>
      <x:c r="J158" s="74" t="n">
        <x:v>45823</x:v>
      </x:c>
      <x:c r="K158" s="74" t="n">
        <x:v>45823</x:v>
      </x:c>
      <x:c r="L158" s="74" t="n">
        <x:v>45823</x:v>
      </x:c>
      <x:c r="M158" s="77" t="n">
        <x:v>-29.9</x:v>
      </x:c>
      <x:c r="N158" s="77"/>
      <x:c r="O158" s="78"/>
      <x:c r="P158" s="79" t="n">
        <x:f>M158</x:f>
        <x:v>-29.9</x:v>
      </x:c>
      <x:c r="Q158" s="79" t="n">
        <x:f>IF(D158="营业收入",-P158,P158)</x:f>
        <x:v>29.9</x:v>
      </x:c>
      <x:c r="R158" s="62" t="str">
        <x:v>CNY</x:v>
      </x:c>
      <x:c r="S158" s="62" t="str">
        <x:v>万元</x:v>
      </x:c>
      <x:c r="T158" s="62" t="str">
        <x:v>收益；源负号</x:v>
      </x:c>
      <x:c r="U158" s="62" t="str">
        <x:v>安全运行部</x:v>
      </x:c>
      <x:c r="V158" s="62" t="str">
        <x:v>安全评估收入确认</x:v>
      </x:c>
      <x:c r="W158" s="62" t="str">
        <x:v>安全评估收入确认</x:v>
      </x:c>
      <x:c r="X158" s="62" t="str">
        <x:v>17</x:v>
      </x:c>
      <x:c r="Y158" s="62" t="str">
        <x:v>17</x:v>
      </x:c>
      <x:c r="Z158" s="62" t="str">
        <x:v>17</x:v>
      </x:c>
      <x:c r="AA158" s="62" t="str">
        <x:v>安全评估</x:v>
      </x:c>
      <x:c r="AB158" s="62" t="str">
        <x:v>PRJ-AQ-安全-2024-001</x:v>
      </x:c>
      <x:c r="AC158" s="74" t="n">
        <x:v>46022</x:v>
      </x:c>
      <x:c r="AD158" s="71" t="str">
        <x:v>源记录保留</x:v>
      </x:c>
      <x:c r="AE158" s="71" t="str">
        <x:v>2025年实际执行.xlsx</x:v>
      </x:c>
      <x:c r="AF158" s="71" t="str">
        <x:v>Sheet</x:v>
      </x:c>
      <x:c r="AG158" s="71" t="n">
        <x:v>158</x:v>
      </x:c>
      <x:c r="AH158" s="71" t="str">
        <x:v>2025年实际执行.xlsx/Sheet!158:158</x:v>
      </x:c>
      <x:c r="AI158" s="62" t="str">
        <x:f>IF(F158=MONTH(L158),"OK","FAIL")</x:f>
        <x:v>OK</x:v>
      </x:c>
      <x:c r="AJ158" s="62" t="str">
        <x:f>IF(J158&lt;=L158,"OK","FAIL")</x:f>
        <x:v>OK</x:v>
      </x:c>
      <x:c r="AK158" s="62" t="str">
        <x:f>IF(D158&lt;&gt;"营业收入","OK",IF(AND(P158&lt;0,Q158&gt;0),"OK","FAIL"))</x:f>
        <x:v>OK</x:v>
      </x:c>
      <x:c r="AL158" s="62" t="str">
        <x:f>IF(COUNTIF($A$2:$A$218,A158)=1,"OK","FAIL")</x:f>
        <x:v>OK</x:v>
      </x:c>
    </x:row>
    <x:row r="159" ht="23" customHeight="1">
      <x:c r="A159" s="62" t="str">
        <x:v>DEMO01|2025|DOC2157|10</x:v>
      </x:c>
      <x:c r="B159" s="62" t="str">
        <x:v>SOURCE</x:v>
      </x:c>
      <x:c r="C159" s="62" t="str">
        <x:v>会议费</x:v>
      </x:c>
      <x:c r="D159" s="62" t="str">
        <x:v>会议费</x:v>
      </x:c>
      <x:c r="E159" s="62" t="n">
        <x:v>4</x:v>
      </x:c>
      <x:c r="F159" s="62" t="n">
        <x:v>4</x:v>
      </x:c>
      <x:c r="G159" s="62" t="str">
        <x:v>DOC2157</x:v>
      </x:c>
      <x:c r="H159" s="62" t="n">
        <x:v>10</x:v>
      </x:c>
      <x:c r="I159" s="74" t="n">
        <x:v>45762</x:v>
      </x:c>
      <x:c r="J159" s="74" t="n">
        <x:v>45762</x:v>
      </x:c>
      <x:c r="K159" s="74" t="n">
        <x:v>45762</x:v>
      </x:c>
      <x:c r="L159" s="74" t="n">
        <x:v>45762</x:v>
      </x:c>
      <x:c r="M159" s="77" t="n">
        <x:v>2</x:v>
      </x:c>
      <x:c r="N159" s="77"/>
      <x:c r="O159" s="78"/>
      <x:c r="P159" s="79" t="n">
        <x:f>M159</x:f>
        <x:v>2</x:v>
      </x:c>
      <x:c r="Q159" s="79" t="n">
        <x:f>IF(D159="营业收入",-P159,P159)</x:f>
        <x:v>2</x:v>
      </x:c>
      <x:c r="R159" s="62" t="str">
        <x:v>CNY</x:v>
      </x:c>
      <x:c r="S159" s="62" t="str">
        <x:v>万元</x:v>
      </x:c>
      <x:c r="T159" s="62" t="str">
        <x:v>费用不含税</x:v>
      </x:c>
      <x:c r="U159" s="62" t="str">
        <x:v>安全运行部</x:v>
      </x:c>
      <x:c r="V159" s="62" t="str">
        <x:v>安全评估项目阶段评审会</x:v>
      </x:c>
      <x:c r="W159" s="62" t="str">
        <x:v>安全评估项目阶段评审会</x:v>
      </x:c>
      <x:c r="X159" s="62" t="str">
        <x:v>国电智深</x:v>
      </x:c>
      <x:c r="Y159" s="62" t="str">
        <x:v>国电智深</x:v>
      </x:c>
      <x:c r="Z159" s="62" t="str">
        <x:v>17</x:v>
      </x:c>
      <x:c r="AA159" s="62" t="str">
        <x:v>安全评估</x:v>
      </x:c>
      <x:c r="AB159" s="62" t="str">
        <x:v>PRJ-AQ-安全-2024-001</x:v>
      </x:c>
      <x:c r="AC159" s="74" t="n">
        <x:v>46022</x:v>
      </x:c>
      <x:c r="AD159" s="71" t="str">
        <x:v>源记录保留</x:v>
      </x:c>
      <x:c r="AE159" s="71" t="str">
        <x:v>2025年实际执行.xlsx</x:v>
      </x:c>
      <x:c r="AF159" s="71" t="str">
        <x:v>Sheet</x:v>
      </x:c>
      <x:c r="AG159" s="71" t="n">
        <x:v>159</x:v>
      </x:c>
      <x:c r="AH159" s="71" t="str">
        <x:v>2025年实际执行.xlsx/Sheet!159:159</x:v>
      </x:c>
      <x:c r="AI159" s="62" t="str">
        <x:f>IF(F159=MONTH(L159),"OK","FAIL")</x:f>
        <x:v>OK</x:v>
      </x:c>
      <x:c r="AJ159" s="62" t="str">
        <x:f>IF(J159&lt;=L159,"OK","FAIL")</x:f>
        <x:v>OK</x:v>
      </x:c>
      <x:c r="AK159" s="62" t="str">
        <x:f>IF(D159&lt;&gt;"营业收入","OK",IF(AND(P159&lt;0,Q159&gt;0),"OK","FAIL"))</x:f>
        <x:v>OK</x:v>
      </x:c>
      <x:c r="AL159" s="62" t="str">
        <x:f>IF(COUNTIF($A$2:$A$218,A159)=1,"OK","FAIL")</x:f>
        <x:v>OK</x:v>
      </x:c>
    </x:row>
    <x:row r="160" ht="23" customHeight="1">
      <x:c r="A160" s="62" t="str">
        <x:v>DEMO01|2025|DOC2158|10</x:v>
      </x:c>
      <x:c r="B160" s="62" t="str">
        <x:v>SOURCE</x:v>
      </x:c>
      <x:c r="C160" s="62" t="str">
        <x:v>业务支持费</x:v>
      </x:c>
      <x:c r="D160" s="62" t="str">
        <x:v>业务支持费-技术配置</x:v>
      </x:c>
      <x:c r="E160" s="62" t="n">
        <x:v>2</x:v>
      </x:c>
      <x:c r="F160" s="62" t="n">
        <x:v>2</x:v>
      </x:c>
      <x:c r="G160" s="62" t="str">
        <x:v>DOC2158</x:v>
      </x:c>
      <x:c r="H160" s="62" t="n">
        <x:v>10</x:v>
      </x:c>
      <x:c r="I160" s="74" t="n">
        <x:v>45703</x:v>
      </x:c>
      <x:c r="J160" s="74" t="n">
        <x:v>45703</x:v>
      </x:c>
      <x:c r="K160" s="74" t="n">
        <x:v>45703</x:v>
      </x:c>
      <x:c r="L160" s="74" t="n">
        <x:v>45703</x:v>
      </x:c>
      <x:c r="M160" s="77" t="n">
        <x:v>14</x:v>
      </x:c>
      <x:c r="N160" s="77"/>
      <x:c r="O160" s="78"/>
      <x:c r="P160" s="79" t="n">
        <x:f>M160</x:f>
        <x:v>14</x:v>
      </x:c>
      <x:c r="Q160" s="79" t="n">
        <x:f>IF(D160="营业收入",-P160,P160)</x:f>
        <x:v>14</x:v>
      </x:c>
      <x:c r="R160" s="62" t="str">
        <x:v>CNY</x:v>
      </x:c>
      <x:c r="S160" s="62" t="str">
        <x:v>万元</x:v>
      </x:c>
      <x:c r="T160" s="62" t="str">
        <x:v>费用不含税</x:v>
      </x:c>
      <x:c r="U160" s="62" t="str">
        <x:v>安全运行部</x:v>
      </x:c>
      <x:c r="V160" s="62" t="str">
        <x:v>安全评估技术配置_实施阶段</x:v>
      </x:c>
      <x:c r="W160" s="62" t="str">
        <x:v>安全评估技术配置_实施阶段</x:v>
      </x:c>
      <x:c r="X160" s="62" t="str">
        <x:v>供应商2</x:v>
      </x:c>
      <x:c r="Y160" s="62" t="str">
        <x:v>供应商2</x:v>
      </x:c>
      <x:c r="Z160" s="62" t="str">
        <x:v>17</x:v>
      </x:c>
      <x:c r="AA160" s="62" t="str">
        <x:v>安全评估</x:v>
      </x:c>
      <x:c r="AB160" s="62" t="str">
        <x:v>PRJ-AQ-安全-2024-001</x:v>
      </x:c>
      <x:c r="AC160" s="74" t="n">
        <x:v>46022</x:v>
      </x:c>
      <x:c r="AD160" s="71" t="str">
        <x:v>源记录保留</x:v>
      </x:c>
      <x:c r="AE160" s="71" t="str">
        <x:v>2025年实际执行.xlsx</x:v>
      </x:c>
      <x:c r="AF160" s="71" t="str">
        <x:v>Sheet</x:v>
      </x:c>
      <x:c r="AG160" s="71" t="n">
        <x:v>160</x:v>
      </x:c>
      <x:c r="AH160" s="71" t="str">
        <x:v>2025年实际执行.xlsx/Sheet!160:160</x:v>
      </x:c>
      <x:c r="AI160" s="62" t="str">
        <x:f>IF(F160=MONTH(L160),"OK","FAIL")</x:f>
        <x:v>OK</x:v>
      </x:c>
      <x:c r="AJ160" s="62" t="str">
        <x:f>IF(J160&lt;=L160,"OK","FAIL")</x:f>
        <x:v>OK</x:v>
      </x:c>
      <x:c r="AK160" s="62" t="str">
        <x:f>IF(D160&lt;&gt;"营业收入","OK",IF(AND(P160&lt;0,Q160&gt;0),"OK","FAIL"))</x:f>
        <x:v>OK</x:v>
      </x:c>
      <x:c r="AL160" s="62" t="str">
        <x:f>IF(COUNTIF($A$2:$A$218,A160)=1,"OK","FAIL")</x:f>
        <x:v>OK</x:v>
      </x:c>
    </x:row>
    <x:row r="161" ht="23" customHeight="1">
      <x:c r="A161" s="62" t="str">
        <x:v>DEMO01|2025|DOC2159|10</x:v>
      </x:c>
      <x:c r="B161" s="62" t="str">
        <x:v>SOURCE</x:v>
      </x:c>
      <x:c r="C161" s="62" t="str">
        <x:v>生产物料费</x:v>
      </x:c>
      <x:c r="D161" s="62" t="str">
        <x:v>生产物料费</x:v>
      </x:c>
      <x:c r="E161" s="62" t="n">
        <x:v>2</x:v>
      </x:c>
      <x:c r="F161" s="62" t="n">
        <x:v>2</x:v>
      </x:c>
      <x:c r="G161" s="62" t="str">
        <x:v>DOC2159</x:v>
      </x:c>
      <x:c r="H161" s="62" t="n">
        <x:v>10</x:v>
      </x:c>
      <x:c r="I161" s="74" t="n">
        <x:v>45703</x:v>
      </x:c>
      <x:c r="J161" s="74" t="n">
        <x:v>45703</x:v>
      </x:c>
      <x:c r="K161" s="74" t="n">
        <x:v>45703</x:v>
      </x:c>
      <x:c r="L161" s="74" t="n">
        <x:v>45703</x:v>
      </x:c>
      <x:c r="M161" s="77" t="n">
        <x:v>2.616</x:v>
      </x:c>
      <x:c r="N161" s="77"/>
      <x:c r="O161" s="78"/>
      <x:c r="P161" s="79" t="n">
        <x:f>M161</x:f>
        <x:v>2.616</x:v>
      </x:c>
      <x:c r="Q161" s="79" t="n">
        <x:f>IF(D161="营业收入",-P161,P161)</x:f>
        <x:v>2.616</x:v>
      </x:c>
      <x:c r="R161" s="62" t="str">
        <x:v>CNY</x:v>
      </x:c>
      <x:c r="S161" s="62" t="str">
        <x:v>万元</x:v>
      </x:c>
      <x:c r="T161" s="62" t="str">
        <x:v>费用不含税</x:v>
      </x:c>
      <x:c r="U161" s="62" t="str">
        <x:v>安全运行部</x:v>
      </x:c>
      <x:c r="V161" s="62" t="str">
        <x:v>安全评估现场物料采购</x:v>
      </x:c>
      <x:c r="W161" s="62" t="str">
        <x:v>安全评估现场物料采购</x:v>
      </x:c>
      <x:c r="X161" s="62" t="str">
        <x:v>国电智深</x:v>
      </x:c>
      <x:c r="Y161" s="62" t="str">
        <x:v>国电智深</x:v>
      </x:c>
      <x:c r="Z161" s="62" t="str">
        <x:v>17</x:v>
      </x:c>
      <x:c r="AA161" s="62" t="str">
        <x:v>安全评估</x:v>
      </x:c>
      <x:c r="AB161" s="62" t="str">
        <x:v>PRJ-AQ-安全-2024-001</x:v>
      </x:c>
      <x:c r="AC161" s="74" t="n">
        <x:v>46022</x:v>
      </x:c>
      <x:c r="AD161" s="71" t="str">
        <x:v>源记录保留</x:v>
      </x:c>
      <x:c r="AE161" s="71" t="str">
        <x:v>2025年实际执行.xlsx</x:v>
      </x:c>
      <x:c r="AF161" s="71" t="str">
        <x:v>Sheet</x:v>
      </x:c>
      <x:c r="AG161" s="71" t="n">
        <x:v>161</x:v>
      </x:c>
      <x:c r="AH161" s="71" t="str">
        <x:v>2025年实际执行.xlsx/Sheet!161:161</x:v>
      </x:c>
      <x:c r="AI161" s="62" t="str">
        <x:f>IF(F161=MONTH(L161),"OK","FAIL")</x:f>
        <x:v>OK</x:v>
      </x:c>
      <x:c r="AJ161" s="62" t="str">
        <x:f>IF(J161&lt;=L161,"OK","FAIL")</x:f>
        <x:v>OK</x:v>
      </x:c>
      <x:c r="AK161" s="62" t="str">
        <x:f>IF(D161&lt;&gt;"营业收入","OK",IF(AND(P161&lt;0,Q161&gt;0),"OK","FAIL"))</x:f>
        <x:v>OK</x:v>
      </x:c>
      <x:c r="AL161" s="62" t="str">
        <x:f>IF(COUNTIF($A$2:$A$218,A161)=1,"OK","FAIL")</x:f>
        <x:v>OK</x:v>
      </x:c>
    </x:row>
    <x:row r="162" ht="23" customHeight="1">
      <x:c r="A162" s="62" t="str">
        <x:v>DEMO01|2025|DOC2160|10</x:v>
      </x:c>
      <x:c r="B162" s="62" t="str">
        <x:v>SOURCE</x:v>
      </x:c>
      <x:c r="C162" s="62" t="str">
        <x:v>办公费</x:v>
      </x:c>
      <x:c r="D162" s="62" t="str">
        <x:v>办公费</x:v>
      </x:c>
      <x:c r="E162" s="62" t="n">
        <x:v>11</x:v>
      </x:c>
      <x:c r="F162" s="62" t="n">
        <x:v>11</x:v>
      </x:c>
      <x:c r="G162" s="62" t="str">
        <x:v>DOC2160</x:v>
      </x:c>
      <x:c r="H162" s="62" t="n">
        <x:v>10</x:v>
      </x:c>
      <x:c r="I162" s="74" t="n">
        <x:v>45976</x:v>
      </x:c>
      <x:c r="J162" s="74" t="n">
        <x:v>45976</x:v>
      </x:c>
      <x:c r="K162" s="74" t="n">
        <x:v>45976</x:v>
      </x:c>
      <x:c r="L162" s="74" t="n">
        <x:v>45976</x:v>
      </x:c>
      <x:c r="M162" s="77" t="n">
        <x:v>0.5232</x:v>
      </x:c>
      <x:c r="N162" s="77"/>
      <x:c r="O162" s="78"/>
      <x:c r="P162" s="79" t="n">
        <x:f>M162</x:f>
        <x:v>0.5232</x:v>
      </x:c>
      <x:c r="Q162" s="79" t="n">
        <x:f>IF(D162="营业收入",-P162,P162)</x:f>
        <x:v>0.5232</x:v>
      </x:c>
      <x:c r="R162" s="62" t="str">
        <x:v>CNY</x:v>
      </x:c>
      <x:c r="S162" s="62" t="str">
        <x:v>万元</x:v>
      </x:c>
      <x:c r="T162" s="62" t="str">
        <x:v>费用不含税</x:v>
      </x:c>
      <x:c r="U162" s="62" t="str">
        <x:v>安全运行部</x:v>
      </x:c>
      <x:c r="V162" s="62" t="str">
        <x:v>安全评估日常办公</x:v>
      </x:c>
      <x:c r="W162" s="62" t="str">
        <x:v>安全评估日常办公</x:v>
      </x:c>
      <x:c r="X162" s="62" t="str">
        <x:v>国电智深</x:v>
      </x:c>
      <x:c r="Y162" s="62" t="str">
        <x:v>国电智深</x:v>
      </x:c>
      <x:c r="Z162" s="62" t="str">
        <x:v>17</x:v>
      </x:c>
      <x:c r="AA162" s="62" t="str">
        <x:v>安全评估</x:v>
      </x:c>
      <x:c r="AB162" s="62" t="str">
        <x:v>PRJ-AQ-安全-2024-001</x:v>
      </x:c>
      <x:c r="AC162" s="74" t="n">
        <x:v>46022</x:v>
      </x:c>
      <x:c r="AD162" s="71" t="str">
        <x:v>源记录保留</x:v>
      </x:c>
      <x:c r="AE162" s="71" t="str">
        <x:v>2025年实际执行.xlsx</x:v>
      </x:c>
      <x:c r="AF162" s="71" t="str">
        <x:v>Sheet</x:v>
      </x:c>
      <x:c r="AG162" s="71" t="n">
        <x:v>162</x:v>
      </x:c>
      <x:c r="AH162" s="71" t="str">
        <x:v>2025年实际执行.xlsx/Sheet!162:162</x:v>
      </x:c>
      <x:c r="AI162" s="62" t="str">
        <x:f>IF(F162=MONTH(L162),"OK","FAIL")</x:f>
        <x:v>OK</x:v>
      </x:c>
      <x:c r="AJ162" s="62" t="str">
        <x:f>IF(J162&lt;=L162,"OK","FAIL")</x:f>
        <x:v>OK</x:v>
      </x:c>
      <x:c r="AK162" s="62" t="str">
        <x:f>IF(D162&lt;&gt;"营业收入","OK",IF(AND(P162&lt;0,Q162&gt;0),"OK","FAIL"))</x:f>
        <x:v>OK</x:v>
      </x:c>
      <x:c r="AL162" s="62" t="str">
        <x:f>IF(COUNTIF($A$2:$A$218,A162)=1,"OK","FAIL")</x:f>
        <x:v>OK</x:v>
      </x:c>
    </x:row>
    <x:row r="163" ht="23" customHeight="1">
      <x:c r="A163" s="62" t="str">
        <x:v>DEMO01|2025|DOC2161|10</x:v>
      </x:c>
      <x:c r="B163" s="62" t="str">
        <x:v>CORRECTED</x:v>
      </x:c>
      <x:c r="C163" s="62" t="str">
        <x:v>交通运输费</x:v>
      </x:c>
      <x:c r="D163" s="62" t="str">
        <x:v>交通运输费</x:v>
      </x:c>
      <x:c r="E163" s="62" t="n">
        <x:v>7</x:v>
      </x:c>
      <x:c r="F163" s="62" t="n">
        <x:v>7</x:v>
      </x:c>
      <x:c r="G163" s="62" t="str">
        <x:v>DOC2161</x:v>
      </x:c>
      <x:c r="H163" s="62" t="n">
        <x:v>10</x:v>
      </x:c>
      <x:c r="I163" s="74" t="n">
        <x:v>45853</x:v>
      </x:c>
      <x:c r="J163" s="74" t="n">
        <x:v>45853</x:v>
      </x:c>
      <x:c r="K163" s="74" t="n">
        <x:v>45853</x:v>
      </x:c>
      <x:c r="L163" s="74" t="n">
        <x:v>45853</x:v>
      </x:c>
      <x:c r="M163" s="77" t="n">
        <x:v>0.872</x:v>
      </x:c>
      <x:c r="N163" s="77"/>
      <x:c r="O163" s="78"/>
      <x:c r="P163" s="79" t="n">
        <x:f>M163</x:f>
        <x:v>0.872</x:v>
      </x:c>
      <x:c r="Q163" s="79" t="n">
        <x:f>IF(D163="营业收入",-P163,P163)</x:f>
        <x:v>0.872</x:v>
      </x:c>
      <x:c r="R163" s="62" t="str">
        <x:v>CNY</x:v>
      </x:c>
      <x:c r="S163" s="62" t="str">
        <x:v>万元</x:v>
      </x:c>
      <x:c r="T163" s="62" t="str">
        <x:v>费用不含税</x:v>
      </x:c>
      <x:c r="U163" s="62" t="str">
        <x:v>安全运行部</x:v>
      </x:c>
      <x:c r="V163" s="62" t="str">
        <x:v>安全评估材料运输</x:v>
      </x:c>
      <x:c r="W163" s="62" t="str">
        <x:v>安全评估材料运输</x:v>
      </x:c>
      <x:c r="X163" s="62" t="str">
        <x:v>国电智深</x:v>
      </x:c>
      <x:c r="Y163" s="62" t="str">
        <x:v>国电智深</x:v>
      </x:c>
      <x:c r="Z163" s="62" t="str">
        <x:v>17</x:v>
      </x:c>
      <x:c r="AA163" s="62" t="str">
        <x:v>安全评估</x:v>
      </x:c>
      <x:c r="AB163" s="62" t="str">
        <x:v>PRJ-AQ-安全-2024-001</x:v>
      </x:c>
      <x:c r="AC163" s="74" t="n">
        <x:v>46022</x:v>
      </x:c>
      <x:c r="AD163" s="71" t="str">
        <x:v>补凭证行号</x:v>
      </x:c>
      <x:c r="AE163" s="71" t="str">
        <x:v>2025年实际执行.xlsx</x:v>
      </x:c>
      <x:c r="AF163" s="71" t="str">
        <x:v>Sheet</x:v>
      </x:c>
      <x:c r="AG163" s="71" t="n">
        <x:v>163</x:v>
      </x:c>
      <x:c r="AH163" s="71" t="str">
        <x:v>2025年实际执行.xlsx/Sheet!163:163</x:v>
      </x:c>
      <x:c r="AI163" s="62" t="str">
        <x:f>IF(F163=MONTH(L163),"OK","FAIL")</x:f>
        <x:v>OK</x:v>
      </x:c>
      <x:c r="AJ163" s="62" t="str">
        <x:f>IF(J163&lt;=L163,"OK","FAIL")</x:f>
        <x:v>OK</x:v>
      </x:c>
      <x:c r="AK163" s="62" t="str">
        <x:f>IF(D163&lt;&gt;"营业收入","OK",IF(AND(P163&lt;0,Q163&gt;0),"OK","FAIL"))</x:f>
        <x:v>OK</x:v>
      </x:c>
      <x:c r="AL163" s="62" t="str">
        <x:f>IF(COUNTIF($A$2:$A$218,A163)=1,"OK","FAIL")</x:f>
        <x:v>OK</x:v>
      </x:c>
    </x:row>
    <x:row r="164" ht="23" customHeight="1">
      <x:c r="A164" s="62" t="str">
        <x:v>DEMO01|2025|DOC2162|10</x:v>
      </x:c>
      <x:c r="B164" s="62" t="str">
        <x:v>SOURCE</x:v>
      </x:c>
      <x:c r="C164" s="62" t="str">
        <x:v>人工成本</x:v>
      </x:c>
      <x:c r="D164" s="62" t="str">
        <x:v>人工成本</x:v>
      </x:c>
      <x:c r="E164" s="62" t="n">
        <x:v>6</x:v>
      </x:c>
      <x:c r="F164" s="62" t="n">
        <x:v>6</x:v>
      </x:c>
      <x:c r="G164" s="62" t="str">
        <x:v>DOC2162</x:v>
      </x:c>
      <x:c r="H164" s="62" t="n">
        <x:v>10</x:v>
      </x:c>
      <x:c r="I164" s="74" t="n">
        <x:v>45838</x:v>
      </x:c>
      <x:c r="J164" s="74" t="n">
        <x:v>45838</x:v>
      </x:c>
      <x:c r="K164" s="74" t="n">
        <x:v>45838</x:v>
      </x:c>
      <x:c r="L164" s="74" t="n">
        <x:v>45838</x:v>
      </x:c>
      <x:c r="M164" s="77" t="n">
        <x:v>9</x:v>
      </x:c>
      <x:c r="N164" s="77"/>
      <x:c r="O164" s="78"/>
      <x:c r="P164" s="79" t="n">
        <x:f>M164</x:f>
        <x:v>9</x:v>
      </x:c>
      <x:c r="Q164" s="79" t="n">
        <x:f>IF(D164="营业收入",-P164,P164)</x:f>
        <x:v>9</x:v>
      </x:c>
      <x:c r="R164" s="62" t="str">
        <x:v>CNY</x:v>
      </x:c>
      <x:c r="S164" s="62" t="str">
        <x:v>万元</x:v>
      </x:c>
      <x:c r="T164" s="62" t="str">
        <x:v>费用不含税</x:v>
      </x:c>
      <x:c r="U164" s="62" t="str">
        <x:v>安全运行部</x:v>
      </x:c>
      <x:c r="V164" s="62" t="str">
        <x:v>安全评估人工成本分摊</x:v>
      </x:c>
      <x:c r="W164" s="62" t="str">
        <x:v>安全评估人工成本分摊</x:v>
      </x:c>
      <x:c r="X164" s="62" t="str">
        <x:v>17</x:v>
      </x:c>
      <x:c r="Y164" s="62" t="str">
        <x:v>17</x:v>
      </x:c>
      <x:c r="Z164" s="62" t="str">
        <x:v>17</x:v>
      </x:c>
      <x:c r="AA164" s="62" t="str">
        <x:v>安全评估</x:v>
      </x:c>
      <x:c r="AB164" s="62" t="str">
        <x:v>PRJ-AQ-安全-2024-001</x:v>
      </x:c>
      <x:c r="AC164" s="74" t="n">
        <x:v>46022</x:v>
      </x:c>
      <x:c r="AD164" s="71" t="str">
        <x:v>源记录保留</x:v>
      </x:c>
      <x:c r="AE164" s="71" t="str">
        <x:v>2025年实际执行.xlsx</x:v>
      </x:c>
      <x:c r="AF164" s="71" t="str">
        <x:v>Sheet</x:v>
      </x:c>
      <x:c r="AG164" s="71" t="n">
        <x:v>164</x:v>
      </x:c>
      <x:c r="AH164" s="71" t="str">
        <x:v>2025年实际执行.xlsx/Sheet!164:164</x:v>
      </x:c>
      <x:c r="AI164" s="62" t="str">
        <x:f>IF(F164=MONTH(L164),"OK","FAIL")</x:f>
        <x:v>OK</x:v>
      </x:c>
      <x:c r="AJ164" s="62" t="str">
        <x:f>IF(J164&lt;=L164,"OK","FAIL")</x:f>
        <x:v>OK</x:v>
      </x:c>
      <x:c r="AK164" s="62" t="str">
        <x:f>IF(D164&lt;&gt;"营业收入","OK",IF(AND(P164&lt;0,Q164&gt;0),"OK","FAIL"))</x:f>
        <x:v>OK</x:v>
      </x:c>
      <x:c r="AL164" s="62" t="str">
        <x:f>IF(COUNTIF($A$2:$A$218,A164)=1,"OK","FAIL")</x:f>
        <x:v>OK</x:v>
      </x:c>
    </x:row>
    <x:row r="165" ht="23" customHeight="1">
      <x:c r="A165" s="62" t="str">
        <x:v>DEMO01|2025|DOC2163|10</x:v>
      </x:c>
      <x:c r="B165" s="62" t="str">
        <x:v>SOURCE</x:v>
      </x:c>
      <x:c r="C165" s="62" t="str">
        <x:v>折旧摊销</x:v>
      </x:c>
      <x:c r="D165" s="62" t="str">
        <x:v>折旧摊销</x:v>
      </x:c>
      <x:c r="E165" s="62" t="n">
        <x:v>12</x:v>
      </x:c>
      <x:c r="F165" s="62" t="n">
        <x:v>12</x:v>
      </x:c>
      <x:c r="G165" s="62" t="str">
        <x:v>DOC2163</x:v>
      </x:c>
      <x:c r="H165" s="62" t="n">
        <x:v>10</x:v>
      </x:c>
      <x:c r="I165" s="74" t="n">
        <x:v>46022</x:v>
      </x:c>
      <x:c r="J165" s="74" t="n">
        <x:v>46022</x:v>
      </x:c>
      <x:c r="K165" s="74" t="n">
        <x:v>46022</x:v>
      </x:c>
      <x:c r="L165" s="74" t="n">
        <x:v>46022</x:v>
      </x:c>
      <x:c r="M165" s="77" t="n">
        <x:v>1</x:v>
      </x:c>
      <x:c r="N165" s="77"/>
      <x:c r="O165" s="78"/>
      <x:c r="P165" s="79" t="n">
        <x:f>M165</x:f>
        <x:v>1</x:v>
      </x:c>
      <x:c r="Q165" s="79" t="n">
        <x:f>IF(D165="营业收入",-P165,P165)</x:f>
        <x:v>1</x:v>
      </x:c>
      <x:c r="R165" s="62" t="str">
        <x:v>CNY</x:v>
      </x:c>
      <x:c r="S165" s="62" t="str">
        <x:v>万元</x:v>
      </x:c>
      <x:c r="T165" s="62" t="str">
        <x:v>费用不含税</x:v>
      </x:c>
      <x:c r="U165" s="62" t="str">
        <x:v>安全运行部</x:v>
      </x:c>
      <x:c r="V165" s="62" t="str">
        <x:v>安全评估折旧摊销分摊</x:v>
      </x:c>
      <x:c r="W165" s="62" t="str">
        <x:v>安全评估折旧摊销分摊</x:v>
      </x:c>
      <x:c r="X165" s="62" t="str">
        <x:v>17</x:v>
      </x:c>
      <x:c r="Y165" s="62" t="str">
        <x:v>17</x:v>
      </x:c>
      <x:c r="Z165" s="62" t="str">
        <x:v>17</x:v>
      </x:c>
      <x:c r="AA165" s="62" t="str">
        <x:v>安全评估</x:v>
      </x:c>
      <x:c r="AB165" s="62" t="str">
        <x:v>PRJ-AQ-安全-2024-001</x:v>
      </x:c>
      <x:c r="AC165" s="74" t="n">
        <x:v>46022</x:v>
      </x:c>
      <x:c r="AD165" s="71" t="str">
        <x:v>源记录保留</x:v>
      </x:c>
      <x:c r="AE165" s="71" t="str">
        <x:v>2025年实际执行.xlsx</x:v>
      </x:c>
      <x:c r="AF165" s="71" t="str">
        <x:v>Sheet</x:v>
      </x:c>
      <x:c r="AG165" s="71" t="n">
        <x:v>165</x:v>
      </x:c>
      <x:c r="AH165" s="71" t="str">
        <x:v>2025年实际执行.xlsx/Sheet!165:165</x:v>
      </x:c>
      <x:c r="AI165" s="62" t="str">
        <x:f>IF(F165=MONTH(L165),"OK","FAIL")</x:f>
        <x:v>OK</x:v>
      </x:c>
      <x:c r="AJ165" s="62" t="str">
        <x:f>IF(J165&lt;=L165,"OK","FAIL")</x:f>
        <x:v>OK</x:v>
      </x:c>
      <x:c r="AK165" s="62" t="str">
        <x:f>IF(D165&lt;&gt;"营业收入","OK",IF(AND(P165&lt;0,Q165&gt;0),"OK","FAIL"))</x:f>
        <x:v>OK</x:v>
      </x:c>
      <x:c r="AL165" s="62" t="str">
        <x:f>IF(COUNTIF($A$2:$A$218,A165)=1,"OK","FAIL")</x:f>
        <x:v>OK</x:v>
      </x:c>
    </x:row>
    <x:row r="166" ht="23" customHeight="1">
      <x:c r="A166" s="62" t="str">
        <x:v>DEMO01|2025|DOC2164|10</x:v>
      </x:c>
      <x:c r="B166" s="62" t="str">
        <x:v>CORRECTED</x:v>
      </x:c>
      <x:c r="C166" s="62" t="str">
        <x:v>业务支持费</x:v>
      </x:c>
      <x:c r="D166" s="62" t="str">
        <x:v>业务支持费-其他</x:v>
      </x:c>
      <x:c r="E166" s="62" t="n">
        <x:v>5</x:v>
      </x:c>
      <x:c r="F166" s="62" t="n">
        <x:v>6</x:v>
      </x:c>
      <x:c r="G166" s="62" t="str">
        <x:v>DOC2164</x:v>
      </x:c>
      <x:c r="H166" s="62" t="n">
        <x:v>10</x:v>
      </x:c>
      <x:c r="I166" s="74" t="n">
        <x:v>45828</x:v>
      </x:c>
      <x:c r="J166" s="74" t="n">
        <x:v>45828</x:v>
      </x:c>
      <x:c r="K166" s="74" t="n">
        <x:v>45828</x:v>
      </x:c>
      <x:c r="L166" s="74" t="n">
        <x:v>45828</x:v>
      </x:c>
      <x:c r="M166" s="77" t="n">
        <x:v>5</x:v>
      </x:c>
      <x:c r="N166" s="77"/>
      <x:c r="O166" s="78"/>
      <x:c r="P166" s="79" t="n">
        <x:f>M166</x:f>
        <x:v>5</x:v>
      </x:c>
      <x:c r="Q166" s="79" t="n">
        <x:f>IF(D166="营业收入",-P166,P166)</x:f>
        <x:v>5</x:v>
      </x:c>
      <x:c r="R166" s="62" t="str">
        <x:v>CNY</x:v>
      </x:c>
      <x:c r="S166" s="62" t="str">
        <x:v>万元</x:v>
      </x:c>
      <x:c r="T166" s="62" t="str">
        <x:v>费用不含税</x:v>
      </x:c>
      <x:c r="U166" s="62" t="str">
        <x:v>安全运行部</x:v>
      </x:c>
      <x:c r="V166" s="62" t="str">
        <x:v>确认安全评估_实际成本</x:v>
      </x:c>
      <x:c r="W166" s="62" t="str">
        <x:v>确认安全评估_实际成本</x:v>
      </x:c>
      <x:c r="X166" s="62" t="str">
        <x:v>国电智深</x:v>
      </x:c>
      <x:c r="Y166" s="62" t="str">
        <x:v>国电智深</x:v>
      </x:c>
      <x:c r="Z166" s="62" t="str">
        <x:v>17</x:v>
      </x:c>
      <x:c r="AA166" s="62" t="str">
        <x:v>安全评估</x:v>
      </x:c>
      <x:c r="AB166" s="62" t="str">
        <x:v>PRJ-AQ-安全-2024-001</x:v>
      </x:c>
      <x:c r="AC166" s="74" t="n">
        <x:v>46022</x:v>
      </x:c>
      <x:c r="AD166" s="71" t="str">
        <x:v>期间改为过账月</x:v>
      </x:c>
      <x:c r="AE166" s="71" t="str">
        <x:v>2025年实际执行.xlsx</x:v>
      </x:c>
      <x:c r="AF166" s="71" t="str">
        <x:v>Sheet</x:v>
      </x:c>
      <x:c r="AG166" s="71" t="n">
        <x:v>166</x:v>
      </x:c>
      <x:c r="AH166" s="71" t="str">
        <x:v>2025年实际执行.xlsx/Sheet!166:166</x:v>
      </x:c>
      <x:c r="AI166" s="62" t="str">
        <x:f>IF(F166=MONTH(L166),"OK","FAIL")</x:f>
        <x:v>OK</x:v>
      </x:c>
      <x:c r="AJ166" s="62" t="str">
        <x:f>IF(J166&lt;=L166,"OK","FAIL")</x:f>
        <x:v>OK</x:v>
      </x:c>
      <x:c r="AK166" s="62" t="str">
        <x:f>IF(D166&lt;&gt;"营业收入","OK",IF(AND(P166&lt;0,Q166&gt;0),"OK","FAIL"))</x:f>
        <x:v>OK</x:v>
      </x:c>
      <x:c r="AL166" s="62" t="str">
        <x:f>IF(COUNTIF($A$2:$A$218,A166)=1,"OK","FAIL")</x:f>
        <x:v>OK</x:v>
      </x:c>
    </x:row>
    <x:row r="167" ht="23" customHeight="1">
      <x:c r="A167" s="62" t="str">
        <x:v>DEMO01|2025|DOC2165|10</x:v>
      </x:c>
      <x:c r="B167" s="62" t="str">
        <x:v>SOURCE</x:v>
      </x:c>
      <x:c r="C167" s="62" t="str">
        <x:v>营业收入</x:v>
      </x:c>
      <x:c r="D167" s="62" t="str">
        <x:v>营业收入</x:v>
      </x:c>
      <x:c r="E167" s="62" t="n">
        <x:v>6</x:v>
      </x:c>
      <x:c r="F167" s="62" t="n">
        <x:v>6</x:v>
      </x:c>
      <x:c r="G167" s="62" t="str">
        <x:v>DOC2165</x:v>
      </x:c>
      <x:c r="H167" s="62" t="n">
        <x:v>10</x:v>
      </x:c>
      <x:c r="I167" s="74" t="n">
        <x:v>45823</x:v>
      </x:c>
      <x:c r="J167" s="74" t="n">
        <x:v>45823</x:v>
      </x:c>
      <x:c r="K167" s="74" t="n">
        <x:v>45823</x:v>
      </x:c>
      <x:c r="L167" s="74" t="n">
        <x:v>45823</x:v>
      </x:c>
      <x:c r="M167" s="77" t="n">
        <x:v>-29.9</x:v>
      </x:c>
      <x:c r="N167" s="77"/>
      <x:c r="O167" s="78"/>
      <x:c r="P167" s="79" t="n">
        <x:f>M167</x:f>
        <x:v>-29.9</x:v>
      </x:c>
      <x:c r="Q167" s="79" t="n">
        <x:f>IF(D167="营业收入",-P167,P167)</x:f>
        <x:v>29.9</x:v>
      </x:c>
      <x:c r="R167" s="62" t="str">
        <x:v>CNY</x:v>
      </x:c>
      <x:c r="S167" s="62" t="str">
        <x:v>万元</x:v>
      </x:c>
      <x:c r="T167" s="62" t="str">
        <x:v>收益；源负号</x:v>
      </x:c>
      <x:c r="U167" s="62" t="str">
        <x:v>安全运行部</x:v>
      </x:c>
      <x:c r="V167" s="62" t="str">
        <x:v>安全评估收入确认</x:v>
      </x:c>
      <x:c r="W167" s="62" t="str">
        <x:v>安全评估收入确认</x:v>
      </x:c>
      <x:c r="X167" s="62" t="str">
        <x:v>17</x:v>
      </x:c>
      <x:c r="Y167" s="62" t="str">
        <x:v>17</x:v>
      </x:c>
      <x:c r="Z167" s="62" t="str">
        <x:v>17</x:v>
      </x:c>
      <x:c r="AA167" s="62" t="str">
        <x:v>安全评估</x:v>
      </x:c>
      <x:c r="AB167" s="62" t="str">
        <x:v>PRJ-AQ-安全-2025-002</x:v>
      </x:c>
      <x:c r="AC167" s="74" t="n">
        <x:v>46022</x:v>
      </x:c>
      <x:c r="AD167" s="71" t="str">
        <x:v>源记录保留</x:v>
      </x:c>
      <x:c r="AE167" s="71" t="str">
        <x:v>2025年实际执行.xlsx</x:v>
      </x:c>
      <x:c r="AF167" s="71" t="str">
        <x:v>Sheet</x:v>
      </x:c>
      <x:c r="AG167" s="71" t="n">
        <x:v>167</x:v>
      </x:c>
      <x:c r="AH167" s="71" t="str">
        <x:v>2025年实际执行.xlsx/Sheet!167:167</x:v>
      </x:c>
      <x:c r="AI167" s="62" t="str">
        <x:f>IF(F167=MONTH(L167),"OK","FAIL")</x:f>
        <x:v>OK</x:v>
      </x:c>
      <x:c r="AJ167" s="62" t="str">
        <x:f>IF(J167&lt;=L167,"OK","FAIL")</x:f>
        <x:v>OK</x:v>
      </x:c>
      <x:c r="AK167" s="62" t="str">
        <x:f>IF(D167&lt;&gt;"营业收入","OK",IF(AND(P167&lt;0,Q167&gt;0),"OK","FAIL"))</x:f>
        <x:v>OK</x:v>
      </x:c>
      <x:c r="AL167" s="62" t="str">
        <x:f>IF(COUNTIF($A$2:$A$218,A167)=1,"OK","FAIL")</x:f>
        <x:v>OK</x:v>
      </x:c>
    </x:row>
    <x:row r="168" ht="23" customHeight="1">
      <x:c r="A168" s="62" t="str">
        <x:v>DEMO01|2025|DOC2166|10</x:v>
      </x:c>
      <x:c r="B168" s="62" t="str">
        <x:v>SOURCE</x:v>
      </x:c>
      <x:c r="C168" s="62" t="str">
        <x:v>会议费</x:v>
      </x:c>
      <x:c r="D168" s="62" t="str">
        <x:v>会议费</x:v>
      </x:c>
      <x:c r="E168" s="62" t="n">
        <x:v>12</x:v>
      </x:c>
      <x:c r="F168" s="62" t="n">
        <x:v>12</x:v>
      </x:c>
      <x:c r="G168" s="62" t="str">
        <x:v>DOC2166</x:v>
      </x:c>
      <x:c r="H168" s="62" t="n">
        <x:v>10</x:v>
      </x:c>
      <x:c r="I168" s="74" t="n">
        <x:v>46006</x:v>
      </x:c>
      <x:c r="J168" s="74" t="n">
        <x:v>46006</x:v>
      </x:c>
      <x:c r="K168" s="74" t="n">
        <x:v>46006</x:v>
      </x:c>
      <x:c r="L168" s="74" t="n">
        <x:v>46006</x:v>
      </x:c>
      <x:c r="M168" s="77" t="n">
        <x:v>1</x:v>
      </x:c>
      <x:c r="N168" s="77"/>
      <x:c r="O168" s="78"/>
      <x:c r="P168" s="79" t="n">
        <x:f>M168</x:f>
        <x:v>1</x:v>
      </x:c>
      <x:c r="Q168" s="79" t="n">
        <x:f>IF(D168="营业收入",-P168,P168)</x:f>
        <x:v>1</x:v>
      </x:c>
      <x:c r="R168" s="62" t="str">
        <x:v>CNY</x:v>
      </x:c>
      <x:c r="S168" s="62" t="str">
        <x:v>万元</x:v>
      </x:c>
      <x:c r="T168" s="62" t="str">
        <x:v>费用不含税</x:v>
      </x:c>
      <x:c r="U168" s="62" t="str">
        <x:v>安全运行部</x:v>
      </x:c>
      <x:c r="V168" s="62" t="str">
        <x:v>安全评估项目阶段评审会</x:v>
      </x:c>
      <x:c r="W168" s="62" t="str">
        <x:v>安全评估项目阶段评审会</x:v>
      </x:c>
      <x:c r="X168" s="62" t="str">
        <x:v>中核运维</x:v>
      </x:c>
      <x:c r="Y168" s="62" t="str">
        <x:v>中核运维</x:v>
      </x:c>
      <x:c r="Z168" s="62" t="str">
        <x:v>17</x:v>
      </x:c>
      <x:c r="AA168" s="62" t="str">
        <x:v>安全评估</x:v>
      </x:c>
      <x:c r="AB168" s="62" t="str">
        <x:v>PRJ-AQ-安全-2025-002</x:v>
      </x:c>
      <x:c r="AC168" s="74" t="n">
        <x:v>46022</x:v>
      </x:c>
      <x:c r="AD168" s="71" t="str">
        <x:v>源记录保留</x:v>
      </x:c>
      <x:c r="AE168" s="71" t="str">
        <x:v>2025年实际执行.xlsx</x:v>
      </x:c>
      <x:c r="AF168" s="71" t="str">
        <x:v>Sheet</x:v>
      </x:c>
      <x:c r="AG168" s="71" t="n">
        <x:v>168</x:v>
      </x:c>
      <x:c r="AH168" s="71" t="str">
        <x:v>2025年实际执行.xlsx/Sheet!168:168</x:v>
      </x:c>
      <x:c r="AI168" s="62" t="str">
        <x:f>IF(F168=MONTH(L168),"OK","FAIL")</x:f>
        <x:v>OK</x:v>
      </x:c>
      <x:c r="AJ168" s="62" t="str">
        <x:f>IF(J168&lt;=L168,"OK","FAIL")</x:f>
        <x:v>OK</x:v>
      </x:c>
      <x:c r="AK168" s="62" t="str">
        <x:f>IF(D168&lt;&gt;"营业收入","OK",IF(AND(P168&lt;0,Q168&gt;0),"OK","FAIL"))</x:f>
        <x:v>OK</x:v>
      </x:c>
      <x:c r="AL168" s="62" t="str">
        <x:f>IF(COUNTIF($A$2:$A$218,A168)=1,"OK","FAIL")</x:f>
        <x:v>OK</x:v>
      </x:c>
    </x:row>
    <x:row r="169" ht="23" customHeight="1">
      <x:c r="A169" s="62" t="str">
        <x:v>DEMO01|2025|DOC2167|10</x:v>
      </x:c>
      <x:c r="B169" s="62" t="str">
        <x:v>SOURCE</x:v>
      </x:c>
      <x:c r="C169" s="62" t="str">
        <x:v>业务支持费</x:v>
      </x:c>
      <x:c r="D169" s="62" t="str">
        <x:v>业务支持费-技术配置</x:v>
      </x:c>
      <x:c r="E169" s="62" t="n">
        <x:v>1</x:v>
      </x:c>
      <x:c r="F169" s="62" t="n">
        <x:v>1</x:v>
      </x:c>
      <x:c r="G169" s="62" t="str">
        <x:v>DOC2167</x:v>
      </x:c>
      <x:c r="H169" s="62" t="n">
        <x:v>10</x:v>
      </x:c>
      <x:c r="I169" s="74" t="n">
        <x:v>45672</x:v>
      </x:c>
      <x:c r="J169" s="74" t="n">
        <x:v>45672</x:v>
      </x:c>
      <x:c r="K169" s="74" t="n">
        <x:v>45672</x:v>
      </x:c>
      <x:c r="L169" s="74" t="n">
        <x:v>45672</x:v>
      </x:c>
      <x:c r="M169" s="77" t="n">
        <x:v>14</x:v>
      </x:c>
      <x:c r="N169" s="77"/>
      <x:c r="O169" s="78"/>
      <x:c r="P169" s="79" t="n">
        <x:f>M169</x:f>
        <x:v>14</x:v>
      </x:c>
      <x:c r="Q169" s="79" t="n">
        <x:f>IF(D169="营业收入",-P169,P169)</x:f>
        <x:v>14</x:v>
      </x:c>
      <x:c r="R169" s="62" t="str">
        <x:v>CNY</x:v>
      </x:c>
      <x:c r="S169" s="62" t="str">
        <x:v>万元</x:v>
      </x:c>
      <x:c r="T169" s="62" t="str">
        <x:v>费用不含税</x:v>
      </x:c>
      <x:c r="U169" s="62" t="str">
        <x:v>安全运行部</x:v>
      </x:c>
      <x:c r="V169" s="62" t="str">
        <x:v>安全评估技术配置_实施阶段</x:v>
      </x:c>
      <x:c r="W169" s="62" t="str">
        <x:v>安全评估技术配置_实施阶段</x:v>
      </x:c>
      <x:c r="X169" s="62" t="str">
        <x:v>供应商3</x:v>
      </x:c>
      <x:c r="Y169" s="62" t="str">
        <x:v>供应商3</x:v>
      </x:c>
      <x:c r="Z169" s="62" t="str">
        <x:v>17</x:v>
      </x:c>
      <x:c r="AA169" s="62" t="str">
        <x:v>安全评估</x:v>
      </x:c>
      <x:c r="AB169" s="62" t="str">
        <x:v>PRJ-AQ-安全-2025-002</x:v>
      </x:c>
      <x:c r="AC169" s="74" t="n">
        <x:v>46022</x:v>
      </x:c>
      <x:c r="AD169" s="71" t="str">
        <x:v>源记录保留</x:v>
      </x:c>
      <x:c r="AE169" s="71" t="str">
        <x:v>2025年实际执行.xlsx</x:v>
      </x:c>
      <x:c r="AF169" s="71" t="str">
        <x:v>Sheet</x:v>
      </x:c>
      <x:c r="AG169" s="71" t="n">
        <x:v>169</x:v>
      </x:c>
      <x:c r="AH169" s="71" t="str">
        <x:v>2025年实际执行.xlsx/Sheet!169:169</x:v>
      </x:c>
      <x:c r="AI169" s="62" t="str">
        <x:f>IF(F169=MONTH(L169),"OK","FAIL")</x:f>
        <x:v>OK</x:v>
      </x:c>
      <x:c r="AJ169" s="62" t="str">
        <x:f>IF(J169&lt;=L169,"OK","FAIL")</x:f>
        <x:v>OK</x:v>
      </x:c>
      <x:c r="AK169" s="62" t="str">
        <x:f>IF(D169&lt;&gt;"营业收入","OK",IF(AND(P169&lt;0,Q169&gt;0),"OK","FAIL"))</x:f>
        <x:v>OK</x:v>
      </x:c>
      <x:c r="AL169" s="62" t="str">
        <x:f>IF(COUNTIF($A$2:$A$218,A169)=1,"OK","FAIL")</x:f>
        <x:v>OK</x:v>
      </x:c>
    </x:row>
    <x:row r="170" ht="23" customHeight="1">
      <x:c r="A170" s="62" t="str">
        <x:v>DEMO01|2025|DOC2168|10</x:v>
      </x:c>
      <x:c r="B170" s="62" t="str">
        <x:v>SOURCE</x:v>
      </x:c>
      <x:c r="C170" s="62" t="str">
        <x:v>生产物料费</x:v>
      </x:c>
      <x:c r="D170" s="62" t="str">
        <x:v>生产物料费</x:v>
      </x:c>
      <x:c r="E170" s="62" t="n">
        <x:v>11</x:v>
      </x:c>
      <x:c r="F170" s="62" t="n">
        <x:v>11</x:v>
      </x:c>
      <x:c r="G170" s="62" t="str">
        <x:v>DOC2168</x:v>
      </x:c>
      <x:c r="H170" s="62" t="n">
        <x:v>10</x:v>
      </x:c>
      <x:c r="I170" s="74" t="n">
        <x:v>45976</x:v>
      </x:c>
      <x:c r="J170" s="74" t="n">
        <x:v>45976</x:v>
      </x:c>
      <x:c r="K170" s="74" t="n">
        <x:v>45976</x:v>
      </x:c>
      <x:c r="L170" s="74" t="n">
        <x:v>45976</x:v>
      </x:c>
      <x:c r="M170" s="77" t="n">
        <x:v>2.6625</x:v>
      </x:c>
      <x:c r="N170" s="77"/>
      <x:c r="O170" s="78"/>
      <x:c r="P170" s="79" t="n">
        <x:f>M170</x:f>
        <x:v>2.6625</x:v>
      </x:c>
      <x:c r="Q170" s="79" t="n">
        <x:f>IF(D170="营业收入",-P170,P170)</x:f>
        <x:v>2.6625</x:v>
      </x:c>
      <x:c r="R170" s="62" t="str">
        <x:v>CNY</x:v>
      </x:c>
      <x:c r="S170" s="62" t="str">
        <x:v>万元</x:v>
      </x:c>
      <x:c r="T170" s="62" t="str">
        <x:v>费用不含税</x:v>
      </x:c>
      <x:c r="U170" s="62" t="str">
        <x:v>安全运行部</x:v>
      </x:c>
      <x:c r="V170" s="62" t="str">
        <x:v>安全评估现场物料采购</x:v>
      </x:c>
      <x:c r="W170" s="62" t="str">
        <x:v>安全评估现场物料采购</x:v>
      </x:c>
      <x:c r="X170" s="62" t="str">
        <x:v>中核运维</x:v>
      </x:c>
      <x:c r="Y170" s="62" t="str">
        <x:v>中核运维</x:v>
      </x:c>
      <x:c r="Z170" s="62" t="str">
        <x:v>17</x:v>
      </x:c>
      <x:c r="AA170" s="62" t="str">
        <x:v>安全评估</x:v>
      </x:c>
      <x:c r="AB170" s="62" t="str">
        <x:v>PRJ-AQ-安全-2025-002</x:v>
      </x:c>
      <x:c r="AC170" s="74" t="n">
        <x:v>46022</x:v>
      </x:c>
      <x:c r="AD170" s="71" t="str">
        <x:v>源记录保留</x:v>
      </x:c>
      <x:c r="AE170" s="71" t="str">
        <x:v>2025年实际执行.xlsx</x:v>
      </x:c>
      <x:c r="AF170" s="71" t="str">
        <x:v>Sheet</x:v>
      </x:c>
      <x:c r="AG170" s="71" t="n">
        <x:v>170</x:v>
      </x:c>
      <x:c r="AH170" s="71" t="str">
        <x:v>2025年实际执行.xlsx/Sheet!170:170</x:v>
      </x:c>
      <x:c r="AI170" s="62" t="str">
        <x:f>IF(F170=MONTH(L170),"OK","FAIL")</x:f>
        <x:v>OK</x:v>
      </x:c>
      <x:c r="AJ170" s="62" t="str">
        <x:f>IF(J170&lt;=L170,"OK","FAIL")</x:f>
        <x:v>OK</x:v>
      </x:c>
      <x:c r="AK170" s="62" t="str">
        <x:f>IF(D170&lt;&gt;"营业收入","OK",IF(AND(P170&lt;0,Q170&gt;0),"OK","FAIL"))</x:f>
        <x:v>OK</x:v>
      </x:c>
      <x:c r="AL170" s="62" t="str">
        <x:f>IF(COUNTIF($A$2:$A$218,A170)=1,"OK","FAIL")</x:f>
        <x:v>OK</x:v>
      </x:c>
    </x:row>
    <x:row r="171" ht="23" customHeight="1">
      <x:c r="A171" s="62" t="str">
        <x:v>DEMO01|2025|DOC2169|10</x:v>
      </x:c>
      <x:c r="B171" s="62" t="str">
        <x:v>SOURCE</x:v>
      </x:c>
      <x:c r="C171" s="62" t="str">
        <x:v>办公费</x:v>
      </x:c>
      <x:c r="D171" s="62" t="str">
        <x:v>办公费</x:v>
      </x:c>
      <x:c r="E171" s="62" t="n">
        <x:v>11</x:v>
      </x:c>
      <x:c r="F171" s="62" t="n">
        <x:v>11</x:v>
      </x:c>
      <x:c r="G171" s="62" t="str">
        <x:v>DOC2169</x:v>
      </x:c>
      <x:c r="H171" s="62" t="n">
        <x:v>10</x:v>
      </x:c>
      <x:c r="I171" s="74" t="n">
        <x:v>45976</x:v>
      </x:c>
      <x:c r="J171" s="74" t="n">
        <x:v>45976</x:v>
      </x:c>
      <x:c r="K171" s="74" t="n">
        <x:v>45976</x:v>
      </x:c>
      <x:c r="L171" s="74" t="n">
        <x:v>45976</x:v>
      </x:c>
      <x:c r="M171" s="77" t="n">
        <x:v>0.5325</x:v>
      </x:c>
      <x:c r="N171" s="77"/>
      <x:c r="O171" s="78"/>
      <x:c r="P171" s="79" t="n">
        <x:f>M171</x:f>
        <x:v>0.5325</x:v>
      </x:c>
      <x:c r="Q171" s="79" t="n">
        <x:f>IF(D171="营业收入",-P171,P171)</x:f>
        <x:v>0.5325</x:v>
      </x:c>
      <x:c r="R171" s="62" t="str">
        <x:v>CNY</x:v>
      </x:c>
      <x:c r="S171" s="62" t="str">
        <x:v>万元</x:v>
      </x:c>
      <x:c r="T171" s="62" t="str">
        <x:v>费用不含税</x:v>
      </x:c>
      <x:c r="U171" s="62" t="str">
        <x:v>安全运行部</x:v>
      </x:c>
      <x:c r="V171" s="62" t="str">
        <x:v>安全评估日常办公</x:v>
      </x:c>
      <x:c r="W171" s="62" t="str">
        <x:v>安全评估日常办公</x:v>
      </x:c>
      <x:c r="X171" s="62" t="str">
        <x:v>中核运维</x:v>
      </x:c>
      <x:c r="Y171" s="62" t="str">
        <x:v>中核运维</x:v>
      </x:c>
      <x:c r="Z171" s="62" t="str">
        <x:v>17</x:v>
      </x:c>
      <x:c r="AA171" s="62" t="str">
        <x:v>安全评估</x:v>
      </x:c>
      <x:c r="AB171" s="62" t="str">
        <x:v>PRJ-AQ-安全-2025-002</x:v>
      </x:c>
      <x:c r="AC171" s="74" t="n">
        <x:v>46022</x:v>
      </x:c>
      <x:c r="AD171" s="71" t="str">
        <x:v>源记录保留</x:v>
      </x:c>
      <x:c r="AE171" s="71" t="str">
        <x:v>2025年实际执行.xlsx</x:v>
      </x:c>
      <x:c r="AF171" s="71" t="str">
        <x:v>Sheet</x:v>
      </x:c>
      <x:c r="AG171" s="71" t="n">
        <x:v>171</x:v>
      </x:c>
      <x:c r="AH171" s="71" t="str">
        <x:v>2025年实际执行.xlsx/Sheet!171:171</x:v>
      </x:c>
      <x:c r="AI171" s="62" t="str">
        <x:f>IF(F171=MONTH(L171),"OK","FAIL")</x:f>
        <x:v>OK</x:v>
      </x:c>
      <x:c r="AJ171" s="62" t="str">
        <x:f>IF(J171&lt;=L171,"OK","FAIL")</x:f>
        <x:v>OK</x:v>
      </x:c>
      <x:c r="AK171" s="62" t="str">
        <x:f>IF(D171&lt;&gt;"营业收入","OK",IF(AND(P171&lt;0,Q171&gt;0),"OK","FAIL"))</x:f>
        <x:v>OK</x:v>
      </x:c>
      <x:c r="AL171" s="62" t="str">
        <x:f>IF(COUNTIF($A$2:$A$218,A171)=1,"OK","FAIL")</x:f>
        <x:v>OK</x:v>
      </x:c>
    </x:row>
    <x:row r="172" ht="23" customHeight="1">
      <x:c r="A172" s="62" t="str">
        <x:v>DEMO01|2025|DOC2170|10</x:v>
      </x:c>
      <x:c r="B172" s="62" t="str">
        <x:v>CORRECTED</x:v>
      </x:c>
      <x:c r="C172" s="62" t="str">
        <x:v>交通运输费</x:v>
      </x:c>
      <x:c r="D172" s="62" t="str">
        <x:v>交通运输费</x:v>
      </x:c>
      <x:c r="E172" s="62" t="n">
        <x:v>11</x:v>
      </x:c>
      <x:c r="F172" s="62" t="n">
        <x:v>11</x:v>
      </x:c>
      <x:c r="G172" s="62" t="str">
        <x:v>DOC2170</x:v>
      </x:c>
      <x:c r="H172" s="62" t="n">
        <x:v>10</x:v>
      </x:c>
      <x:c r="I172" s="74" t="n">
        <x:v>45976</x:v>
      </x:c>
      <x:c r="J172" s="74" t="n">
        <x:v>45976</x:v>
      </x:c>
      <x:c r="K172" s="74" t="n">
        <x:v>45976</x:v>
      </x:c>
      <x:c r="L172" s="74" t="n">
        <x:v>45976</x:v>
      </x:c>
      <x:c r="M172" s="77" t="n">
        <x:v>0.8875</x:v>
      </x:c>
      <x:c r="N172" s="77"/>
      <x:c r="O172" s="78"/>
      <x:c r="P172" s="79" t="n">
        <x:f>M172</x:f>
        <x:v>0.8875</x:v>
      </x:c>
      <x:c r="Q172" s="79" t="n">
        <x:f>IF(D172="营业收入",-P172,P172)</x:f>
        <x:v>0.8875</x:v>
      </x:c>
      <x:c r="R172" s="62" t="str">
        <x:v>CNY</x:v>
      </x:c>
      <x:c r="S172" s="62" t="str">
        <x:v>万元</x:v>
      </x:c>
      <x:c r="T172" s="62" t="str">
        <x:v>费用不含税</x:v>
      </x:c>
      <x:c r="U172" s="62" t="str">
        <x:v>安全运行部</x:v>
      </x:c>
      <x:c r="V172" s="62" t="str">
        <x:v>安全评估材料运输</x:v>
      </x:c>
      <x:c r="W172" s="62" t="str">
        <x:v>安全评估材料运输</x:v>
      </x:c>
      <x:c r="X172" s="62" t="str">
        <x:v>中核运维</x:v>
      </x:c>
      <x:c r="Y172" s="62" t="str">
        <x:v>中核运维</x:v>
      </x:c>
      <x:c r="Z172" s="62" t="str">
        <x:v>17</x:v>
      </x:c>
      <x:c r="AA172" s="62" t="str">
        <x:v>安全评估</x:v>
      </x:c>
      <x:c r="AB172" s="62" t="str">
        <x:v>PRJ-AQ-安全-2025-002</x:v>
      </x:c>
      <x:c r="AC172" s="74" t="n">
        <x:v>46022</x:v>
      </x:c>
      <x:c r="AD172" s="71" t="str">
        <x:v>补凭证行号</x:v>
      </x:c>
      <x:c r="AE172" s="71" t="str">
        <x:v>2025年实际执行.xlsx</x:v>
      </x:c>
      <x:c r="AF172" s="71" t="str">
        <x:v>Sheet</x:v>
      </x:c>
      <x:c r="AG172" s="71" t="n">
        <x:v>172</x:v>
      </x:c>
      <x:c r="AH172" s="71" t="str">
        <x:v>2025年实际执行.xlsx/Sheet!172:172</x:v>
      </x:c>
      <x:c r="AI172" s="62" t="str">
        <x:f>IF(F172=MONTH(L172),"OK","FAIL")</x:f>
        <x:v>OK</x:v>
      </x:c>
      <x:c r="AJ172" s="62" t="str">
        <x:f>IF(J172&lt;=L172,"OK","FAIL")</x:f>
        <x:v>OK</x:v>
      </x:c>
      <x:c r="AK172" s="62" t="str">
        <x:f>IF(D172&lt;&gt;"营业收入","OK",IF(AND(P172&lt;0,Q172&gt;0),"OK","FAIL"))</x:f>
        <x:v>OK</x:v>
      </x:c>
      <x:c r="AL172" s="62" t="str">
        <x:f>IF(COUNTIF($A$2:$A$218,A172)=1,"OK","FAIL")</x:f>
        <x:v>OK</x:v>
      </x:c>
    </x:row>
    <x:row r="173" ht="23" customHeight="1">
      <x:c r="A173" s="62" t="str">
        <x:v>DEMO01|2025|DOC2171|10</x:v>
      </x:c>
      <x:c r="B173" s="62" t="str">
        <x:v>SOURCE</x:v>
      </x:c>
      <x:c r="C173" s="62" t="str">
        <x:v>人工成本</x:v>
      </x:c>
      <x:c r="D173" s="62" t="str">
        <x:v>人工成本</x:v>
      </x:c>
      <x:c r="E173" s="62" t="n">
        <x:v>6</x:v>
      </x:c>
      <x:c r="F173" s="62" t="n">
        <x:v>6</x:v>
      </x:c>
      <x:c r="G173" s="62" t="str">
        <x:v>DOC2171</x:v>
      </x:c>
      <x:c r="H173" s="62" t="n">
        <x:v>10</x:v>
      </x:c>
      <x:c r="I173" s="74" t="n">
        <x:v>45838</x:v>
      </x:c>
      <x:c r="J173" s="74" t="n">
        <x:v>45838</x:v>
      </x:c>
      <x:c r="K173" s="74" t="n">
        <x:v>45838</x:v>
      </x:c>
      <x:c r="L173" s="74" t="n">
        <x:v>45838</x:v>
      </x:c>
      <x:c r="M173" s="77" t="n">
        <x:v>9</x:v>
      </x:c>
      <x:c r="N173" s="77"/>
      <x:c r="O173" s="78"/>
      <x:c r="P173" s="79" t="n">
        <x:f>M173</x:f>
        <x:v>9</x:v>
      </x:c>
      <x:c r="Q173" s="79" t="n">
        <x:f>IF(D173="营业收入",-P173,P173)</x:f>
        <x:v>9</x:v>
      </x:c>
      <x:c r="R173" s="62" t="str">
        <x:v>CNY</x:v>
      </x:c>
      <x:c r="S173" s="62" t="str">
        <x:v>万元</x:v>
      </x:c>
      <x:c r="T173" s="62" t="str">
        <x:v>费用不含税</x:v>
      </x:c>
      <x:c r="U173" s="62" t="str">
        <x:v>安全运行部</x:v>
      </x:c>
      <x:c r="V173" s="62" t="str">
        <x:v>安全评估人工成本分摊</x:v>
      </x:c>
      <x:c r="W173" s="62" t="str">
        <x:v>安全评估人工成本分摊</x:v>
      </x:c>
      <x:c r="X173" s="62" t="str">
        <x:v>17</x:v>
      </x:c>
      <x:c r="Y173" s="62" t="str">
        <x:v>17</x:v>
      </x:c>
      <x:c r="Z173" s="62" t="str">
        <x:v>17</x:v>
      </x:c>
      <x:c r="AA173" s="62" t="str">
        <x:v>安全评估</x:v>
      </x:c>
      <x:c r="AB173" s="62" t="str">
        <x:v>PRJ-AQ-安全-2025-002</x:v>
      </x:c>
      <x:c r="AC173" s="74" t="n">
        <x:v>46022</x:v>
      </x:c>
      <x:c r="AD173" s="71" t="str">
        <x:v>源记录保留</x:v>
      </x:c>
      <x:c r="AE173" s="71" t="str">
        <x:v>2025年实际执行.xlsx</x:v>
      </x:c>
      <x:c r="AF173" s="71" t="str">
        <x:v>Sheet</x:v>
      </x:c>
      <x:c r="AG173" s="71" t="n">
        <x:v>173</x:v>
      </x:c>
      <x:c r="AH173" s="71" t="str">
        <x:v>2025年实际执行.xlsx/Sheet!173:173</x:v>
      </x:c>
      <x:c r="AI173" s="62" t="str">
        <x:f>IF(F173=MONTH(L173),"OK","FAIL")</x:f>
        <x:v>OK</x:v>
      </x:c>
      <x:c r="AJ173" s="62" t="str">
        <x:f>IF(J173&lt;=L173,"OK","FAIL")</x:f>
        <x:v>OK</x:v>
      </x:c>
      <x:c r="AK173" s="62" t="str">
        <x:f>IF(D173&lt;&gt;"营业收入","OK",IF(AND(P173&lt;0,Q173&gt;0),"OK","FAIL"))</x:f>
        <x:v>OK</x:v>
      </x:c>
      <x:c r="AL173" s="62" t="str">
        <x:f>IF(COUNTIF($A$2:$A$218,A173)=1,"OK","FAIL")</x:f>
        <x:v>OK</x:v>
      </x:c>
    </x:row>
    <x:row r="174" ht="23" customHeight="1">
      <x:c r="A174" s="62" t="str">
        <x:v>DEMO01|2025|DOC2172|10</x:v>
      </x:c>
      <x:c r="B174" s="62" t="str">
        <x:v>SOURCE</x:v>
      </x:c>
      <x:c r="C174" s="62" t="str">
        <x:v>折旧摊销</x:v>
      </x:c>
      <x:c r="D174" s="62" t="str">
        <x:v>折旧摊销</x:v>
      </x:c>
      <x:c r="E174" s="62" t="n">
        <x:v>12</x:v>
      </x:c>
      <x:c r="F174" s="62" t="n">
        <x:v>12</x:v>
      </x:c>
      <x:c r="G174" s="62" t="str">
        <x:v>DOC2172</x:v>
      </x:c>
      <x:c r="H174" s="62" t="n">
        <x:v>10</x:v>
      </x:c>
      <x:c r="I174" s="74" t="n">
        <x:v>46022</x:v>
      </x:c>
      <x:c r="J174" s="74" t="n">
        <x:v>46022</x:v>
      </x:c>
      <x:c r="K174" s="74" t="n">
        <x:v>46022</x:v>
      </x:c>
      <x:c r="L174" s="74" t="n">
        <x:v>46022</x:v>
      </x:c>
      <x:c r="M174" s="77" t="n">
        <x:v>1</x:v>
      </x:c>
      <x:c r="N174" s="77"/>
      <x:c r="O174" s="78"/>
      <x:c r="P174" s="79" t="n">
        <x:f>M174</x:f>
        <x:v>1</x:v>
      </x:c>
      <x:c r="Q174" s="79" t="n">
        <x:f>IF(D174="营业收入",-P174,P174)</x:f>
        <x:v>1</x:v>
      </x:c>
      <x:c r="R174" s="62" t="str">
        <x:v>CNY</x:v>
      </x:c>
      <x:c r="S174" s="62" t="str">
        <x:v>万元</x:v>
      </x:c>
      <x:c r="T174" s="62" t="str">
        <x:v>费用不含税</x:v>
      </x:c>
      <x:c r="U174" s="62" t="str">
        <x:v>安全运行部</x:v>
      </x:c>
      <x:c r="V174" s="62" t="str">
        <x:v>安全评估折旧摊销分摊</x:v>
      </x:c>
      <x:c r="W174" s="62" t="str">
        <x:v>安全评估折旧摊销分摊</x:v>
      </x:c>
      <x:c r="X174" s="62" t="str">
        <x:v>17</x:v>
      </x:c>
      <x:c r="Y174" s="62" t="str">
        <x:v>17</x:v>
      </x:c>
      <x:c r="Z174" s="62" t="str">
        <x:v>17</x:v>
      </x:c>
      <x:c r="AA174" s="62" t="str">
        <x:v>安全评估</x:v>
      </x:c>
      <x:c r="AB174" s="62" t="str">
        <x:v>PRJ-AQ-安全-2025-002</x:v>
      </x:c>
      <x:c r="AC174" s="74" t="n">
        <x:v>46022</x:v>
      </x:c>
      <x:c r="AD174" s="71" t="str">
        <x:v>源记录保留</x:v>
      </x:c>
      <x:c r="AE174" s="71" t="str">
        <x:v>2025年实际执行.xlsx</x:v>
      </x:c>
      <x:c r="AF174" s="71" t="str">
        <x:v>Sheet</x:v>
      </x:c>
      <x:c r="AG174" s="71" t="n">
        <x:v>174</x:v>
      </x:c>
      <x:c r="AH174" s="71" t="str">
        <x:v>2025年实际执行.xlsx/Sheet!174:174</x:v>
      </x:c>
      <x:c r="AI174" s="62" t="str">
        <x:f>IF(F174=MONTH(L174),"OK","FAIL")</x:f>
        <x:v>OK</x:v>
      </x:c>
      <x:c r="AJ174" s="62" t="str">
        <x:f>IF(J174&lt;=L174,"OK","FAIL")</x:f>
        <x:v>OK</x:v>
      </x:c>
      <x:c r="AK174" s="62" t="str">
        <x:f>IF(D174&lt;&gt;"营业收入","OK",IF(AND(P174&lt;0,Q174&gt;0),"OK","FAIL"))</x:f>
        <x:v>OK</x:v>
      </x:c>
      <x:c r="AL174" s="62" t="str">
        <x:f>IF(COUNTIF($A$2:$A$218,A174)=1,"OK","FAIL")</x:f>
        <x:v>OK</x:v>
      </x:c>
    </x:row>
    <x:row r="175" ht="23" customHeight="1">
      <x:c r="A175" s="62" t="str">
        <x:v>DEMO01|2025|DOC2173|10</x:v>
      </x:c>
      <x:c r="B175" s="62" t="str">
        <x:v>CORRECTED</x:v>
      </x:c>
      <x:c r="C175" s="62" t="str">
        <x:v>业务支持费</x:v>
      </x:c>
      <x:c r="D175" s="62" t="str">
        <x:v>业务支持费-其他</x:v>
      </x:c>
      <x:c r="E175" s="62" t="n">
        <x:v>3</x:v>
      </x:c>
      <x:c r="F175" s="62" t="n">
        <x:v>6</x:v>
      </x:c>
      <x:c r="G175" s="62" t="str">
        <x:v>DOC2173</x:v>
      </x:c>
      <x:c r="H175" s="62" t="n">
        <x:v>10</x:v>
      </x:c>
      <x:c r="I175" s="74" t="n">
        <x:v>45736</x:v>
      </x:c>
      <x:c r="J175" s="74" t="n">
        <x:v>45736</x:v>
      </x:c>
      <x:c r="K175" s="74" t="n">
        <x:v>45828</x:v>
      </x:c>
      <x:c r="L175" s="74" t="n">
        <x:v>45828</x:v>
      </x:c>
      <x:c r="M175" s="77" t="n">
        <x:v>4</x:v>
      </x:c>
      <x:c r="N175" s="77"/>
      <x:c r="O175" s="78"/>
      <x:c r="P175" s="79" t="n">
        <x:f>M175</x:f>
        <x:v>4</x:v>
      </x:c>
      <x:c r="Q175" s="79" t="n">
        <x:f>IF(D175="营业收入",-P175,P175)</x:f>
        <x:v>4</x:v>
      </x:c>
      <x:c r="R175" s="62" t="str">
        <x:v>CNY</x:v>
      </x:c>
      <x:c r="S175" s="62" t="str">
        <x:v>万元</x:v>
      </x:c>
      <x:c r="T175" s="62" t="str">
        <x:v>费用不含税</x:v>
      </x:c>
      <x:c r="U175" s="62" t="str">
        <x:v>安全运行部</x:v>
      </x:c>
      <x:c r="V175" s="62" t="str">
        <x:v>确认安全评估_实际成本</x:v>
      </x:c>
      <x:c r="W175" s="62" t="str">
        <x:v>确认安全评估_实际成本</x:v>
      </x:c>
      <x:c r="X175" s="62" t="str">
        <x:v>中核运维</x:v>
      </x:c>
      <x:c r="Y175" s="62" t="str">
        <x:v>中核运维</x:v>
      </x:c>
      <x:c r="Z175" s="62" t="str">
        <x:v>17</x:v>
      </x:c>
      <x:c r="AA175" s="62" t="str">
        <x:v>安全评估</x:v>
      </x:c>
      <x:c r="AB175" s="62" t="str">
        <x:v>PRJ-AQ-安全-2025-002</x:v>
      </x:c>
      <x:c r="AC175" s="74" t="n">
        <x:v>46022</x:v>
      </x:c>
      <x:c r="AD175" s="71" t="str">
        <x:v>期间改为过账月</x:v>
      </x:c>
      <x:c r="AE175" s="71" t="str">
        <x:v>2025年实际执行.xlsx</x:v>
      </x:c>
      <x:c r="AF175" s="71" t="str">
        <x:v>Sheet</x:v>
      </x:c>
      <x:c r="AG175" s="71" t="n">
        <x:v>175</x:v>
      </x:c>
      <x:c r="AH175" s="71" t="str">
        <x:v>2025年实际执行.xlsx/Sheet!175:175</x:v>
      </x:c>
      <x:c r="AI175" s="62" t="str">
        <x:f>IF(F175=MONTH(L175),"OK","FAIL")</x:f>
        <x:v>OK</x:v>
      </x:c>
      <x:c r="AJ175" s="62" t="str">
        <x:f>IF(J175&lt;=L175,"OK","FAIL")</x:f>
        <x:v>OK</x:v>
      </x:c>
      <x:c r="AK175" s="62" t="str">
        <x:f>IF(D175&lt;&gt;"营业收入","OK",IF(AND(P175&lt;0,Q175&gt;0),"OK","FAIL"))</x:f>
        <x:v>OK</x:v>
      </x:c>
      <x:c r="AL175" s="62" t="str">
        <x:f>IF(COUNTIF($A$2:$A$218,A175)=1,"OK","FAIL")</x:f>
        <x:v>OK</x:v>
      </x:c>
    </x:row>
    <x:row r="176" ht="23" customHeight="1">
      <x:c r="A176" s="62" t="str">
        <x:v>DEMO01|2025|DOC2174|10</x:v>
      </x:c>
      <x:c r="B176" s="62" t="str">
        <x:v>SOURCE</x:v>
      </x:c>
      <x:c r="C176" s="62" t="str">
        <x:v>营业收入</x:v>
      </x:c>
      <x:c r="D176" s="62" t="str">
        <x:v>营业收入</x:v>
      </x:c>
      <x:c r="E176" s="62" t="n">
        <x:v>6</x:v>
      </x:c>
      <x:c r="F176" s="62" t="n">
        <x:v>6</x:v>
      </x:c>
      <x:c r="G176" s="62" t="str">
        <x:v>DOC2174</x:v>
      </x:c>
      <x:c r="H176" s="62" t="n">
        <x:v>10</x:v>
      </x:c>
      <x:c r="I176" s="74" t="n">
        <x:v>45823</x:v>
      </x:c>
      <x:c r="J176" s="74" t="n">
        <x:v>45823</x:v>
      </x:c>
      <x:c r="K176" s="74" t="n">
        <x:v>45823</x:v>
      </x:c>
      <x:c r="L176" s="74" t="n">
        <x:v>45823</x:v>
      </x:c>
      <x:c r="M176" s="77" t="n">
        <x:v>-29.9</x:v>
      </x:c>
      <x:c r="N176" s="77"/>
      <x:c r="O176" s="78"/>
      <x:c r="P176" s="79" t="n">
        <x:f>M176</x:f>
        <x:v>-29.9</x:v>
      </x:c>
      <x:c r="Q176" s="79" t="n">
        <x:f>IF(D176="营业收入",-P176,P176)</x:f>
        <x:v>29.9</x:v>
      </x:c>
      <x:c r="R176" s="62" t="str">
        <x:v>CNY</x:v>
      </x:c>
      <x:c r="S176" s="62" t="str">
        <x:v>万元</x:v>
      </x:c>
      <x:c r="T176" s="62" t="str">
        <x:v>收益；源负号</x:v>
      </x:c>
      <x:c r="U176" s="62" t="str">
        <x:v>安全运行部</x:v>
      </x:c>
      <x:c r="V176" s="62" t="str">
        <x:v>安全评估收入确认</x:v>
      </x:c>
      <x:c r="W176" s="62" t="str">
        <x:v>安全评估收入确认</x:v>
      </x:c>
      <x:c r="X176" s="62" t="str">
        <x:v>17</x:v>
      </x:c>
      <x:c r="Y176" s="62" t="str">
        <x:v>17</x:v>
      </x:c>
      <x:c r="Z176" s="62" t="str">
        <x:v>17</x:v>
      </x:c>
      <x:c r="AA176" s="62" t="str">
        <x:v>安全评估</x:v>
      </x:c>
      <x:c r="AB176" s="62" t="str">
        <x:v>PRJ-AQ-安全-2025-003</x:v>
      </x:c>
      <x:c r="AC176" s="74" t="n">
        <x:v>46022</x:v>
      </x:c>
      <x:c r="AD176" s="71" t="str">
        <x:v>源记录保留</x:v>
      </x:c>
      <x:c r="AE176" s="71" t="str">
        <x:v>2025年实际执行.xlsx</x:v>
      </x:c>
      <x:c r="AF176" s="71" t="str">
        <x:v>Sheet</x:v>
      </x:c>
      <x:c r="AG176" s="71" t="n">
        <x:v>176</x:v>
      </x:c>
      <x:c r="AH176" s="71" t="str">
        <x:v>2025年实际执行.xlsx/Sheet!176:176</x:v>
      </x:c>
      <x:c r="AI176" s="62" t="str">
        <x:f>IF(F176=MONTH(L176),"OK","FAIL")</x:f>
        <x:v>OK</x:v>
      </x:c>
      <x:c r="AJ176" s="62" t="str">
        <x:f>IF(J176&lt;=L176,"OK","FAIL")</x:f>
        <x:v>OK</x:v>
      </x:c>
      <x:c r="AK176" s="62" t="str">
        <x:f>IF(D176&lt;&gt;"营业收入","OK",IF(AND(P176&lt;0,Q176&gt;0),"OK","FAIL"))</x:f>
        <x:v>OK</x:v>
      </x:c>
      <x:c r="AL176" s="62" t="str">
        <x:f>IF(COUNTIF($A$2:$A$218,A176)=1,"OK","FAIL")</x:f>
        <x:v>OK</x:v>
      </x:c>
    </x:row>
    <x:row r="177" ht="23" customHeight="1">
      <x:c r="A177" s="62" t="str">
        <x:v>DEMO01|2025|DOC2175|10</x:v>
      </x:c>
      <x:c r="B177" s="62" t="str">
        <x:v>SOURCE</x:v>
      </x:c>
      <x:c r="C177" s="62" t="str">
        <x:v>会议费</x:v>
      </x:c>
      <x:c r="D177" s="62" t="str">
        <x:v>会议费</x:v>
      </x:c>
      <x:c r="E177" s="62" t="n">
        <x:v>6</x:v>
      </x:c>
      <x:c r="F177" s="62" t="n">
        <x:v>6</x:v>
      </x:c>
      <x:c r="G177" s="62" t="str">
        <x:v>DOC2175</x:v>
      </x:c>
      <x:c r="H177" s="62" t="n">
        <x:v>10</x:v>
      </x:c>
      <x:c r="I177" s="74" t="n">
        <x:v>45823</x:v>
      </x:c>
      <x:c r="J177" s="74" t="n">
        <x:v>45823</x:v>
      </x:c>
      <x:c r="K177" s="74" t="n">
        <x:v>45823</x:v>
      </x:c>
      <x:c r="L177" s="74" t="n">
        <x:v>45823</x:v>
      </x:c>
      <x:c r="M177" s="77" t="n">
        <x:v>0.1979</x:v>
      </x:c>
      <x:c r="N177" s="77"/>
      <x:c r="O177" s="78"/>
      <x:c r="P177" s="79" t="n">
        <x:f>M177</x:f>
        <x:v>0.1979</x:v>
      </x:c>
      <x:c r="Q177" s="79" t="n">
        <x:f>IF(D177="营业收入",-P177,P177)</x:f>
        <x:v>0.1979</x:v>
      </x:c>
      <x:c r="R177" s="62" t="str">
        <x:v>CNY</x:v>
      </x:c>
      <x:c r="S177" s="62" t="str">
        <x:v>万元</x:v>
      </x:c>
      <x:c r="T177" s="62" t="str">
        <x:v>费用不含税</x:v>
      </x:c>
      <x:c r="U177" s="62" t="str">
        <x:v>安全运行部</x:v>
      </x:c>
      <x:c r="V177" s="62" t="str">
        <x:v>安全评估项目阶段评审会</x:v>
      </x:c>
      <x:c r="W177" s="62" t="str">
        <x:v>安全评估项目阶段评审会</x:v>
      </x:c>
      <x:c r="X177" s="62" t="str">
        <x:v>中核运维</x:v>
      </x:c>
      <x:c r="Y177" s="62" t="str">
        <x:v>中核运维</x:v>
      </x:c>
      <x:c r="Z177" s="62" t="str">
        <x:v>17</x:v>
      </x:c>
      <x:c r="AA177" s="62" t="str">
        <x:v>安全评估</x:v>
      </x:c>
      <x:c r="AB177" s="62" t="str">
        <x:v>PRJ-AQ-安全-2025-003</x:v>
      </x:c>
      <x:c r="AC177" s="74" t="n">
        <x:v>46022</x:v>
      </x:c>
      <x:c r="AD177" s="71" t="str">
        <x:v>源记录保留</x:v>
      </x:c>
      <x:c r="AE177" s="71" t="str">
        <x:v>2025年实际执行.xlsx</x:v>
      </x:c>
      <x:c r="AF177" s="71" t="str">
        <x:v>Sheet</x:v>
      </x:c>
      <x:c r="AG177" s="71" t="n">
        <x:v>177</x:v>
      </x:c>
      <x:c r="AH177" s="71" t="str">
        <x:v>2025年实际执行.xlsx/Sheet!177:177</x:v>
      </x:c>
      <x:c r="AI177" s="62" t="str">
        <x:f>IF(F177=MONTH(L177),"OK","FAIL")</x:f>
        <x:v>OK</x:v>
      </x:c>
      <x:c r="AJ177" s="62" t="str">
        <x:f>IF(J177&lt;=L177,"OK","FAIL")</x:f>
        <x:v>OK</x:v>
      </x:c>
      <x:c r="AK177" s="62" t="str">
        <x:f>IF(D177&lt;&gt;"营业收入","OK",IF(AND(P177&lt;0,Q177&gt;0),"OK","FAIL"))</x:f>
        <x:v>OK</x:v>
      </x:c>
      <x:c r="AL177" s="62" t="str">
        <x:f>IF(COUNTIF($A$2:$A$218,A177)=1,"OK","FAIL")</x:f>
        <x:v>OK</x:v>
      </x:c>
    </x:row>
    <x:row r="178" ht="23" customHeight="1">
      <x:c r="A178" s="62" t="str">
        <x:v>DEMO01|2025|DOC2176|10</x:v>
      </x:c>
      <x:c r="B178" s="62" t="str">
        <x:v>SOURCE</x:v>
      </x:c>
      <x:c r="C178" s="62" t="str">
        <x:v>业务支持费</x:v>
      </x:c>
      <x:c r="D178" s="62" t="str">
        <x:v>业务支持费-技术配置</x:v>
      </x:c>
      <x:c r="E178" s="62" t="n">
        <x:v>2</x:v>
      </x:c>
      <x:c r="F178" s="62" t="n">
        <x:v>2</x:v>
      </x:c>
      <x:c r="G178" s="62" t="str">
        <x:v>DOC2176</x:v>
      </x:c>
      <x:c r="H178" s="62" t="n">
        <x:v>10</x:v>
      </x:c>
      <x:c r="I178" s="74" t="n">
        <x:v>45703</x:v>
      </x:c>
      <x:c r="J178" s="74" t="n">
        <x:v>45703</x:v>
      </x:c>
      <x:c r="K178" s="74" t="n">
        <x:v>45703</x:v>
      </x:c>
      <x:c r="L178" s="74" t="n">
        <x:v>45703</x:v>
      </x:c>
      <x:c r="M178" s="77" t="n">
        <x:v>15</x:v>
      </x:c>
      <x:c r="N178" s="77"/>
      <x:c r="O178" s="78"/>
      <x:c r="P178" s="79" t="n">
        <x:f>M178</x:f>
        <x:v>15</x:v>
      </x:c>
      <x:c r="Q178" s="79" t="n">
        <x:f>IF(D178="营业收入",-P178,P178)</x:f>
        <x:v>15</x:v>
      </x:c>
      <x:c r="R178" s="62" t="str">
        <x:v>CNY</x:v>
      </x:c>
      <x:c r="S178" s="62" t="str">
        <x:v>万元</x:v>
      </x:c>
      <x:c r="T178" s="62" t="str">
        <x:v>费用不含税</x:v>
      </x:c>
      <x:c r="U178" s="62" t="str">
        <x:v>安全运行部</x:v>
      </x:c>
      <x:c r="V178" s="62" t="str">
        <x:v>安全评估技术配置_实施阶段</x:v>
      </x:c>
      <x:c r="W178" s="62" t="str">
        <x:v>安全评估技术配置_实施阶段</x:v>
      </x:c>
      <x:c r="X178" s="62" t="str">
        <x:v>供应商3</x:v>
      </x:c>
      <x:c r="Y178" s="62" t="str">
        <x:v>供应商3</x:v>
      </x:c>
      <x:c r="Z178" s="62" t="str">
        <x:v>17</x:v>
      </x:c>
      <x:c r="AA178" s="62" t="str">
        <x:v>安全评估</x:v>
      </x:c>
      <x:c r="AB178" s="62" t="str">
        <x:v>PRJ-AQ-安全-2025-003</x:v>
      </x:c>
      <x:c r="AC178" s="74" t="n">
        <x:v>46022</x:v>
      </x:c>
      <x:c r="AD178" s="71" t="str">
        <x:v>源记录保留</x:v>
      </x:c>
      <x:c r="AE178" s="71" t="str">
        <x:v>2025年实际执行.xlsx</x:v>
      </x:c>
      <x:c r="AF178" s="71" t="str">
        <x:v>Sheet</x:v>
      </x:c>
      <x:c r="AG178" s="71" t="n">
        <x:v>178</x:v>
      </x:c>
      <x:c r="AH178" s="71" t="str">
        <x:v>2025年实际执行.xlsx/Sheet!178:178</x:v>
      </x:c>
      <x:c r="AI178" s="62" t="str">
        <x:f>IF(F178=MONTH(L178),"OK","FAIL")</x:f>
        <x:v>OK</x:v>
      </x:c>
      <x:c r="AJ178" s="62" t="str">
        <x:f>IF(J178&lt;=L178,"OK","FAIL")</x:f>
        <x:v>OK</x:v>
      </x:c>
      <x:c r="AK178" s="62" t="str">
        <x:f>IF(D178&lt;&gt;"营业收入","OK",IF(AND(P178&lt;0,Q178&gt;0),"OK","FAIL"))</x:f>
        <x:v>OK</x:v>
      </x:c>
      <x:c r="AL178" s="62" t="str">
        <x:f>IF(COUNTIF($A$2:$A$218,A178)=1,"OK","FAIL")</x:f>
        <x:v>OK</x:v>
      </x:c>
    </x:row>
    <x:row r="179" ht="23" customHeight="1">
      <x:c r="A179" s="62" t="str">
        <x:v>DEMO01|2025|DOC2177|10</x:v>
      </x:c>
      <x:c r="B179" s="62" t="str">
        <x:v>SOURCE</x:v>
      </x:c>
      <x:c r="C179" s="62" t="str">
        <x:v>生产物料费</x:v>
      </x:c>
      <x:c r="D179" s="62" t="str">
        <x:v>生产物料费</x:v>
      </x:c>
      <x:c r="E179" s="62" t="n">
        <x:v>4</x:v>
      </x:c>
      <x:c r="F179" s="62" t="n">
        <x:v>4</x:v>
      </x:c>
      <x:c r="G179" s="62" t="str">
        <x:v>DOC2177</x:v>
      </x:c>
      <x:c r="H179" s="62" t="n">
        <x:v>10</x:v>
      </x:c>
      <x:c r="I179" s="74" t="n">
        <x:v>45762</x:v>
      </x:c>
      <x:c r="J179" s="74" t="n">
        <x:v>45762</x:v>
      </x:c>
      <x:c r="K179" s="74" t="n">
        <x:v>45762</x:v>
      </x:c>
      <x:c r="L179" s="74" t="n">
        <x:v>45762</x:v>
      </x:c>
      <x:c r="M179" s="77" t="n">
        <x:v>2.9685</x:v>
      </x:c>
      <x:c r="N179" s="77"/>
      <x:c r="O179" s="78"/>
      <x:c r="P179" s="79" t="n">
        <x:f>M179</x:f>
        <x:v>2.9685</x:v>
      </x:c>
      <x:c r="Q179" s="79" t="n">
        <x:f>IF(D179="营业收入",-P179,P179)</x:f>
        <x:v>2.9685</x:v>
      </x:c>
      <x:c r="R179" s="62" t="str">
        <x:v>CNY</x:v>
      </x:c>
      <x:c r="S179" s="62" t="str">
        <x:v>万元</x:v>
      </x:c>
      <x:c r="T179" s="62" t="str">
        <x:v>费用不含税</x:v>
      </x:c>
      <x:c r="U179" s="62" t="str">
        <x:v>安全运行部</x:v>
      </x:c>
      <x:c r="V179" s="62" t="str">
        <x:v>安全评估现场物料采购</x:v>
      </x:c>
      <x:c r="W179" s="62" t="str">
        <x:v>安全评估现场物料采购</x:v>
      </x:c>
      <x:c r="X179" s="62" t="str">
        <x:v>中核运维</x:v>
      </x:c>
      <x:c r="Y179" s="62" t="str">
        <x:v>中核运维</x:v>
      </x:c>
      <x:c r="Z179" s="62" t="str">
        <x:v>17</x:v>
      </x:c>
      <x:c r="AA179" s="62" t="str">
        <x:v>安全评估</x:v>
      </x:c>
      <x:c r="AB179" s="62" t="str">
        <x:v>PRJ-AQ-安全-2025-003</x:v>
      </x:c>
      <x:c r="AC179" s="74" t="n">
        <x:v>46022</x:v>
      </x:c>
      <x:c r="AD179" s="71" t="str">
        <x:v>源记录保留</x:v>
      </x:c>
      <x:c r="AE179" s="71" t="str">
        <x:v>2025年实际执行.xlsx</x:v>
      </x:c>
      <x:c r="AF179" s="71" t="str">
        <x:v>Sheet</x:v>
      </x:c>
      <x:c r="AG179" s="71" t="n">
        <x:v>179</x:v>
      </x:c>
      <x:c r="AH179" s="71" t="str">
        <x:v>2025年实际执行.xlsx/Sheet!179:179</x:v>
      </x:c>
      <x:c r="AI179" s="62" t="str">
        <x:f>IF(F179=MONTH(L179),"OK","FAIL")</x:f>
        <x:v>OK</x:v>
      </x:c>
      <x:c r="AJ179" s="62" t="str">
        <x:f>IF(J179&lt;=L179,"OK","FAIL")</x:f>
        <x:v>OK</x:v>
      </x:c>
      <x:c r="AK179" s="62" t="str">
        <x:f>IF(D179&lt;&gt;"营业收入","OK",IF(AND(P179&lt;0,Q179&gt;0),"OK","FAIL"))</x:f>
        <x:v>OK</x:v>
      </x:c>
      <x:c r="AL179" s="62" t="str">
        <x:f>IF(COUNTIF($A$2:$A$218,A179)=1,"OK","FAIL")</x:f>
        <x:v>OK</x:v>
      </x:c>
    </x:row>
    <x:row r="180" ht="23" customHeight="1">
      <x:c r="A180" s="62" t="str">
        <x:v>DEMO01|2025|DOC2178|10</x:v>
      </x:c>
      <x:c r="B180" s="62" t="str">
        <x:v>SOURCE</x:v>
      </x:c>
      <x:c r="C180" s="62" t="str">
        <x:v>办公费</x:v>
      </x:c>
      <x:c r="D180" s="62" t="str">
        <x:v>办公费</x:v>
      </x:c>
      <x:c r="E180" s="62" t="n">
        <x:v>4</x:v>
      </x:c>
      <x:c r="F180" s="62" t="n">
        <x:v>4</x:v>
      </x:c>
      <x:c r="G180" s="62" t="str">
        <x:v>DOC2178</x:v>
      </x:c>
      <x:c r="H180" s="62" t="n">
        <x:v>10</x:v>
      </x:c>
      <x:c r="I180" s="74" t="n">
        <x:v>45762</x:v>
      </x:c>
      <x:c r="J180" s="74" t="n">
        <x:v>45762</x:v>
      </x:c>
      <x:c r="K180" s="74" t="n">
        <x:v>45762</x:v>
      </x:c>
      <x:c r="L180" s="74" t="n">
        <x:v>45762</x:v>
      </x:c>
      <x:c r="M180" s="77" t="n">
        <x:v>0.5937</x:v>
      </x:c>
      <x:c r="N180" s="77"/>
      <x:c r="O180" s="78"/>
      <x:c r="P180" s="79" t="n">
        <x:f>M180</x:f>
        <x:v>0.5937</x:v>
      </x:c>
      <x:c r="Q180" s="79" t="n">
        <x:f>IF(D180="营业收入",-P180,P180)</x:f>
        <x:v>0.5937</x:v>
      </x:c>
      <x:c r="R180" s="62" t="str">
        <x:v>CNY</x:v>
      </x:c>
      <x:c r="S180" s="62" t="str">
        <x:v>万元</x:v>
      </x:c>
      <x:c r="T180" s="62" t="str">
        <x:v>费用不含税</x:v>
      </x:c>
      <x:c r="U180" s="62" t="str">
        <x:v>安全运行部</x:v>
      </x:c>
      <x:c r="V180" s="62" t="str">
        <x:v>安全评估日常办公</x:v>
      </x:c>
      <x:c r="W180" s="62" t="str">
        <x:v>安全评估日常办公</x:v>
      </x:c>
      <x:c r="X180" s="62" t="str">
        <x:v>中核运维</x:v>
      </x:c>
      <x:c r="Y180" s="62" t="str">
        <x:v>中核运维</x:v>
      </x:c>
      <x:c r="Z180" s="62" t="str">
        <x:v>17</x:v>
      </x:c>
      <x:c r="AA180" s="62" t="str">
        <x:v>安全评估</x:v>
      </x:c>
      <x:c r="AB180" s="62" t="str">
        <x:v>PRJ-AQ-安全-2025-003</x:v>
      </x:c>
      <x:c r="AC180" s="74" t="n">
        <x:v>46022</x:v>
      </x:c>
      <x:c r="AD180" s="71" t="str">
        <x:v>源记录保留</x:v>
      </x:c>
      <x:c r="AE180" s="71" t="str">
        <x:v>2025年实际执行.xlsx</x:v>
      </x:c>
      <x:c r="AF180" s="71" t="str">
        <x:v>Sheet</x:v>
      </x:c>
      <x:c r="AG180" s="71" t="n">
        <x:v>180</x:v>
      </x:c>
      <x:c r="AH180" s="71" t="str">
        <x:v>2025年实际执行.xlsx/Sheet!180:180</x:v>
      </x:c>
      <x:c r="AI180" s="62" t="str">
        <x:f>IF(F180=MONTH(L180),"OK","FAIL")</x:f>
        <x:v>OK</x:v>
      </x:c>
      <x:c r="AJ180" s="62" t="str">
        <x:f>IF(J180&lt;=L180,"OK","FAIL")</x:f>
        <x:v>OK</x:v>
      </x:c>
      <x:c r="AK180" s="62" t="str">
        <x:f>IF(D180&lt;&gt;"营业收入","OK",IF(AND(P180&lt;0,Q180&gt;0),"OK","FAIL"))</x:f>
        <x:v>OK</x:v>
      </x:c>
      <x:c r="AL180" s="62" t="str">
        <x:f>IF(COUNTIF($A$2:$A$218,A180)=1,"OK","FAIL")</x:f>
        <x:v>OK</x:v>
      </x:c>
    </x:row>
    <x:row r="181" ht="23" customHeight="1">
      <x:c r="A181" s="62" t="str">
        <x:v>DEMO01|2025|DOC2179|10</x:v>
      </x:c>
      <x:c r="B181" s="62" t="str">
        <x:v>CORRECTED</x:v>
      </x:c>
      <x:c r="C181" s="62" t="str">
        <x:v>交通运输费</x:v>
      </x:c>
      <x:c r="D181" s="62" t="str">
        <x:v>交通运输费</x:v>
      </x:c>
      <x:c r="E181" s="62" t="n">
        <x:v>4</x:v>
      </x:c>
      <x:c r="F181" s="62" t="n">
        <x:v>4</x:v>
      </x:c>
      <x:c r="G181" s="62" t="str">
        <x:v>DOC2179</x:v>
      </x:c>
      <x:c r="H181" s="62" t="n">
        <x:v>10</x:v>
      </x:c>
      <x:c r="I181" s="74" t="n">
        <x:v>45762</x:v>
      </x:c>
      <x:c r="J181" s="74" t="n">
        <x:v>45762</x:v>
      </x:c>
      <x:c r="K181" s="74" t="n">
        <x:v>45762</x:v>
      </x:c>
      <x:c r="L181" s="74" t="n">
        <x:v>45762</x:v>
      </x:c>
      <x:c r="M181" s="77" t="n">
        <x:v>0.9895</x:v>
      </x:c>
      <x:c r="N181" s="77"/>
      <x:c r="O181" s="78"/>
      <x:c r="P181" s="79" t="n">
        <x:f>M181</x:f>
        <x:v>0.9895</x:v>
      </x:c>
      <x:c r="Q181" s="79" t="n">
        <x:f>IF(D181="营业收入",-P181,P181)</x:f>
        <x:v>0.9895</x:v>
      </x:c>
      <x:c r="R181" s="62" t="str">
        <x:v>CNY</x:v>
      </x:c>
      <x:c r="S181" s="62" t="str">
        <x:v>万元</x:v>
      </x:c>
      <x:c r="T181" s="62" t="str">
        <x:v>费用不含税</x:v>
      </x:c>
      <x:c r="U181" s="62" t="str">
        <x:v>安全运行部</x:v>
      </x:c>
      <x:c r="V181" s="62" t="str">
        <x:v>安全评估材料运输</x:v>
      </x:c>
      <x:c r="W181" s="62" t="str">
        <x:v>安全评估材料运输</x:v>
      </x:c>
      <x:c r="X181" s="62" t="str">
        <x:v>中核运维</x:v>
      </x:c>
      <x:c r="Y181" s="62" t="str">
        <x:v>中核运维</x:v>
      </x:c>
      <x:c r="Z181" s="62" t="str">
        <x:v>17</x:v>
      </x:c>
      <x:c r="AA181" s="62" t="str">
        <x:v>安全评估</x:v>
      </x:c>
      <x:c r="AB181" s="62" t="str">
        <x:v>PRJ-AQ-安全-2025-003</x:v>
      </x:c>
      <x:c r="AC181" s="74" t="n">
        <x:v>46022</x:v>
      </x:c>
      <x:c r="AD181" s="71" t="str">
        <x:v>补凭证行号</x:v>
      </x:c>
      <x:c r="AE181" s="71" t="str">
        <x:v>2025年实际执行.xlsx</x:v>
      </x:c>
      <x:c r="AF181" s="71" t="str">
        <x:v>Sheet</x:v>
      </x:c>
      <x:c r="AG181" s="71" t="n">
        <x:v>181</x:v>
      </x:c>
      <x:c r="AH181" s="71" t="str">
        <x:v>2025年实际执行.xlsx/Sheet!181:181</x:v>
      </x:c>
      <x:c r="AI181" s="62" t="str">
        <x:f>IF(F181=MONTH(L181),"OK","FAIL")</x:f>
        <x:v>OK</x:v>
      </x:c>
      <x:c r="AJ181" s="62" t="str">
        <x:f>IF(J181&lt;=L181,"OK","FAIL")</x:f>
        <x:v>OK</x:v>
      </x:c>
      <x:c r="AK181" s="62" t="str">
        <x:f>IF(D181&lt;&gt;"营业收入","OK",IF(AND(P181&lt;0,Q181&gt;0),"OK","FAIL"))</x:f>
        <x:v>OK</x:v>
      </x:c>
      <x:c r="AL181" s="62" t="str">
        <x:f>IF(COUNTIF($A$2:$A$218,A181)=1,"OK","FAIL")</x:f>
        <x:v>OK</x:v>
      </x:c>
    </x:row>
    <x:row r="182" ht="23" customHeight="1">
      <x:c r="A182" s="62" t="str">
        <x:v>DEMO01|2025|DOC2180|10</x:v>
      </x:c>
      <x:c r="B182" s="62" t="str">
        <x:v>SOURCE</x:v>
      </x:c>
      <x:c r="C182" s="62" t="str">
        <x:v>人工成本</x:v>
      </x:c>
      <x:c r="D182" s="62" t="str">
        <x:v>人工成本</x:v>
      </x:c>
      <x:c r="E182" s="62" t="n">
        <x:v>6</x:v>
      </x:c>
      <x:c r="F182" s="62" t="n">
        <x:v>6</x:v>
      </x:c>
      <x:c r="G182" s="62" t="str">
        <x:v>DOC2180</x:v>
      </x:c>
      <x:c r="H182" s="62" t="n">
        <x:v>10</x:v>
      </x:c>
      <x:c r="I182" s="74" t="n">
        <x:v>45838</x:v>
      </x:c>
      <x:c r="J182" s="74" t="n">
        <x:v>45838</x:v>
      </x:c>
      <x:c r="K182" s="74" t="n">
        <x:v>45838</x:v>
      </x:c>
      <x:c r="L182" s="74" t="n">
        <x:v>45838</x:v>
      </x:c>
      <x:c r="M182" s="77" t="n">
        <x:v>5</x:v>
      </x:c>
      <x:c r="N182" s="77"/>
      <x:c r="O182" s="78"/>
      <x:c r="P182" s="79" t="n">
        <x:f>M182</x:f>
        <x:v>5</x:v>
      </x:c>
      <x:c r="Q182" s="79" t="n">
        <x:f>IF(D182="营业收入",-P182,P182)</x:f>
        <x:v>5</x:v>
      </x:c>
      <x:c r="R182" s="62" t="str">
        <x:v>CNY</x:v>
      </x:c>
      <x:c r="S182" s="62" t="str">
        <x:v>万元</x:v>
      </x:c>
      <x:c r="T182" s="62" t="str">
        <x:v>费用不含税</x:v>
      </x:c>
      <x:c r="U182" s="62" t="str">
        <x:v>安全运行部</x:v>
      </x:c>
      <x:c r="V182" s="62" t="str">
        <x:v>安全评估人工成本分摊</x:v>
      </x:c>
      <x:c r="W182" s="62" t="str">
        <x:v>安全评估人工成本分摊</x:v>
      </x:c>
      <x:c r="X182" s="62" t="str">
        <x:v>17</x:v>
      </x:c>
      <x:c r="Y182" s="62" t="str">
        <x:v>17</x:v>
      </x:c>
      <x:c r="Z182" s="62" t="str">
        <x:v>17</x:v>
      </x:c>
      <x:c r="AA182" s="62" t="str">
        <x:v>安全评估</x:v>
      </x:c>
      <x:c r="AB182" s="62" t="str">
        <x:v>PRJ-AQ-安全-2025-003</x:v>
      </x:c>
      <x:c r="AC182" s="74" t="n">
        <x:v>46022</x:v>
      </x:c>
      <x:c r="AD182" s="71" t="str">
        <x:v>源记录保留</x:v>
      </x:c>
      <x:c r="AE182" s="71" t="str">
        <x:v>2025年实际执行.xlsx</x:v>
      </x:c>
      <x:c r="AF182" s="71" t="str">
        <x:v>Sheet</x:v>
      </x:c>
      <x:c r="AG182" s="71" t="n">
        <x:v>182</x:v>
      </x:c>
      <x:c r="AH182" s="71" t="str">
        <x:v>2025年实际执行.xlsx/Sheet!182:182</x:v>
      </x:c>
      <x:c r="AI182" s="62" t="str">
        <x:f>IF(F182=MONTH(L182),"OK","FAIL")</x:f>
        <x:v>OK</x:v>
      </x:c>
      <x:c r="AJ182" s="62" t="str">
        <x:f>IF(J182&lt;=L182,"OK","FAIL")</x:f>
        <x:v>OK</x:v>
      </x:c>
      <x:c r="AK182" s="62" t="str">
        <x:f>IF(D182&lt;&gt;"营业收入","OK",IF(AND(P182&lt;0,Q182&gt;0),"OK","FAIL"))</x:f>
        <x:v>OK</x:v>
      </x:c>
      <x:c r="AL182" s="62" t="str">
        <x:f>IF(COUNTIF($A$2:$A$218,A182)=1,"OK","FAIL")</x:f>
        <x:v>OK</x:v>
      </x:c>
    </x:row>
    <x:row r="183" ht="23" customHeight="1">
      <x:c r="A183" s="62" t="str">
        <x:v>DEMO01|2025|DOC2181|10</x:v>
      </x:c>
      <x:c r="B183" s="62" t="str">
        <x:v>SOURCE</x:v>
      </x:c>
      <x:c r="C183" s="62" t="str">
        <x:v>折旧摊销</x:v>
      </x:c>
      <x:c r="D183" s="62" t="str">
        <x:v>折旧摊销</x:v>
      </x:c>
      <x:c r="E183" s="62" t="n">
        <x:v>12</x:v>
      </x:c>
      <x:c r="F183" s="62" t="n">
        <x:v>12</x:v>
      </x:c>
      <x:c r="G183" s="62" t="str">
        <x:v>DOC2181</x:v>
      </x:c>
      <x:c r="H183" s="62" t="n">
        <x:v>10</x:v>
      </x:c>
      <x:c r="I183" s="74" t="n">
        <x:v>46022</x:v>
      </x:c>
      <x:c r="J183" s="74" t="n">
        <x:v>46022</x:v>
      </x:c>
      <x:c r="K183" s="74" t="n">
        <x:v>46022</x:v>
      </x:c>
      <x:c r="L183" s="74" t="n">
        <x:v>46022</x:v>
      </x:c>
      <x:c r="M183" s="77" t="n">
        <x:v>1</x:v>
      </x:c>
      <x:c r="N183" s="77"/>
      <x:c r="O183" s="78"/>
      <x:c r="P183" s="79" t="n">
        <x:f>M183</x:f>
        <x:v>1</x:v>
      </x:c>
      <x:c r="Q183" s="79" t="n">
        <x:f>IF(D183="营业收入",-P183,P183)</x:f>
        <x:v>1</x:v>
      </x:c>
      <x:c r="R183" s="62" t="str">
        <x:v>CNY</x:v>
      </x:c>
      <x:c r="S183" s="62" t="str">
        <x:v>万元</x:v>
      </x:c>
      <x:c r="T183" s="62" t="str">
        <x:v>费用不含税</x:v>
      </x:c>
      <x:c r="U183" s="62" t="str">
        <x:v>安全运行部</x:v>
      </x:c>
      <x:c r="V183" s="62" t="str">
        <x:v>安全评估折旧摊销分摊</x:v>
      </x:c>
      <x:c r="W183" s="62" t="str">
        <x:v>安全评估折旧摊销分摊</x:v>
      </x:c>
      <x:c r="X183" s="62" t="str">
        <x:v>17</x:v>
      </x:c>
      <x:c r="Y183" s="62" t="str">
        <x:v>17</x:v>
      </x:c>
      <x:c r="Z183" s="62" t="str">
        <x:v>17</x:v>
      </x:c>
      <x:c r="AA183" s="62" t="str">
        <x:v>安全评估</x:v>
      </x:c>
      <x:c r="AB183" s="62" t="str">
        <x:v>PRJ-AQ-安全-2025-003</x:v>
      </x:c>
      <x:c r="AC183" s="74" t="n">
        <x:v>46022</x:v>
      </x:c>
      <x:c r="AD183" s="71" t="str">
        <x:v>源记录保留</x:v>
      </x:c>
      <x:c r="AE183" s="71" t="str">
        <x:v>2025年实际执行.xlsx</x:v>
      </x:c>
      <x:c r="AF183" s="71" t="str">
        <x:v>Sheet</x:v>
      </x:c>
      <x:c r="AG183" s="71" t="n">
        <x:v>183</x:v>
      </x:c>
      <x:c r="AH183" s="71" t="str">
        <x:v>2025年实际执行.xlsx/Sheet!183:183</x:v>
      </x:c>
      <x:c r="AI183" s="62" t="str">
        <x:f>IF(F183=MONTH(L183),"OK","FAIL")</x:f>
        <x:v>OK</x:v>
      </x:c>
      <x:c r="AJ183" s="62" t="str">
        <x:f>IF(J183&lt;=L183,"OK","FAIL")</x:f>
        <x:v>OK</x:v>
      </x:c>
      <x:c r="AK183" s="62" t="str">
        <x:f>IF(D183&lt;&gt;"营业收入","OK",IF(AND(P183&lt;0,Q183&gt;0),"OK","FAIL"))</x:f>
        <x:v>OK</x:v>
      </x:c>
      <x:c r="AL183" s="62" t="str">
        <x:f>IF(COUNTIF($A$2:$A$218,A183)=1,"OK","FAIL")</x:f>
        <x:v>OK</x:v>
      </x:c>
    </x:row>
    <x:row r="184" ht="23" customHeight="1">
      <x:c r="A184" s="62" t="str">
        <x:v>DEMO01|2025|DOC2005|20</x:v>
      </x:c>
      <x:c r="B184" s="62" t="str">
        <x:v>CORRECTED</x:v>
      </x:c>
      <x:c r="C184" s="62" t="str">
        <x:v>差旅费</x:v>
      </x:c>
      <x:c r="D184" s="62" t="str">
        <x:v>差旅费</x:v>
      </x:c>
      <x:c r="E184" s="62" t="n">
        <x:v>7</x:v>
      </x:c>
      <x:c r="F184" s="62" t="n">
        <x:v>7</x:v>
      </x:c>
      <x:c r="G184" s="62" t="str">
        <x:v>DOC2005</x:v>
      </x:c>
      <x:c r="H184" s="62" t="n">
        <x:v>20</x:v>
      </x:c>
      <x:c r="I184" s="74" t="n">
        <x:v>45853</x:v>
      </x:c>
      <x:c r="J184" s="74" t="n">
        <x:v>45853</x:v>
      </x:c>
      <x:c r="K184" s="74" t="n">
        <x:v>45853</x:v>
      </x:c>
      <x:c r="L184" s="74" t="n">
        <x:v>45853</x:v>
      </x:c>
      <x:c r="M184" s="77" t="n">
        <x:v>3.554</x:v>
      </x:c>
      <x:c r="N184" s="77"/>
      <x:c r="O184" s="78"/>
      <x:c r="P184" s="79" t="n">
        <x:f>M184</x:f>
        <x:v>3.554</x:v>
      </x:c>
      <x:c r="Q184" s="79" t="n">
        <x:f>IF(D184="营业收入",-P184,P184)</x:f>
        <x:v>3.554</x:v>
      </x:c>
      <x:c r="R184" s="62" t="str">
        <x:v>CNY</x:v>
      </x:c>
      <x:c r="S184" s="62" t="str">
        <x:v>万元</x:v>
      </x:c>
      <x:c r="T184" s="62" t="str">
        <x:v>费用不含税</x:v>
      </x:c>
      <x:c r="U184" s="62" t="str">
        <x:v>设备管理部</x:v>
      </x:c>
      <x:c r="V184" s="62" t="str">
        <x:v>设备维护材料运输</x:v>
      </x:c>
      <x:c r="W184" s="62" t="str">
        <x:v>设备维护项目差旅报销</x:v>
      </x:c>
      <x:c r="X184" s="62" t="str">
        <x:v>中核运维</x:v>
      </x:c>
      <x:c r="Y184" s="62" t="str">
        <x:v>中核运维</x:v>
      </x:c>
      <x:c r="Z184" s="62" t="str">
        <x:v>17</x:v>
      </x:c>
      <x:c r="AA184" s="62" t="str">
        <x:v>设备维护</x:v>
      </x:c>
      <x:c r="AB184" s="62" t="str">
        <x:v>PRJ-SB-设备-2024-001</x:v>
      </x:c>
      <x:c r="AC184" s="74" t="n">
        <x:v>46022</x:v>
      </x:c>
      <x:c r="AD184" s="71" t="str">
        <x:v>补凭证行号；差旅文本语义修正</x:v>
      </x:c>
      <x:c r="AE184" s="71" t="str">
        <x:v>2025年实际执行.xlsx</x:v>
      </x:c>
      <x:c r="AF184" s="71" t="str">
        <x:v>Sheet</x:v>
      </x:c>
      <x:c r="AG184" s="71" t="n">
        <x:v>184</x:v>
      </x:c>
      <x:c r="AH184" s="71" t="str">
        <x:v>2025年实际执行.xlsx/Sheet!184:184</x:v>
      </x:c>
      <x:c r="AI184" s="62" t="str">
        <x:f>IF(F184=MONTH(L184),"OK","FAIL")</x:f>
        <x:v>OK</x:v>
      </x:c>
      <x:c r="AJ184" s="62" t="str">
        <x:f>IF(J184&lt;=L184,"OK","FAIL")</x:f>
        <x:v>OK</x:v>
      </x:c>
      <x:c r="AK184" s="62" t="str">
        <x:f>IF(D184&lt;&gt;"营业收入","OK",IF(AND(P184&lt;0,Q184&gt;0),"OK","FAIL"))</x:f>
        <x:v>OK</x:v>
      </x:c>
      <x:c r="AL184" s="62" t="str">
        <x:f>IF(COUNTIF($A$2:$A$218,A184)=1,"OK","FAIL")</x:f>
        <x:v>OK</x:v>
      </x:c>
    </x:row>
    <x:row r="185" ht="23" customHeight="1">
      <x:c r="A185" s="62" t="str">
        <x:v>DEMO01|2025|DOC2014|20</x:v>
      </x:c>
      <x:c r="B185" s="62" t="str">
        <x:v>CORRECTED</x:v>
      </x:c>
      <x:c r="C185" s="62" t="str">
        <x:v>差旅费</x:v>
      </x:c>
      <x:c r="D185" s="62" t="str">
        <x:v>差旅费</x:v>
      </x:c>
      <x:c r="E185" s="62" t="n">
        <x:v>8</x:v>
      </x:c>
      <x:c r="F185" s="62" t="n">
        <x:v>8</x:v>
      </x:c>
      <x:c r="G185" s="62" t="str">
        <x:v>DOC2014</x:v>
      </x:c>
      <x:c r="H185" s="62" t="n">
        <x:v>20</x:v>
      </x:c>
      <x:c r="I185" s="74" t="n">
        <x:v>45884</x:v>
      </x:c>
      <x:c r="J185" s="74" t="n">
        <x:v>45884</x:v>
      </x:c>
      <x:c r="K185" s="74" t="n">
        <x:v>45884</x:v>
      </x:c>
      <x:c r="L185" s="74" t="n">
        <x:v>45884</x:v>
      </x:c>
      <x:c r="M185" s="77" t="n">
        <x:v>6</x:v>
      </x:c>
      <x:c r="N185" s="77"/>
      <x:c r="O185" s="78"/>
      <x:c r="P185" s="79" t="n">
        <x:f>M185</x:f>
        <x:v>6</x:v>
      </x:c>
      <x:c r="Q185" s="79" t="n">
        <x:f>IF(D185="营业收入",-P185,P185)</x:f>
        <x:v>6</x:v>
      </x:c>
      <x:c r="R185" s="62" t="str">
        <x:v>CNY</x:v>
      </x:c>
      <x:c r="S185" s="62" t="str">
        <x:v>万元</x:v>
      </x:c>
      <x:c r="T185" s="62" t="str">
        <x:v>费用不含税</x:v>
      </x:c>
      <x:c r="U185" s="62" t="str">
        <x:v>设备管理部</x:v>
      </x:c>
      <x:c r="V185" s="62" t="str">
        <x:v>设备维护材料运输</x:v>
      </x:c>
      <x:c r="W185" s="62" t="str">
        <x:v>设备维护项目差旅报销</x:v>
      </x:c>
      <x:c r="X185" s="62" t="str">
        <x:v>北京核工院</x:v>
      </x:c>
      <x:c r="Y185" s="62" t="str">
        <x:v>北京核工院</x:v>
      </x:c>
      <x:c r="Z185" s="62" t="str">
        <x:v>17</x:v>
      </x:c>
      <x:c r="AA185" s="62" t="str">
        <x:v>设备维护</x:v>
      </x:c>
      <x:c r="AB185" s="62" t="str">
        <x:v>PRJ-SB-设备-2025-002</x:v>
      </x:c>
      <x:c r="AC185" s="74" t="n">
        <x:v>46022</x:v>
      </x:c>
      <x:c r="AD185" s="71" t="str">
        <x:v>补凭证行号；差旅文本语义修正</x:v>
      </x:c>
      <x:c r="AE185" s="71" t="str">
        <x:v>2025年实际执行.xlsx</x:v>
      </x:c>
      <x:c r="AF185" s="71" t="str">
        <x:v>Sheet</x:v>
      </x:c>
      <x:c r="AG185" s="71" t="n">
        <x:v>185</x:v>
      </x:c>
      <x:c r="AH185" s="71" t="str">
        <x:v>2025年实际执行.xlsx/Sheet!185:185</x:v>
      </x:c>
      <x:c r="AI185" s="62" t="str">
        <x:f>IF(F185=MONTH(L185),"OK","FAIL")</x:f>
        <x:v>OK</x:v>
      </x:c>
      <x:c r="AJ185" s="62" t="str">
        <x:f>IF(J185&lt;=L185,"OK","FAIL")</x:f>
        <x:v>OK</x:v>
      </x:c>
      <x:c r="AK185" s="62" t="str">
        <x:f>IF(D185&lt;&gt;"营业收入","OK",IF(AND(P185&lt;0,Q185&gt;0),"OK","FAIL"))</x:f>
        <x:v>OK</x:v>
      </x:c>
      <x:c r="AL185" s="62" t="str">
        <x:f>IF(COUNTIF($A$2:$A$218,A185)=1,"OK","FAIL")</x:f>
        <x:v>OK</x:v>
      </x:c>
    </x:row>
    <x:row r="186" ht="23" customHeight="1">
      <x:c r="A186" s="62" t="str">
        <x:v>DEMO01|2025|DOC2023|20</x:v>
      </x:c>
      <x:c r="B186" s="62" t="str">
        <x:v>CORRECTED</x:v>
      </x:c>
      <x:c r="C186" s="62" t="str">
        <x:v>差旅费</x:v>
      </x:c>
      <x:c r="D186" s="62" t="str">
        <x:v>差旅费</x:v>
      </x:c>
      <x:c r="E186" s="62" t="n">
        <x:v>9</x:v>
      </x:c>
      <x:c r="F186" s="62" t="n">
        <x:v>9</x:v>
      </x:c>
      <x:c r="G186" s="62" t="str">
        <x:v>DOC2023</x:v>
      </x:c>
      <x:c r="H186" s="62" t="n">
        <x:v>20</x:v>
      </x:c>
      <x:c r="I186" s="74" t="n">
        <x:v>45915</x:v>
      </x:c>
      <x:c r="J186" s="74" t="n">
        <x:v>45915</x:v>
      </x:c>
      <x:c r="K186" s="74" t="n">
        <x:v>45915</x:v>
      </x:c>
      <x:c r="L186" s="74" t="n">
        <x:v>45915</x:v>
      </x:c>
      <x:c r="M186" s="77" t="n">
        <x:v>8</x:v>
      </x:c>
      <x:c r="N186" s="77"/>
      <x:c r="O186" s="78"/>
      <x:c r="P186" s="79" t="n">
        <x:f>M186</x:f>
        <x:v>8</x:v>
      </x:c>
      <x:c r="Q186" s="79" t="n">
        <x:f>IF(D186="营业收入",-P186,P186)</x:f>
        <x:v>8</x:v>
      </x:c>
      <x:c r="R186" s="62" t="str">
        <x:v>CNY</x:v>
      </x:c>
      <x:c r="S186" s="62" t="str">
        <x:v>万元</x:v>
      </x:c>
      <x:c r="T186" s="62" t="str">
        <x:v>费用不含税</x:v>
      </x:c>
      <x:c r="U186" s="62" t="str">
        <x:v>设备管理部</x:v>
      </x:c>
      <x:c r="V186" s="62" t="str">
        <x:v>设备维护材料运输</x:v>
      </x:c>
      <x:c r="W186" s="62" t="str">
        <x:v>设备维护项目差旅报销</x:v>
      </x:c>
      <x:c r="X186" s="62" t="str">
        <x:v>上海电气</x:v>
      </x:c>
      <x:c r="Y186" s="62" t="str">
        <x:v>上海电气</x:v>
      </x:c>
      <x:c r="Z186" s="62" t="str">
        <x:v>17</x:v>
      </x:c>
      <x:c r="AA186" s="62" t="str">
        <x:v>设备维护</x:v>
      </x:c>
      <x:c r="AB186" s="62" t="str">
        <x:v>PRJ-SB-设备-2025-003</x:v>
      </x:c>
      <x:c r="AC186" s="74" t="n">
        <x:v>46022</x:v>
      </x:c>
      <x:c r="AD186" s="71" t="str">
        <x:v>补凭证行号；差旅文本语义修正</x:v>
      </x:c>
      <x:c r="AE186" s="71" t="str">
        <x:v>2025年实际执行.xlsx</x:v>
      </x:c>
      <x:c r="AF186" s="71" t="str">
        <x:v>Sheet</x:v>
      </x:c>
      <x:c r="AG186" s="71" t="n">
        <x:v>186</x:v>
      </x:c>
      <x:c r="AH186" s="71" t="str">
        <x:v>2025年实际执行.xlsx/Sheet!186:186</x:v>
      </x:c>
      <x:c r="AI186" s="62" t="str">
        <x:f>IF(F186=MONTH(L186),"OK","FAIL")</x:f>
        <x:v>OK</x:v>
      </x:c>
      <x:c r="AJ186" s="62" t="str">
        <x:f>IF(J186&lt;=L186,"OK","FAIL")</x:f>
        <x:v>OK</x:v>
      </x:c>
      <x:c r="AK186" s="62" t="str">
        <x:f>IF(D186&lt;&gt;"营业收入","OK",IF(AND(P186&lt;0,Q186&gt;0),"OK","FAIL"))</x:f>
        <x:v>OK</x:v>
      </x:c>
      <x:c r="AL186" s="62" t="str">
        <x:f>IF(COUNTIF($A$2:$A$218,A186)=1,"OK","FAIL")</x:f>
        <x:v>OK</x:v>
      </x:c>
    </x:row>
    <x:row r="187" ht="23" customHeight="1">
      <x:c r="A187" s="62" t="str">
        <x:v>DEMO01|2025|DOC2031|20</x:v>
      </x:c>
      <x:c r="B187" s="62" t="str">
        <x:v>CORRECTED</x:v>
      </x:c>
      <x:c r="C187" s="62" t="str">
        <x:v>差旅费</x:v>
      </x:c>
      <x:c r="D187" s="62" t="str">
        <x:v>差旅费</x:v>
      </x:c>
      <x:c r="E187" s="62" t="n">
        <x:v>7</x:v>
      </x:c>
      <x:c r="F187" s="62" t="n">
        <x:v>7</x:v>
      </x:c>
      <x:c r="G187" s="62" t="str">
        <x:v>DOC2031</x:v>
      </x:c>
      <x:c r="H187" s="62" t="n">
        <x:v>20</x:v>
      </x:c>
      <x:c r="I187" s="74" t="n">
        <x:v>45853</x:v>
      </x:c>
      <x:c r="J187" s="74" t="n">
        <x:v>45853</x:v>
      </x:c>
      <x:c r="K187" s="74" t="n">
        <x:v>45853</x:v>
      </x:c>
      <x:c r="L187" s="74" t="n">
        <x:v>45853</x:v>
      </x:c>
      <x:c r="M187" s="77" t="n">
        <x:v>3</x:v>
      </x:c>
      <x:c r="N187" s="77"/>
      <x:c r="O187" s="78"/>
      <x:c r="P187" s="79" t="n">
        <x:f>M187</x:f>
        <x:v>3</x:v>
      </x:c>
      <x:c r="Q187" s="79" t="n">
        <x:f>IF(D187="营业收入",-P187,P187)</x:f>
        <x:v>3</x:v>
      </x:c>
      <x:c r="R187" s="62" t="str">
        <x:v>CNY</x:v>
      </x:c>
      <x:c r="S187" s="62" t="str">
        <x:v>万元</x:v>
      </x:c>
      <x:c r="T187" s="62" t="str">
        <x:v>费用不含税</x:v>
      </x:c>
      <x:c r="U187" s="62" t="str">
        <x:v>技术部</x:v>
      </x:c>
      <x:c r="V187" s="62" t="str">
        <x:v>热能动力研究材料运输</x:v>
      </x:c>
      <x:c r="W187" s="62" t="str">
        <x:v>热能动力研究项目差旅报销</x:v>
      </x:c>
      <x:c r="X187" s="62" t="str">
        <x:v>中核运维</x:v>
      </x:c>
      <x:c r="Y187" s="62" t="str">
        <x:v>中核运维</x:v>
      </x:c>
      <x:c r="Z187" s="62" t="str">
        <x:v>17</x:v>
      </x:c>
      <x:c r="AA187" s="62" t="str">
        <x:v>热能动力研究</x:v>
      </x:c>
      <x:c r="AB187" s="62" t="str">
        <x:v>PRJ-JS-热能-2024-001</x:v>
      </x:c>
      <x:c r="AC187" s="74" t="n">
        <x:v>46022</x:v>
      </x:c>
      <x:c r="AD187" s="71" t="str">
        <x:v>补凭证行号；差旅文本语义修正</x:v>
      </x:c>
      <x:c r="AE187" s="71" t="str">
        <x:v>2025年实际执行.xlsx</x:v>
      </x:c>
      <x:c r="AF187" s="71" t="str">
        <x:v>Sheet</x:v>
      </x:c>
      <x:c r="AG187" s="71" t="n">
        <x:v>187</x:v>
      </x:c>
      <x:c r="AH187" s="71" t="str">
        <x:v>2025年实际执行.xlsx/Sheet!187:187</x:v>
      </x:c>
      <x:c r="AI187" s="62" t="str">
        <x:f>IF(F187=MONTH(L187),"OK","FAIL")</x:f>
        <x:v>OK</x:v>
      </x:c>
      <x:c r="AJ187" s="62" t="str">
        <x:f>IF(J187&lt;=L187,"OK","FAIL")</x:f>
        <x:v>OK</x:v>
      </x:c>
      <x:c r="AK187" s="62" t="str">
        <x:f>IF(D187&lt;&gt;"营业收入","OK",IF(AND(P187&lt;0,Q187&gt;0),"OK","FAIL"))</x:f>
        <x:v>OK</x:v>
      </x:c>
      <x:c r="AL187" s="62" t="str">
        <x:f>IF(COUNTIF($A$2:$A$218,A187)=1,"OK","FAIL")</x:f>
        <x:v>OK</x:v>
      </x:c>
    </x:row>
    <x:row r="188" ht="23" customHeight="1">
      <x:c r="A188" s="62" t="str">
        <x:v>DEMO01|2025|DOC2040|20</x:v>
      </x:c>
      <x:c r="B188" s="62" t="str">
        <x:v>CORRECTED</x:v>
      </x:c>
      <x:c r="C188" s="62" t="str">
        <x:v>差旅费</x:v>
      </x:c>
      <x:c r="D188" s="62" t="str">
        <x:v>差旅费</x:v>
      </x:c>
      <x:c r="E188" s="62" t="n">
        <x:v>3</x:v>
      </x:c>
      <x:c r="F188" s="62" t="n">
        <x:v>3</x:v>
      </x:c>
      <x:c r="G188" s="62" t="str">
        <x:v>DOC2040</x:v>
      </x:c>
      <x:c r="H188" s="62" t="n">
        <x:v>20</x:v>
      </x:c>
      <x:c r="I188" s="74" t="n">
        <x:v>45731</x:v>
      </x:c>
      <x:c r="J188" s="74" t="n">
        <x:v>45731</x:v>
      </x:c>
      <x:c r="K188" s="74" t="n">
        <x:v>45731</x:v>
      </x:c>
      <x:c r="L188" s="74" t="n">
        <x:v>45731</x:v>
      </x:c>
      <x:c r="M188" s="77" t="n">
        <x:v>6</x:v>
      </x:c>
      <x:c r="N188" s="77"/>
      <x:c r="O188" s="78"/>
      <x:c r="P188" s="79" t="n">
        <x:f>M188</x:f>
        <x:v>6</x:v>
      </x:c>
      <x:c r="Q188" s="79" t="n">
        <x:f>IF(D188="营业收入",-P188,P188)</x:f>
        <x:v>6</x:v>
      </x:c>
      <x:c r="R188" s="62" t="str">
        <x:v>CNY</x:v>
      </x:c>
      <x:c r="S188" s="62" t="str">
        <x:v>万元</x:v>
      </x:c>
      <x:c r="T188" s="62" t="str">
        <x:v>费用不含税</x:v>
      </x:c>
      <x:c r="U188" s="62" t="str">
        <x:v>技术部</x:v>
      </x:c>
      <x:c r="V188" s="62" t="str">
        <x:v>热能动力研究材料运输</x:v>
      </x:c>
      <x:c r="W188" s="62" t="str">
        <x:v>热能动力研究项目差旅报销</x:v>
      </x:c>
      <x:c r="X188" s="62" t="str">
        <x:v>中核运维</x:v>
      </x:c>
      <x:c r="Y188" s="62" t="str">
        <x:v>中核运维</x:v>
      </x:c>
      <x:c r="Z188" s="62" t="str">
        <x:v>17</x:v>
      </x:c>
      <x:c r="AA188" s="62" t="str">
        <x:v>热能动力研究</x:v>
      </x:c>
      <x:c r="AB188" s="62" t="str">
        <x:v>PRJ-JS-热能-2025-002</x:v>
      </x:c>
      <x:c r="AC188" s="74" t="n">
        <x:v>46022</x:v>
      </x:c>
      <x:c r="AD188" s="71" t="str">
        <x:v>补凭证行号；差旅文本语义修正</x:v>
      </x:c>
      <x:c r="AE188" s="71" t="str">
        <x:v>2025年实际执行.xlsx</x:v>
      </x:c>
      <x:c r="AF188" s="71" t="str">
        <x:v>Sheet</x:v>
      </x:c>
      <x:c r="AG188" s="71" t="n">
        <x:v>188</x:v>
      </x:c>
      <x:c r="AH188" s="71" t="str">
        <x:v>2025年实际执行.xlsx/Sheet!188:188</x:v>
      </x:c>
      <x:c r="AI188" s="62" t="str">
        <x:f>IF(F188=MONTH(L188),"OK","FAIL")</x:f>
        <x:v>OK</x:v>
      </x:c>
      <x:c r="AJ188" s="62" t="str">
        <x:f>IF(J188&lt;=L188,"OK","FAIL")</x:f>
        <x:v>OK</x:v>
      </x:c>
      <x:c r="AK188" s="62" t="str">
        <x:f>IF(D188&lt;&gt;"营业收入","OK",IF(AND(P188&lt;0,Q188&gt;0),"OK","FAIL"))</x:f>
        <x:v>OK</x:v>
      </x:c>
      <x:c r="AL188" s="62" t="str">
        <x:f>IF(COUNTIF($A$2:$A$218,A188)=1,"OK","FAIL")</x:f>
        <x:v>OK</x:v>
      </x:c>
    </x:row>
    <x:row r="189" ht="23" customHeight="1">
      <x:c r="A189" s="62" t="str">
        <x:v>DEMO01|2025|DOC2049|20</x:v>
      </x:c>
      <x:c r="B189" s="62" t="str">
        <x:v>CORRECTED</x:v>
      </x:c>
      <x:c r="C189" s="62" t="str">
        <x:v>差旅费</x:v>
      </x:c>
      <x:c r="D189" s="62" t="str">
        <x:v>差旅费</x:v>
      </x:c>
      <x:c r="E189" s="62" t="n">
        <x:v>5</x:v>
      </x:c>
      <x:c r="F189" s="62" t="n">
        <x:v>5</x:v>
      </x:c>
      <x:c r="G189" s="62" t="str">
        <x:v>DOC2049</x:v>
      </x:c>
      <x:c r="H189" s="62" t="n">
        <x:v>20</x:v>
      </x:c>
      <x:c r="I189" s="74" t="n">
        <x:v>45792</x:v>
      </x:c>
      <x:c r="J189" s="74" t="n">
        <x:v>45792</x:v>
      </x:c>
      <x:c r="K189" s="74" t="n">
        <x:v>45792</x:v>
      </x:c>
      <x:c r="L189" s="74" t="n">
        <x:v>45792</x:v>
      </x:c>
      <x:c r="M189" s="77" t="n">
        <x:v>1</x:v>
      </x:c>
      <x:c r="N189" s="77"/>
      <x:c r="O189" s="78"/>
      <x:c r="P189" s="79" t="n">
        <x:f>M189</x:f>
        <x:v>1</x:v>
      </x:c>
      <x:c r="Q189" s="79" t="n">
        <x:f>IF(D189="营业收入",-P189,P189)</x:f>
        <x:v>1</x:v>
      </x:c>
      <x:c r="R189" s="62" t="str">
        <x:v>CNY</x:v>
      </x:c>
      <x:c r="S189" s="62" t="str">
        <x:v>万元</x:v>
      </x:c>
      <x:c r="T189" s="62" t="str">
        <x:v>费用不含税</x:v>
      </x:c>
      <x:c r="U189" s="62" t="str">
        <x:v>技术部</x:v>
      </x:c>
      <x:c r="V189" s="62" t="str">
        <x:v>热能动力研究材料运输</x:v>
      </x:c>
      <x:c r="W189" s="62" t="str">
        <x:v>热能动力研究项目差旅报销</x:v>
      </x:c>
      <x:c r="X189" s="62" t="str">
        <x:v>北京核工院</x:v>
      </x:c>
      <x:c r="Y189" s="62" t="str">
        <x:v>北京核工院</x:v>
      </x:c>
      <x:c r="Z189" s="62" t="str">
        <x:v>17</x:v>
      </x:c>
      <x:c r="AA189" s="62" t="str">
        <x:v>热能动力研究</x:v>
      </x:c>
      <x:c r="AB189" s="62" t="str">
        <x:v>PRJ-JS-热能-2025-003</x:v>
      </x:c>
      <x:c r="AC189" s="74" t="n">
        <x:v>46022</x:v>
      </x:c>
      <x:c r="AD189" s="71" t="str">
        <x:v>补凭证行号；差旅文本语义修正</x:v>
      </x:c>
      <x:c r="AE189" s="71" t="str">
        <x:v>2025年实际执行.xlsx</x:v>
      </x:c>
      <x:c r="AF189" s="71" t="str">
        <x:v>Sheet</x:v>
      </x:c>
      <x:c r="AG189" s="71" t="n">
        <x:v>189</x:v>
      </x:c>
      <x:c r="AH189" s="71" t="str">
        <x:v>2025年实际执行.xlsx/Sheet!189:189</x:v>
      </x:c>
      <x:c r="AI189" s="62" t="str">
        <x:f>IF(F189=MONTH(L189),"OK","FAIL")</x:f>
        <x:v>OK</x:v>
      </x:c>
      <x:c r="AJ189" s="62" t="str">
        <x:f>IF(J189&lt;=L189,"OK","FAIL")</x:f>
        <x:v>OK</x:v>
      </x:c>
      <x:c r="AK189" s="62" t="str">
        <x:f>IF(D189&lt;&gt;"营业收入","OK",IF(AND(P189&lt;0,Q189&gt;0),"OK","FAIL"))</x:f>
        <x:v>OK</x:v>
      </x:c>
      <x:c r="AL189" s="62" t="str">
        <x:f>IF(COUNTIF($A$2:$A$218,A189)=1,"OK","FAIL")</x:f>
        <x:v>OK</x:v>
      </x:c>
    </x:row>
    <x:row r="190" ht="23" customHeight="1">
      <x:c r="A190" s="62" t="str">
        <x:v>DEMO01|2025|DOC2057|20</x:v>
      </x:c>
      <x:c r="B190" s="62" t="str">
        <x:v>CORRECTED</x:v>
      </x:c>
      <x:c r="C190" s="62" t="str">
        <x:v>差旅费</x:v>
      </x:c>
      <x:c r="D190" s="62" t="str">
        <x:v>差旅费</x:v>
      </x:c>
      <x:c r="E190" s="62" t="n">
        <x:v>11</x:v>
      </x:c>
      <x:c r="F190" s="62" t="n">
        <x:v>11</x:v>
      </x:c>
      <x:c r="G190" s="62" t="str">
        <x:v>DOC2057</x:v>
      </x:c>
      <x:c r="H190" s="62" t="n">
        <x:v>20</x:v>
      </x:c>
      <x:c r="I190" s="74" t="n">
        <x:v>45976</x:v>
      </x:c>
      <x:c r="J190" s="74" t="n">
        <x:v>45976</x:v>
      </x:c>
      <x:c r="K190" s="74" t="n">
        <x:v>45976</x:v>
      </x:c>
      <x:c r="L190" s="74" t="n">
        <x:v>45976</x:v>
      </x:c>
      <x:c r="M190" s="77" t="n">
        <x:v>9</x:v>
      </x:c>
      <x:c r="N190" s="77"/>
      <x:c r="O190" s="78"/>
      <x:c r="P190" s="79" t="n">
        <x:f>M190</x:f>
        <x:v>9</x:v>
      </x:c>
      <x:c r="Q190" s="79" t="n">
        <x:f>IF(D190="营业收入",-P190,P190)</x:f>
        <x:v>9</x:v>
      </x:c>
      <x:c r="R190" s="62" t="str">
        <x:v>CNY</x:v>
      </x:c>
      <x:c r="S190" s="62" t="str">
        <x:v>万元</x:v>
      </x:c>
      <x:c r="T190" s="62" t="str">
        <x:v>费用不含税</x:v>
      </x:c>
      <x:c r="U190" s="62" t="str">
        <x:v>技术部</x:v>
      </x:c>
      <x:c r="V190" s="62" t="str">
        <x:v>经验反馈改进材料运输</x:v>
      </x:c>
      <x:c r="W190" s="62" t="str">
        <x:v>经验反馈改进项目差旅报销</x:v>
      </x:c>
      <x:c r="X190" s="62" t="str">
        <x:v>华能服务</x:v>
      </x:c>
      <x:c r="Y190" s="62" t="str">
        <x:v>华能服务</x:v>
      </x:c>
      <x:c r="Z190" s="62" t="str">
        <x:v>17</x:v>
      </x:c>
      <x:c r="AA190" s="62" t="str">
        <x:v>经验反馈改进</x:v>
      </x:c>
      <x:c r="AB190" s="62" t="str">
        <x:v>PRJ-JS-经验-2024-001</x:v>
      </x:c>
      <x:c r="AC190" s="74" t="n">
        <x:v>46022</x:v>
      </x:c>
      <x:c r="AD190" s="71" t="str">
        <x:v>补凭证行号；差旅文本语义修正</x:v>
      </x:c>
      <x:c r="AE190" s="71" t="str">
        <x:v>2025年实际执行.xlsx</x:v>
      </x:c>
      <x:c r="AF190" s="71" t="str">
        <x:v>Sheet</x:v>
      </x:c>
      <x:c r="AG190" s="71" t="n">
        <x:v>190</x:v>
      </x:c>
      <x:c r="AH190" s="71" t="str">
        <x:v>2025年实际执行.xlsx/Sheet!190:190</x:v>
      </x:c>
      <x:c r="AI190" s="62" t="str">
        <x:f>IF(F190=MONTH(L190),"OK","FAIL")</x:f>
        <x:v>OK</x:v>
      </x:c>
      <x:c r="AJ190" s="62" t="str">
        <x:f>IF(J190&lt;=L190,"OK","FAIL")</x:f>
        <x:v>OK</x:v>
      </x:c>
      <x:c r="AK190" s="62" t="str">
        <x:f>IF(D190&lt;&gt;"营业收入","OK",IF(AND(P190&lt;0,Q190&gt;0),"OK","FAIL"))</x:f>
        <x:v>OK</x:v>
      </x:c>
      <x:c r="AL190" s="62" t="str">
        <x:f>IF(COUNTIF($A$2:$A$218,A190)=1,"OK","FAIL")</x:f>
        <x:v>OK</x:v>
      </x:c>
    </x:row>
    <x:row r="191" ht="23" customHeight="1">
      <x:c r="A191" s="62" t="str">
        <x:v>DEMO01|2025|DOC2066|20</x:v>
      </x:c>
      <x:c r="B191" s="62" t="str">
        <x:v>CORRECTED</x:v>
      </x:c>
      <x:c r="C191" s="62" t="str">
        <x:v>差旅费</x:v>
      </x:c>
      <x:c r="D191" s="62" t="str">
        <x:v>差旅费</x:v>
      </x:c>
      <x:c r="E191" s="62" t="n">
        <x:v>12</x:v>
      </x:c>
      <x:c r="F191" s="62" t="n">
        <x:v>12</x:v>
      </x:c>
      <x:c r="G191" s="62" t="str">
        <x:v>DOC2066</x:v>
      </x:c>
      <x:c r="H191" s="62" t="n">
        <x:v>20</x:v>
      </x:c>
      <x:c r="I191" s="74" t="n">
        <x:v>46006</x:v>
      </x:c>
      <x:c r="J191" s="74" t="n">
        <x:v>46006</x:v>
      </x:c>
      <x:c r="K191" s="74" t="n">
        <x:v>46006</x:v>
      </x:c>
      <x:c r="L191" s="74" t="n">
        <x:v>46006</x:v>
      </x:c>
      <x:c r="M191" s="77" t="n">
        <x:v>5</x:v>
      </x:c>
      <x:c r="N191" s="77"/>
      <x:c r="O191" s="78"/>
      <x:c r="P191" s="79" t="n">
        <x:f>M191</x:f>
        <x:v>5</x:v>
      </x:c>
      <x:c r="Q191" s="79" t="n">
        <x:f>IF(D191="营业收入",-P191,P191)</x:f>
        <x:v>5</x:v>
      </x:c>
      <x:c r="R191" s="62" t="str">
        <x:v>CNY</x:v>
      </x:c>
      <x:c r="S191" s="62" t="str">
        <x:v>万元</x:v>
      </x:c>
      <x:c r="T191" s="62" t="str">
        <x:v>费用不含税</x:v>
      </x:c>
      <x:c r="U191" s="62" t="str">
        <x:v>技术部</x:v>
      </x:c>
      <x:c r="V191" s="62" t="str">
        <x:v>经验反馈改进材料运输</x:v>
      </x:c>
      <x:c r="W191" s="62" t="str">
        <x:v>经验反馈改进项目差旅报销</x:v>
      </x:c>
      <x:c r="X191" s="62" t="str">
        <x:v>华能服务</x:v>
      </x:c>
      <x:c r="Y191" s="62" t="str">
        <x:v>华能服务</x:v>
      </x:c>
      <x:c r="Z191" s="62" t="str">
        <x:v>17</x:v>
      </x:c>
      <x:c r="AA191" s="62" t="str">
        <x:v>经验反馈改进</x:v>
      </x:c>
      <x:c r="AB191" s="62" t="str">
        <x:v>PRJ-JS-经验-2025-002</x:v>
      </x:c>
      <x:c r="AC191" s="74" t="n">
        <x:v>46022</x:v>
      </x:c>
      <x:c r="AD191" s="71" t="str">
        <x:v>补凭证行号；差旅文本语义修正</x:v>
      </x:c>
      <x:c r="AE191" s="71" t="str">
        <x:v>2025年实际执行.xlsx</x:v>
      </x:c>
      <x:c r="AF191" s="71" t="str">
        <x:v>Sheet</x:v>
      </x:c>
      <x:c r="AG191" s="71" t="n">
        <x:v>191</x:v>
      </x:c>
      <x:c r="AH191" s="71" t="str">
        <x:v>2025年实际执行.xlsx/Sheet!191:191</x:v>
      </x:c>
      <x:c r="AI191" s="62" t="str">
        <x:f>IF(F191=MONTH(L191),"OK","FAIL")</x:f>
        <x:v>OK</x:v>
      </x:c>
      <x:c r="AJ191" s="62" t="str">
        <x:f>IF(J191&lt;=L191,"OK","FAIL")</x:f>
        <x:v>OK</x:v>
      </x:c>
      <x:c r="AK191" s="62" t="str">
        <x:f>IF(D191&lt;&gt;"营业收入","OK",IF(AND(P191&lt;0,Q191&gt;0),"OK","FAIL"))</x:f>
        <x:v>OK</x:v>
      </x:c>
      <x:c r="AL191" s="62" t="str">
        <x:f>IF(COUNTIF($A$2:$A$218,A191)=1,"OK","FAIL")</x:f>
        <x:v>OK</x:v>
      </x:c>
    </x:row>
    <x:row r="192" ht="23" customHeight="1">
      <x:c r="A192" s="62" t="str">
        <x:v>DEMO01|2025|DOC2075|20</x:v>
      </x:c>
      <x:c r="B192" s="62" t="str">
        <x:v>CORRECTED</x:v>
      </x:c>
      <x:c r="C192" s="62" t="str">
        <x:v>差旅费</x:v>
      </x:c>
      <x:c r="D192" s="62" t="str">
        <x:v>差旅费</x:v>
      </x:c>
      <x:c r="E192" s="62" t="n">
        <x:v>4</x:v>
      </x:c>
      <x:c r="F192" s="62" t="n">
        <x:v>4</x:v>
      </x:c>
      <x:c r="G192" s="62" t="str">
        <x:v>DOC2075</x:v>
      </x:c>
      <x:c r="H192" s="62" t="n">
        <x:v>20</x:v>
      </x:c>
      <x:c r="I192" s="74" t="n">
        <x:v>45762</x:v>
      </x:c>
      <x:c r="J192" s="74" t="n">
        <x:v>45762</x:v>
      </x:c>
      <x:c r="K192" s="74" t="n">
        <x:v>45762</x:v>
      </x:c>
      <x:c r="L192" s="74" t="n">
        <x:v>45762</x:v>
      </x:c>
      <x:c r="M192" s="77" t="n">
        <x:v>3</x:v>
      </x:c>
      <x:c r="N192" s="77"/>
      <x:c r="O192" s="78"/>
      <x:c r="P192" s="79" t="n">
        <x:f>M192</x:f>
        <x:v>3</x:v>
      </x:c>
      <x:c r="Q192" s="79" t="n">
        <x:f>IF(D192="营业收入",-P192,P192)</x:f>
        <x:v>3</x:v>
      </x:c>
      <x:c r="R192" s="62" t="str">
        <x:v>CNY</x:v>
      </x:c>
      <x:c r="S192" s="62" t="str">
        <x:v>万元</x:v>
      </x:c>
      <x:c r="T192" s="62" t="str">
        <x:v>费用不含税</x:v>
      </x:c>
      <x:c r="U192" s="62" t="str">
        <x:v>技术部</x:v>
      </x:c>
      <x:c r="V192" s="62" t="str">
        <x:v>经验反馈改进材料运输</x:v>
      </x:c>
      <x:c r="W192" s="62" t="str">
        <x:v>经验反馈改进项目差旅报销</x:v>
      </x:c>
      <x:c r="X192" s="62" t="str">
        <x:v>国电智深</x:v>
      </x:c>
      <x:c r="Y192" s="62" t="str">
        <x:v>国电智深</x:v>
      </x:c>
      <x:c r="Z192" s="62" t="str">
        <x:v>17</x:v>
      </x:c>
      <x:c r="AA192" s="62" t="str">
        <x:v>经验反馈改进</x:v>
      </x:c>
      <x:c r="AB192" s="62" t="str">
        <x:v>PRJ-JS-经验-2025-003</x:v>
      </x:c>
      <x:c r="AC192" s="74" t="n">
        <x:v>46022</x:v>
      </x:c>
      <x:c r="AD192" s="71" t="str">
        <x:v>补凭证行号；差旅文本语义修正</x:v>
      </x:c>
      <x:c r="AE192" s="71" t="str">
        <x:v>2025年实际执行.xlsx</x:v>
      </x:c>
      <x:c r="AF192" s="71" t="str">
        <x:v>Sheet</x:v>
      </x:c>
      <x:c r="AG192" s="71" t="n">
        <x:v>192</x:v>
      </x:c>
      <x:c r="AH192" s="71" t="str">
        <x:v>2025年实际执行.xlsx/Sheet!192:192</x:v>
      </x:c>
      <x:c r="AI192" s="62" t="str">
        <x:f>IF(F192=MONTH(L192),"OK","FAIL")</x:f>
        <x:v>OK</x:v>
      </x:c>
      <x:c r="AJ192" s="62" t="str">
        <x:f>IF(J192&lt;=L192,"OK","FAIL")</x:f>
        <x:v>OK</x:v>
      </x:c>
      <x:c r="AK192" s="62" t="str">
        <x:f>IF(D192&lt;&gt;"营业收入","OK",IF(AND(P192&lt;0,Q192&gt;0),"OK","FAIL"))</x:f>
        <x:v>OK</x:v>
      </x:c>
      <x:c r="AL192" s="62" t="str">
        <x:f>IF(COUNTIF($A$2:$A$218,A192)=1,"OK","FAIL")</x:f>
        <x:v>OK</x:v>
      </x:c>
    </x:row>
    <x:row r="193" ht="23" customHeight="1">
      <x:c r="A193" s="62" t="str">
        <x:v>DEMO01|2025|DOC2083|20</x:v>
      </x:c>
      <x:c r="B193" s="62" t="str">
        <x:v>CORRECTED</x:v>
      </x:c>
      <x:c r="C193" s="62" t="str">
        <x:v>差旅费</x:v>
      </x:c>
      <x:c r="D193" s="62" t="str">
        <x:v>差旅费</x:v>
      </x:c>
      <x:c r="E193" s="62" t="n">
        <x:v>1</x:v>
      </x:c>
      <x:c r="F193" s="62" t="n">
        <x:v>1</x:v>
      </x:c>
      <x:c r="G193" s="62" t="str">
        <x:v>DOC2083</x:v>
      </x:c>
      <x:c r="H193" s="62" t="n">
        <x:v>20</x:v>
      </x:c>
      <x:c r="I193" s="74" t="n">
        <x:v>45672</x:v>
      </x:c>
      <x:c r="J193" s="74" t="n">
        <x:v>45672</x:v>
      </x:c>
      <x:c r="K193" s="74" t="n">
        <x:v>45672</x:v>
      </x:c>
      <x:c r="L193" s="74" t="n">
        <x:v>45672</x:v>
      </x:c>
      <x:c r="M193" s="77" t="n">
        <x:v>2</x:v>
      </x:c>
      <x:c r="N193" s="77"/>
      <x:c r="O193" s="78"/>
      <x:c r="P193" s="79" t="n">
        <x:f>M193</x:f>
        <x:v>2</x:v>
      </x:c>
      <x:c r="Q193" s="79" t="n">
        <x:f>IF(D193="营业收入",-P193,P193)</x:f>
        <x:v>2</x:v>
      </x:c>
      <x:c r="R193" s="62" t="str">
        <x:v>CNY</x:v>
      </x:c>
      <x:c r="S193" s="62" t="str">
        <x:v>万元</x:v>
      </x:c>
      <x:c r="T193" s="62" t="str">
        <x:v>费用不含税</x:v>
      </x:c>
      <x:c r="U193" s="62" t="str">
        <x:v>技术部</x:v>
      </x:c>
      <x:c r="V193" s="62" t="str">
        <x:v>新技术应用材料运输</x:v>
      </x:c>
      <x:c r="W193" s="62" t="str">
        <x:v>新技术应用项目差旅报销</x:v>
      </x:c>
      <x:c r="X193" s="62" t="str">
        <x:v>苏州热工</x:v>
      </x:c>
      <x:c r="Y193" s="62" t="str">
        <x:v>苏州热工</x:v>
      </x:c>
      <x:c r="Z193" s="62" t="str">
        <x:v>17</x:v>
      </x:c>
      <x:c r="AA193" s="62" t="str">
        <x:v>新技术应用</x:v>
      </x:c>
      <x:c r="AB193" s="62" t="str">
        <x:v>PRJ-JS-新技-2024-001</x:v>
      </x:c>
      <x:c r="AC193" s="74" t="n">
        <x:v>46022</x:v>
      </x:c>
      <x:c r="AD193" s="71" t="str">
        <x:v>补凭证行号；差旅文本语义修正</x:v>
      </x:c>
      <x:c r="AE193" s="71" t="str">
        <x:v>2025年实际执行.xlsx</x:v>
      </x:c>
      <x:c r="AF193" s="71" t="str">
        <x:v>Sheet</x:v>
      </x:c>
      <x:c r="AG193" s="71" t="n">
        <x:v>193</x:v>
      </x:c>
      <x:c r="AH193" s="71" t="str">
        <x:v>2025年实际执行.xlsx/Sheet!193:193</x:v>
      </x:c>
      <x:c r="AI193" s="62" t="str">
        <x:f>IF(F193=MONTH(L193),"OK","FAIL")</x:f>
        <x:v>OK</x:v>
      </x:c>
      <x:c r="AJ193" s="62" t="str">
        <x:f>IF(J193&lt;=L193,"OK","FAIL")</x:f>
        <x:v>OK</x:v>
      </x:c>
      <x:c r="AK193" s="62" t="str">
        <x:f>IF(D193&lt;&gt;"营业收入","OK",IF(AND(P193&lt;0,Q193&gt;0),"OK","FAIL"))</x:f>
        <x:v>OK</x:v>
      </x:c>
      <x:c r="AL193" s="62" t="str">
        <x:f>IF(COUNTIF($A$2:$A$218,A193)=1,"OK","FAIL")</x:f>
        <x:v>OK</x:v>
      </x:c>
    </x:row>
    <x:row r="194" ht="23" customHeight="1">
      <x:c r="A194" s="62" t="str">
        <x:v>DEMO01|2025|DOC2092|20</x:v>
      </x:c>
      <x:c r="B194" s="62" t="str">
        <x:v>CORRECTED</x:v>
      </x:c>
      <x:c r="C194" s="62" t="str">
        <x:v>差旅费</x:v>
      </x:c>
      <x:c r="D194" s="62" t="str">
        <x:v>差旅费</x:v>
      </x:c>
      <x:c r="E194" s="62" t="n">
        <x:v>4</x:v>
      </x:c>
      <x:c r="F194" s="62" t="n">
        <x:v>4</x:v>
      </x:c>
      <x:c r="G194" s="62" t="str">
        <x:v>DOC2092</x:v>
      </x:c>
      <x:c r="H194" s="62" t="n">
        <x:v>20</x:v>
      </x:c>
      <x:c r="I194" s="74" t="n">
        <x:v>45762</x:v>
      </x:c>
      <x:c r="J194" s="74" t="n">
        <x:v>45762</x:v>
      </x:c>
      <x:c r="K194" s="74" t="n">
        <x:v>45762</x:v>
      </x:c>
      <x:c r="L194" s="74" t="n">
        <x:v>45762</x:v>
      </x:c>
      <x:c r="M194" s="77" t="n">
        <x:v>3.554</x:v>
      </x:c>
      <x:c r="N194" s="77"/>
      <x:c r="O194" s="78"/>
      <x:c r="P194" s="79" t="n">
        <x:f>M194</x:f>
        <x:v>3.554</x:v>
      </x:c>
      <x:c r="Q194" s="79" t="n">
        <x:f>IF(D194="营业收入",-P194,P194)</x:f>
        <x:v>3.554</x:v>
      </x:c>
      <x:c r="R194" s="62" t="str">
        <x:v>CNY</x:v>
      </x:c>
      <x:c r="S194" s="62" t="str">
        <x:v>万元</x:v>
      </x:c>
      <x:c r="T194" s="62" t="str">
        <x:v>费用不含税</x:v>
      </x:c>
      <x:c r="U194" s="62" t="str">
        <x:v>技术部</x:v>
      </x:c>
      <x:c r="V194" s="62" t="str">
        <x:v>新技术应用材料运输</x:v>
      </x:c>
      <x:c r="W194" s="62" t="str">
        <x:v>新技术应用项目差旅报销</x:v>
      </x:c>
      <x:c r="X194" s="62" t="str">
        <x:v>北京核工院</x:v>
      </x:c>
      <x:c r="Y194" s="62" t="str">
        <x:v>北京核工院</x:v>
      </x:c>
      <x:c r="Z194" s="62" t="str">
        <x:v>17</x:v>
      </x:c>
      <x:c r="AA194" s="62" t="str">
        <x:v>新技术应用</x:v>
      </x:c>
      <x:c r="AB194" s="62" t="str">
        <x:v>PRJ-JS-新技-2025-002</x:v>
      </x:c>
      <x:c r="AC194" s="74" t="n">
        <x:v>46022</x:v>
      </x:c>
      <x:c r="AD194" s="71" t="str">
        <x:v>补凭证行号；差旅文本语义修正</x:v>
      </x:c>
      <x:c r="AE194" s="71" t="str">
        <x:v>2025年实际执行.xlsx</x:v>
      </x:c>
      <x:c r="AF194" s="71" t="str">
        <x:v>Sheet</x:v>
      </x:c>
      <x:c r="AG194" s="71" t="n">
        <x:v>194</x:v>
      </x:c>
      <x:c r="AH194" s="71" t="str">
        <x:v>2025年实际执行.xlsx/Sheet!194:194</x:v>
      </x:c>
      <x:c r="AI194" s="62" t="str">
        <x:f>IF(F194=MONTH(L194),"OK","FAIL")</x:f>
        <x:v>OK</x:v>
      </x:c>
      <x:c r="AJ194" s="62" t="str">
        <x:f>IF(J194&lt;=L194,"OK","FAIL")</x:f>
        <x:v>OK</x:v>
      </x:c>
      <x:c r="AK194" s="62" t="str">
        <x:f>IF(D194&lt;&gt;"营业收入","OK",IF(AND(P194&lt;0,Q194&gt;0),"OK","FAIL"))</x:f>
        <x:v>OK</x:v>
      </x:c>
      <x:c r="AL194" s="62" t="str">
        <x:f>IF(COUNTIF($A$2:$A$218,A194)=1,"OK","FAIL")</x:f>
        <x:v>OK</x:v>
      </x:c>
    </x:row>
    <x:row r="195" ht="23" customHeight="1">
      <x:c r="A195" s="62" t="str">
        <x:v>DEMO01|2025|DOC2101|20</x:v>
      </x:c>
      <x:c r="B195" s="62" t="str">
        <x:v>CORRECTED</x:v>
      </x:c>
      <x:c r="C195" s="62" t="str">
        <x:v>差旅费</x:v>
      </x:c>
      <x:c r="D195" s="62" t="str">
        <x:v>差旅费</x:v>
      </x:c>
      <x:c r="E195" s="62" t="n">
        <x:v>8</x:v>
      </x:c>
      <x:c r="F195" s="62" t="n">
        <x:v>8</x:v>
      </x:c>
      <x:c r="G195" s="62" t="str">
        <x:v>DOC2101</x:v>
      </x:c>
      <x:c r="H195" s="62" t="n">
        <x:v>20</x:v>
      </x:c>
      <x:c r="I195" s="74" t="n">
        <x:v>45884</x:v>
      </x:c>
      <x:c r="J195" s="74" t="n">
        <x:v>45884</x:v>
      </x:c>
      <x:c r="K195" s="74" t="n">
        <x:v>45884</x:v>
      </x:c>
      <x:c r="L195" s="74" t="n">
        <x:v>45884</x:v>
      </x:c>
      <x:c r="M195" s="77" t="n">
        <x:v>3.554</x:v>
      </x:c>
      <x:c r="N195" s="77"/>
      <x:c r="O195" s="78"/>
      <x:c r="P195" s="79" t="n">
        <x:f>M195</x:f>
        <x:v>3.554</x:v>
      </x:c>
      <x:c r="Q195" s="79" t="n">
        <x:f>IF(D195="营业收入",-P195,P195)</x:f>
        <x:v>3.554</x:v>
      </x:c>
      <x:c r="R195" s="62" t="str">
        <x:v>CNY</x:v>
      </x:c>
      <x:c r="S195" s="62" t="str">
        <x:v>万元</x:v>
      </x:c>
      <x:c r="T195" s="62" t="str">
        <x:v>费用不含税</x:v>
      </x:c>
      <x:c r="U195" s="62" t="str">
        <x:v>技术部</x:v>
      </x:c>
      <x:c r="V195" s="62" t="str">
        <x:v>新技术应用材料运输</x:v>
      </x:c>
      <x:c r="W195" s="62" t="str">
        <x:v>新技术应用项目差旅报销</x:v>
      </x:c>
      <x:c r="X195" s="62" t="str">
        <x:v>苏州热工</x:v>
      </x:c>
      <x:c r="Y195" s="62" t="str">
        <x:v>苏州热工</x:v>
      </x:c>
      <x:c r="Z195" s="62" t="str">
        <x:v>17</x:v>
      </x:c>
      <x:c r="AA195" s="62" t="str">
        <x:v>新技术应用</x:v>
      </x:c>
      <x:c r="AB195" s="62" t="str">
        <x:v>PRJ-JS-新技-2025-003</x:v>
      </x:c>
      <x:c r="AC195" s="74" t="n">
        <x:v>46022</x:v>
      </x:c>
      <x:c r="AD195" s="71" t="str">
        <x:v>补凭证行号；差旅文本语义修正</x:v>
      </x:c>
      <x:c r="AE195" s="71" t="str">
        <x:v>2025年实际执行.xlsx</x:v>
      </x:c>
      <x:c r="AF195" s="71" t="str">
        <x:v>Sheet</x:v>
      </x:c>
      <x:c r="AG195" s="71" t="n">
        <x:v>195</x:v>
      </x:c>
      <x:c r="AH195" s="71" t="str">
        <x:v>2025年实际执行.xlsx/Sheet!195:195</x:v>
      </x:c>
      <x:c r="AI195" s="62" t="str">
        <x:f>IF(F195=MONTH(L195),"OK","FAIL")</x:f>
        <x:v>OK</x:v>
      </x:c>
      <x:c r="AJ195" s="62" t="str">
        <x:f>IF(J195&lt;=L195,"OK","FAIL")</x:f>
        <x:v>OK</x:v>
      </x:c>
      <x:c r="AK195" s="62" t="str">
        <x:f>IF(D195&lt;&gt;"营业收入","OK",IF(AND(P195&lt;0,Q195&gt;0),"OK","FAIL"))</x:f>
        <x:v>OK</x:v>
      </x:c>
      <x:c r="AL195" s="62" t="str">
        <x:f>IF(COUNTIF($A$2:$A$218,A195)=1,"OK","FAIL")</x:f>
        <x:v>OK</x:v>
      </x:c>
    </x:row>
    <x:row r="196" ht="23" customHeight="1">
      <x:c r="A196" s="62" t="str">
        <x:v>DEMO01|2025|DOC2109|20</x:v>
      </x:c>
      <x:c r="B196" s="62" t="str">
        <x:v>CORRECTED</x:v>
      </x:c>
      <x:c r="C196" s="62" t="str">
        <x:v>差旅费</x:v>
      </x:c>
      <x:c r="D196" s="62" t="str">
        <x:v>差旅费</x:v>
      </x:c>
      <x:c r="E196" s="62" t="n">
        <x:v>7</x:v>
      </x:c>
      <x:c r="F196" s="62" t="n">
        <x:v>7</x:v>
      </x:c>
      <x:c r="G196" s="62" t="str">
        <x:v>DOC2109</x:v>
      </x:c>
      <x:c r="H196" s="62" t="n">
        <x:v>20</x:v>
      </x:c>
      <x:c r="I196" s="74" t="n">
        <x:v>45853</x:v>
      </x:c>
      <x:c r="J196" s="74" t="n">
        <x:v>45853</x:v>
      </x:c>
      <x:c r="K196" s="74" t="n">
        <x:v>45853</x:v>
      </x:c>
      <x:c r="L196" s="74" t="n">
        <x:v>45853</x:v>
      </x:c>
      <x:c r="M196" s="77" t="n">
        <x:v>3.554</x:v>
      </x:c>
      <x:c r="N196" s="77"/>
      <x:c r="O196" s="78"/>
      <x:c r="P196" s="79" t="n">
        <x:f>M196</x:f>
        <x:v>3.554</x:v>
      </x:c>
      <x:c r="Q196" s="79" t="n">
        <x:f>IF(D196="营业收入",-P196,P196)</x:f>
        <x:v>3.554</x:v>
      </x:c>
      <x:c r="R196" s="62" t="str">
        <x:v>CNY</x:v>
      </x:c>
      <x:c r="S196" s="62" t="str">
        <x:v>万元</x:v>
      </x:c>
      <x:c r="T196" s="62" t="str">
        <x:v>费用不含税</x:v>
      </x:c>
      <x:c r="U196" s="62" t="str">
        <x:v>安全运行部</x:v>
      </x:c>
      <x:c r="V196" s="62" t="str">
        <x:v>概率安全分析材料运输</x:v>
      </x:c>
      <x:c r="W196" s="62" t="str">
        <x:v>概率安全分析项目差旅报销</x:v>
      </x:c>
      <x:c r="X196" s="62" t="str">
        <x:v>上海电气</x:v>
      </x:c>
      <x:c r="Y196" s="62" t="str">
        <x:v>上海电气</x:v>
      </x:c>
      <x:c r="Z196" s="62" t="str">
        <x:v>17</x:v>
      </x:c>
      <x:c r="AA196" s="62" t="str">
        <x:v>概率安全分析</x:v>
      </x:c>
      <x:c r="AB196" s="62" t="str">
        <x:v>PRJ-AQ-概率-2024-001</x:v>
      </x:c>
      <x:c r="AC196" s="74" t="n">
        <x:v>46022</x:v>
      </x:c>
      <x:c r="AD196" s="71" t="str">
        <x:v>补凭证行号；差旅文本语义修正</x:v>
      </x:c>
      <x:c r="AE196" s="71" t="str">
        <x:v>2025年实际执行.xlsx</x:v>
      </x:c>
      <x:c r="AF196" s="71" t="str">
        <x:v>Sheet</x:v>
      </x:c>
      <x:c r="AG196" s="71" t="n">
        <x:v>196</x:v>
      </x:c>
      <x:c r="AH196" s="71" t="str">
        <x:v>2025年实际执行.xlsx/Sheet!196:196</x:v>
      </x:c>
      <x:c r="AI196" s="62" t="str">
        <x:f>IF(F196=MONTH(L196),"OK","FAIL")</x:f>
        <x:v>OK</x:v>
      </x:c>
      <x:c r="AJ196" s="62" t="str">
        <x:f>IF(J196&lt;=L196,"OK","FAIL")</x:f>
        <x:v>OK</x:v>
      </x:c>
      <x:c r="AK196" s="62" t="str">
        <x:f>IF(D196&lt;&gt;"营业收入","OK",IF(AND(P196&lt;0,Q196&gt;0),"OK","FAIL"))</x:f>
        <x:v>OK</x:v>
      </x:c>
      <x:c r="AL196" s="62" t="str">
        <x:f>IF(COUNTIF($A$2:$A$218,A196)=1,"OK","FAIL")</x:f>
        <x:v>OK</x:v>
      </x:c>
    </x:row>
    <x:row r="197" ht="23" customHeight="1">
      <x:c r="A197" s="62" t="str">
        <x:v>DEMO01|2025|DOC2118|20</x:v>
      </x:c>
      <x:c r="B197" s="62" t="str">
        <x:v>CORRECTED</x:v>
      </x:c>
      <x:c r="C197" s="62" t="str">
        <x:v>差旅费</x:v>
      </x:c>
      <x:c r="D197" s="62" t="str">
        <x:v>差旅费</x:v>
      </x:c>
      <x:c r="E197" s="62" t="n">
        <x:v>9</x:v>
      </x:c>
      <x:c r="F197" s="62" t="n">
        <x:v>9</x:v>
      </x:c>
      <x:c r="G197" s="62" t="str">
        <x:v>DOC2118</x:v>
      </x:c>
      <x:c r="H197" s="62" t="n">
        <x:v>20</x:v>
      </x:c>
      <x:c r="I197" s="74" t="n">
        <x:v>45915</x:v>
      </x:c>
      <x:c r="J197" s="74" t="n">
        <x:v>45915</x:v>
      </x:c>
      <x:c r="K197" s="74" t="n">
        <x:v>45915</x:v>
      </x:c>
      <x:c r="L197" s="74" t="n">
        <x:v>45915</x:v>
      </x:c>
      <x:c r="M197" s="77" t="n">
        <x:v>4</x:v>
      </x:c>
      <x:c r="N197" s="77"/>
      <x:c r="O197" s="78"/>
      <x:c r="P197" s="79" t="n">
        <x:f>M197</x:f>
        <x:v>4</x:v>
      </x:c>
      <x:c r="Q197" s="79" t="n">
        <x:f>IF(D197="营业收入",-P197,P197)</x:f>
        <x:v>4</x:v>
      </x:c>
      <x:c r="R197" s="62" t="str">
        <x:v>CNY</x:v>
      </x:c>
      <x:c r="S197" s="62" t="str">
        <x:v>万元</x:v>
      </x:c>
      <x:c r="T197" s="62" t="str">
        <x:v>费用不含税</x:v>
      </x:c>
      <x:c r="U197" s="62" t="str">
        <x:v>安全运行部</x:v>
      </x:c>
      <x:c r="V197" s="62" t="str">
        <x:v>概率安全分析材料运输</x:v>
      </x:c>
      <x:c r="W197" s="62" t="str">
        <x:v>概率安全分析项目差旅报销</x:v>
      </x:c>
      <x:c r="X197" s="62" t="str">
        <x:v>苏州热工</x:v>
      </x:c>
      <x:c r="Y197" s="62" t="str">
        <x:v>苏州热工</x:v>
      </x:c>
      <x:c r="Z197" s="62" t="str">
        <x:v>17</x:v>
      </x:c>
      <x:c r="AA197" s="62" t="str">
        <x:v>概率安全分析</x:v>
      </x:c>
      <x:c r="AB197" s="62" t="str">
        <x:v>PRJ-AQ-概率-2025-002</x:v>
      </x:c>
      <x:c r="AC197" s="74" t="n">
        <x:v>46022</x:v>
      </x:c>
      <x:c r="AD197" s="71" t="str">
        <x:v>补凭证行号；差旅文本语义修正</x:v>
      </x:c>
      <x:c r="AE197" s="71" t="str">
        <x:v>2025年实际执行.xlsx</x:v>
      </x:c>
      <x:c r="AF197" s="71" t="str">
        <x:v>Sheet</x:v>
      </x:c>
      <x:c r="AG197" s="71" t="n">
        <x:v>197</x:v>
      </x:c>
      <x:c r="AH197" s="71" t="str">
        <x:v>2025年实际执行.xlsx/Sheet!197:197</x:v>
      </x:c>
      <x:c r="AI197" s="62" t="str">
        <x:f>IF(F197=MONTH(L197),"OK","FAIL")</x:f>
        <x:v>OK</x:v>
      </x:c>
      <x:c r="AJ197" s="62" t="str">
        <x:f>IF(J197&lt;=L197,"OK","FAIL")</x:f>
        <x:v>OK</x:v>
      </x:c>
      <x:c r="AK197" s="62" t="str">
        <x:f>IF(D197&lt;&gt;"营业收入","OK",IF(AND(P197&lt;0,Q197&gt;0),"OK","FAIL"))</x:f>
        <x:v>OK</x:v>
      </x:c>
      <x:c r="AL197" s="62" t="str">
        <x:f>IF(COUNTIF($A$2:$A$218,A197)=1,"OK","FAIL")</x:f>
        <x:v>OK</x:v>
      </x:c>
    </x:row>
    <x:row r="198" ht="23" customHeight="1">
      <x:c r="A198" s="62" t="str">
        <x:v>DEMO01|2025|DOC2127|20</x:v>
      </x:c>
      <x:c r="B198" s="62" t="str">
        <x:v>CORRECTED</x:v>
      </x:c>
      <x:c r="C198" s="62" t="str">
        <x:v>差旅费</x:v>
      </x:c>
      <x:c r="D198" s="62" t="str">
        <x:v>差旅费</x:v>
      </x:c>
      <x:c r="E198" s="62" t="n">
        <x:v>9</x:v>
      </x:c>
      <x:c r="F198" s="62" t="n">
        <x:v>9</x:v>
      </x:c>
      <x:c r="G198" s="62" t="str">
        <x:v>DOC2127</x:v>
      </x:c>
      <x:c r="H198" s="62" t="n">
        <x:v>20</x:v>
      </x:c>
      <x:c r="I198" s="74" t="n">
        <x:v>45915</x:v>
      </x:c>
      <x:c r="J198" s="74" t="n">
        <x:v>45915</x:v>
      </x:c>
      <x:c r="K198" s="74" t="n">
        <x:v>45915</x:v>
      </x:c>
      <x:c r="L198" s="74" t="n">
        <x:v>45915</x:v>
      </x:c>
      <x:c r="M198" s="77" t="n">
        <x:v>5</x:v>
      </x:c>
      <x:c r="N198" s="77"/>
      <x:c r="O198" s="78"/>
      <x:c r="P198" s="79" t="n">
        <x:f>M198</x:f>
        <x:v>5</x:v>
      </x:c>
      <x:c r="Q198" s="79" t="n">
        <x:f>IF(D198="营业收入",-P198,P198)</x:f>
        <x:v>5</x:v>
      </x:c>
      <x:c r="R198" s="62" t="str">
        <x:v>CNY</x:v>
      </x:c>
      <x:c r="S198" s="62" t="str">
        <x:v>万元</x:v>
      </x:c>
      <x:c r="T198" s="62" t="str">
        <x:v>费用不含税</x:v>
      </x:c>
      <x:c r="U198" s="62" t="str">
        <x:v>安全运行部</x:v>
      </x:c>
      <x:c r="V198" s="62" t="str">
        <x:v>概率安全分析材料运输</x:v>
      </x:c>
      <x:c r="W198" s="62" t="str">
        <x:v>概率安全分析项目差旅报销</x:v>
      </x:c>
      <x:c r="X198" s="62" t="str">
        <x:v>国电智深</x:v>
      </x:c>
      <x:c r="Y198" s="62" t="str">
        <x:v>国电智深</x:v>
      </x:c>
      <x:c r="Z198" s="62" t="str">
        <x:v>17</x:v>
      </x:c>
      <x:c r="AA198" s="62" t="str">
        <x:v>概率安全分析</x:v>
      </x:c>
      <x:c r="AB198" s="62" t="str">
        <x:v>PRJ-AQ-概率-2025-003</x:v>
      </x:c>
      <x:c r="AC198" s="74" t="n">
        <x:v>46022</x:v>
      </x:c>
      <x:c r="AD198" s="71" t="str">
        <x:v>补凭证行号；差旅文本语义修正</x:v>
      </x:c>
      <x:c r="AE198" s="71" t="str">
        <x:v>2025年实际执行.xlsx</x:v>
      </x:c>
      <x:c r="AF198" s="71" t="str">
        <x:v>Sheet</x:v>
      </x:c>
      <x:c r="AG198" s="71" t="n">
        <x:v>198</x:v>
      </x:c>
      <x:c r="AH198" s="71" t="str">
        <x:v>2025年实际执行.xlsx/Sheet!198:198</x:v>
      </x:c>
      <x:c r="AI198" s="62" t="str">
        <x:f>IF(F198=MONTH(L198),"OK","FAIL")</x:f>
        <x:v>OK</x:v>
      </x:c>
      <x:c r="AJ198" s="62" t="str">
        <x:f>IF(J198&lt;=L198,"OK","FAIL")</x:f>
        <x:v>OK</x:v>
      </x:c>
      <x:c r="AK198" s="62" t="str">
        <x:f>IF(D198&lt;&gt;"营业收入","OK",IF(AND(P198&lt;0,Q198&gt;0),"OK","FAIL"))</x:f>
        <x:v>OK</x:v>
      </x:c>
      <x:c r="AL198" s="62" t="str">
        <x:f>IF(COUNTIF($A$2:$A$218,A198)=1,"OK","FAIL")</x:f>
        <x:v>OK</x:v>
      </x:c>
    </x:row>
    <x:row r="199" ht="23" customHeight="1">
      <x:c r="A199" s="62" t="str">
        <x:v>DEMO01|2025|DOC2135|20</x:v>
      </x:c>
      <x:c r="B199" s="62" t="str">
        <x:v>CORRECTED</x:v>
      </x:c>
      <x:c r="C199" s="62" t="str">
        <x:v>差旅费</x:v>
      </x:c>
      <x:c r="D199" s="62" t="str">
        <x:v>差旅费</x:v>
      </x:c>
      <x:c r="E199" s="62" t="n">
        <x:v>12</x:v>
      </x:c>
      <x:c r="F199" s="62" t="n">
        <x:v>12</x:v>
      </x:c>
      <x:c r="G199" s="62" t="str">
        <x:v>DOC2135</x:v>
      </x:c>
      <x:c r="H199" s="62" t="n">
        <x:v>20</x:v>
      </x:c>
      <x:c r="I199" s="74" t="n">
        <x:v>46006</x:v>
      </x:c>
      <x:c r="J199" s="74" t="n">
        <x:v>46006</x:v>
      </x:c>
      <x:c r="K199" s="74" t="n">
        <x:v>46006</x:v>
      </x:c>
      <x:c r="L199" s="74" t="n">
        <x:v>46006</x:v>
      </x:c>
      <x:c r="M199" s="77" t="n">
        <x:v>3.554</x:v>
      </x:c>
      <x:c r="N199" s="77"/>
      <x:c r="O199" s="78"/>
      <x:c r="P199" s="79" t="n">
        <x:f>M199</x:f>
        <x:v>3.554</x:v>
      </x:c>
      <x:c r="Q199" s="79" t="n">
        <x:f>IF(D199="营业收入",-P199,P199)</x:f>
        <x:v>3.554</x:v>
      </x:c>
      <x:c r="R199" s="62" t="str">
        <x:v>CNY</x:v>
      </x:c>
      <x:c r="S199" s="62" t="str">
        <x:v>万元</x:v>
      </x:c>
      <x:c r="T199" s="62" t="str">
        <x:v>费用不含税</x:v>
      </x:c>
      <x:c r="U199" s="62" t="str">
        <x:v>安全运行部</x:v>
      </x:c>
      <x:c r="V199" s="62" t="str">
        <x:v>灾害防护材料运输</x:v>
      </x:c>
      <x:c r="W199" s="62" t="str">
        <x:v>灾害防护项目差旅报销</x:v>
      </x:c>
      <x:c r="X199" s="62" t="str">
        <x:v>国电智深</x:v>
      </x:c>
      <x:c r="Y199" s="62" t="str">
        <x:v>国电智深</x:v>
      </x:c>
      <x:c r="Z199" s="62" t="str">
        <x:v>17</x:v>
      </x:c>
      <x:c r="AA199" s="62" t="str">
        <x:v>灾害防护</x:v>
      </x:c>
      <x:c r="AB199" s="62" t="str">
        <x:v>PRJ-AQ-灾害-2024-001</x:v>
      </x:c>
      <x:c r="AC199" s="74" t="n">
        <x:v>46022</x:v>
      </x:c>
      <x:c r="AD199" s="71" t="str">
        <x:v>补凭证行号；差旅文本语义修正</x:v>
      </x:c>
      <x:c r="AE199" s="71" t="str">
        <x:v>2025年实际执行.xlsx</x:v>
      </x:c>
      <x:c r="AF199" s="71" t="str">
        <x:v>Sheet</x:v>
      </x:c>
      <x:c r="AG199" s="71" t="n">
        <x:v>199</x:v>
      </x:c>
      <x:c r="AH199" s="71" t="str">
        <x:v>2025年实际执行.xlsx/Sheet!199:199</x:v>
      </x:c>
      <x:c r="AI199" s="62" t="str">
        <x:f>IF(F199=MONTH(L199),"OK","FAIL")</x:f>
        <x:v>OK</x:v>
      </x:c>
      <x:c r="AJ199" s="62" t="str">
        <x:f>IF(J199&lt;=L199,"OK","FAIL")</x:f>
        <x:v>OK</x:v>
      </x:c>
      <x:c r="AK199" s="62" t="str">
        <x:f>IF(D199&lt;&gt;"营业收入","OK",IF(AND(P199&lt;0,Q199&gt;0),"OK","FAIL"))</x:f>
        <x:v>OK</x:v>
      </x:c>
      <x:c r="AL199" s="62" t="str">
        <x:f>IF(COUNTIF($A$2:$A$218,A199)=1,"OK","FAIL")</x:f>
        <x:v>OK</x:v>
      </x:c>
    </x:row>
    <x:row r="200" ht="23" customHeight="1">
      <x:c r="A200" s="62" t="str">
        <x:v>DEMO01|2025|DOC2144|20</x:v>
      </x:c>
      <x:c r="B200" s="62" t="str">
        <x:v>CORRECTED</x:v>
      </x:c>
      <x:c r="C200" s="62" t="str">
        <x:v>差旅费</x:v>
      </x:c>
      <x:c r="D200" s="62" t="str">
        <x:v>差旅费</x:v>
      </x:c>
      <x:c r="E200" s="62" t="n">
        <x:v>5</x:v>
      </x:c>
      <x:c r="F200" s="62" t="n">
        <x:v>5</x:v>
      </x:c>
      <x:c r="G200" s="62" t="str">
        <x:v>DOC2144</x:v>
      </x:c>
      <x:c r="H200" s="62" t="n">
        <x:v>20</x:v>
      </x:c>
      <x:c r="I200" s="74" t="n">
        <x:v>45792</x:v>
      </x:c>
      <x:c r="J200" s="74" t="n">
        <x:v>45792</x:v>
      </x:c>
      <x:c r="K200" s="74" t="n">
        <x:v>45792</x:v>
      </x:c>
      <x:c r="L200" s="74" t="n">
        <x:v>45792</x:v>
      </x:c>
      <x:c r="M200" s="77" t="n">
        <x:v>6</x:v>
      </x:c>
      <x:c r="N200" s="77"/>
      <x:c r="O200" s="78"/>
      <x:c r="P200" s="79" t="n">
        <x:f>M200</x:f>
        <x:v>6</x:v>
      </x:c>
      <x:c r="Q200" s="79" t="n">
        <x:f>IF(D200="营业收入",-P200,P200)</x:f>
        <x:v>6</x:v>
      </x:c>
      <x:c r="R200" s="62" t="str">
        <x:v>CNY</x:v>
      </x:c>
      <x:c r="S200" s="62" t="str">
        <x:v>万元</x:v>
      </x:c>
      <x:c r="T200" s="62" t="str">
        <x:v>费用不含税</x:v>
      </x:c>
      <x:c r="U200" s="62" t="str">
        <x:v>安全运行部</x:v>
      </x:c>
      <x:c r="V200" s="62" t="str">
        <x:v>灾害防护材料运输</x:v>
      </x:c>
      <x:c r="W200" s="62" t="str">
        <x:v>灾害防护项目差旅报销</x:v>
      </x:c>
      <x:c r="X200" s="62" t="str">
        <x:v>国电智深</x:v>
      </x:c>
      <x:c r="Y200" s="62" t="str">
        <x:v>国电智深</x:v>
      </x:c>
      <x:c r="Z200" s="62" t="str">
        <x:v>17</x:v>
      </x:c>
      <x:c r="AA200" s="62" t="str">
        <x:v>灾害防护</x:v>
      </x:c>
      <x:c r="AB200" s="62" t="str">
        <x:v>PRJ-AQ-灾害-2025-002</x:v>
      </x:c>
      <x:c r="AC200" s="74" t="n">
        <x:v>46022</x:v>
      </x:c>
      <x:c r="AD200" s="71" t="str">
        <x:v>补凭证行号；差旅文本语义修正</x:v>
      </x:c>
      <x:c r="AE200" s="71" t="str">
        <x:v>2025年实际执行.xlsx</x:v>
      </x:c>
      <x:c r="AF200" s="71" t="str">
        <x:v>Sheet</x:v>
      </x:c>
      <x:c r="AG200" s="71" t="n">
        <x:v>200</x:v>
      </x:c>
      <x:c r="AH200" s="71" t="str">
        <x:v>2025年实际执行.xlsx/Sheet!200:200</x:v>
      </x:c>
      <x:c r="AI200" s="62" t="str">
        <x:f>IF(F200=MONTH(L200),"OK","FAIL")</x:f>
        <x:v>OK</x:v>
      </x:c>
      <x:c r="AJ200" s="62" t="str">
        <x:f>IF(J200&lt;=L200,"OK","FAIL")</x:f>
        <x:v>OK</x:v>
      </x:c>
      <x:c r="AK200" s="62" t="str">
        <x:f>IF(D200&lt;&gt;"营业收入","OK",IF(AND(P200&lt;0,Q200&gt;0),"OK","FAIL"))</x:f>
        <x:v>OK</x:v>
      </x:c>
      <x:c r="AL200" s="62" t="str">
        <x:f>IF(COUNTIF($A$2:$A$218,A200)=1,"OK","FAIL")</x:f>
        <x:v>OK</x:v>
      </x:c>
    </x:row>
    <x:row r="201" ht="23" customHeight="1">
      <x:c r="A201" s="62" t="str">
        <x:v>DEMO01|2025|DOC2153|20</x:v>
      </x:c>
      <x:c r="B201" s="62" t="str">
        <x:v>CORRECTED</x:v>
      </x:c>
      <x:c r="C201" s="62" t="str">
        <x:v>差旅费</x:v>
      </x:c>
      <x:c r="D201" s="62" t="str">
        <x:v>差旅费</x:v>
      </x:c>
      <x:c r="E201" s="62" t="n">
        <x:v>8</x:v>
      </x:c>
      <x:c r="F201" s="62" t="n">
        <x:v>8</x:v>
      </x:c>
      <x:c r="G201" s="62" t="str">
        <x:v>DOC2153</x:v>
      </x:c>
      <x:c r="H201" s="62" t="n">
        <x:v>20</x:v>
      </x:c>
      <x:c r="I201" s="74" t="n">
        <x:v>45884</x:v>
      </x:c>
      <x:c r="J201" s="74" t="n">
        <x:v>45884</x:v>
      </x:c>
      <x:c r="K201" s="74" t="n">
        <x:v>45884</x:v>
      </x:c>
      <x:c r="L201" s="74" t="n">
        <x:v>45884</x:v>
      </x:c>
      <x:c r="M201" s="77" t="n">
        <x:v>8</x:v>
      </x:c>
      <x:c r="N201" s="77"/>
      <x:c r="O201" s="78"/>
      <x:c r="P201" s="79" t="n">
        <x:f>M201</x:f>
        <x:v>8</x:v>
      </x:c>
      <x:c r="Q201" s="79" t="n">
        <x:f>IF(D201="营业收入",-P201,P201)</x:f>
        <x:v>8</x:v>
      </x:c>
      <x:c r="R201" s="62" t="str">
        <x:v>CNY</x:v>
      </x:c>
      <x:c r="S201" s="62" t="str">
        <x:v>万元</x:v>
      </x:c>
      <x:c r="T201" s="62" t="str">
        <x:v>费用不含税</x:v>
      </x:c>
      <x:c r="U201" s="62" t="str">
        <x:v>安全运行部</x:v>
      </x:c>
      <x:c r="V201" s="62" t="str">
        <x:v>灾害防护材料运输</x:v>
      </x:c>
      <x:c r="W201" s="62" t="str">
        <x:v>灾害防护项目差旅报销</x:v>
      </x:c>
      <x:c r="X201" s="62" t="str">
        <x:v>国电智深</x:v>
      </x:c>
      <x:c r="Y201" s="62" t="str">
        <x:v>国电智深</x:v>
      </x:c>
      <x:c r="Z201" s="62" t="str">
        <x:v>17</x:v>
      </x:c>
      <x:c r="AA201" s="62" t="str">
        <x:v>灾害防护</x:v>
      </x:c>
      <x:c r="AB201" s="62" t="str">
        <x:v>PRJ-AQ-灾害-2025-003</x:v>
      </x:c>
      <x:c r="AC201" s="74" t="n">
        <x:v>46022</x:v>
      </x:c>
      <x:c r="AD201" s="71" t="str">
        <x:v>补凭证行号；差旅文本语义修正</x:v>
      </x:c>
      <x:c r="AE201" s="71" t="str">
        <x:v>2025年实际执行.xlsx</x:v>
      </x:c>
      <x:c r="AF201" s="71" t="str">
        <x:v>Sheet</x:v>
      </x:c>
      <x:c r="AG201" s="71" t="n">
        <x:v>201</x:v>
      </x:c>
      <x:c r="AH201" s="71" t="str">
        <x:v>2025年实际执行.xlsx/Sheet!201:201</x:v>
      </x:c>
      <x:c r="AI201" s="62" t="str">
        <x:f>IF(F201=MONTH(L201),"OK","FAIL")</x:f>
        <x:v>OK</x:v>
      </x:c>
      <x:c r="AJ201" s="62" t="str">
        <x:f>IF(J201&lt;=L201,"OK","FAIL")</x:f>
        <x:v>OK</x:v>
      </x:c>
      <x:c r="AK201" s="62" t="str">
        <x:f>IF(D201&lt;&gt;"营业收入","OK",IF(AND(P201&lt;0,Q201&gt;0),"OK","FAIL"))</x:f>
        <x:v>OK</x:v>
      </x:c>
      <x:c r="AL201" s="62" t="str">
        <x:f>IF(COUNTIF($A$2:$A$218,A201)=1,"OK","FAIL")</x:f>
        <x:v>OK</x:v>
      </x:c>
    </x:row>
    <x:row r="202" ht="23" customHeight="1">
      <x:c r="A202" s="62" t="str">
        <x:v>DEMO01|2025|DOC2161|20</x:v>
      </x:c>
      <x:c r="B202" s="62" t="str">
        <x:v>CORRECTED</x:v>
      </x:c>
      <x:c r="C202" s="62" t="str">
        <x:v>差旅费</x:v>
      </x:c>
      <x:c r="D202" s="62" t="str">
        <x:v>差旅费</x:v>
      </x:c>
      <x:c r="E202" s="62" t="n">
        <x:v>7</x:v>
      </x:c>
      <x:c r="F202" s="62" t="n">
        <x:v>7</x:v>
      </x:c>
      <x:c r="G202" s="62" t="str">
        <x:v>DOC2161</x:v>
      </x:c>
      <x:c r="H202" s="62" t="n">
        <x:v>20</x:v>
      </x:c>
      <x:c r="I202" s="74" t="n">
        <x:v>45853</x:v>
      </x:c>
      <x:c r="J202" s="74" t="n">
        <x:v>45853</x:v>
      </x:c>
      <x:c r="K202" s="74" t="n">
        <x:v>45853</x:v>
      </x:c>
      <x:c r="L202" s="74" t="n">
        <x:v>45853</x:v>
      </x:c>
      <x:c r="M202" s="77" t="n">
        <x:v>9</x:v>
      </x:c>
      <x:c r="N202" s="77"/>
      <x:c r="O202" s="78"/>
      <x:c r="P202" s="79" t="n">
        <x:f>M202</x:f>
        <x:v>9</x:v>
      </x:c>
      <x:c r="Q202" s="79" t="n">
        <x:f>IF(D202="营业收入",-P202,P202)</x:f>
        <x:v>9</x:v>
      </x:c>
      <x:c r="R202" s="62" t="str">
        <x:v>CNY</x:v>
      </x:c>
      <x:c r="S202" s="62" t="str">
        <x:v>万元</x:v>
      </x:c>
      <x:c r="T202" s="62" t="str">
        <x:v>费用不含税</x:v>
      </x:c>
      <x:c r="U202" s="62" t="str">
        <x:v>安全运行部</x:v>
      </x:c>
      <x:c r="V202" s="62" t="str">
        <x:v>安全评估材料运输</x:v>
      </x:c>
      <x:c r="W202" s="62" t="str">
        <x:v>安全评估项目差旅报销</x:v>
      </x:c>
      <x:c r="X202" s="62" t="str">
        <x:v>国电智深</x:v>
      </x:c>
      <x:c r="Y202" s="62" t="str">
        <x:v>国电智深</x:v>
      </x:c>
      <x:c r="Z202" s="62" t="str">
        <x:v>17</x:v>
      </x:c>
      <x:c r="AA202" s="62" t="str">
        <x:v>安全评估</x:v>
      </x:c>
      <x:c r="AB202" s="62" t="str">
        <x:v>PRJ-AQ-安全-2024-001</x:v>
      </x:c>
      <x:c r="AC202" s="74" t="n">
        <x:v>46022</x:v>
      </x:c>
      <x:c r="AD202" s="71" t="str">
        <x:v>补凭证行号；差旅文本语义修正</x:v>
      </x:c>
      <x:c r="AE202" s="71" t="str">
        <x:v>2025年实际执行.xlsx</x:v>
      </x:c>
      <x:c r="AF202" s="71" t="str">
        <x:v>Sheet</x:v>
      </x:c>
      <x:c r="AG202" s="71" t="n">
        <x:v>202</x:v>
      </x:c>
      <x:c r="AH202" s="71" t="str">
        <x:v>2025年实际执行.xlsx/Sheet!202:202</x:v>
      </x:c>
      <x:c r="AI202" s="62" t="str">
        <x:f>IF(F202=MONTH(L202),"OK","FAIL")</x:f>
        <x:v>OK</x:v>
      </x:c>
      <x:c r="AJ202" s="62" t="str">
        <x:f>IF(J202&lt;=L202,"OK","FAIL")</x:f>
        <x:v>OK</x:v>
      </x:c>
      <x:c r="AK202" s="62" t="str">
        <x:f>IF(D202&lt;&gt;"营业收入","OK",IF(AND(P202&lt;0,Q202&gt;0),"OK","FAIL"))</x:f>
        <x:v>OK</x:v>
      </x:c>
      <x:c r="AL202" s="62" t="str">
        <x:f>IF(COUNTIF($A$2:$A$218,A202)=1,"OK","FAIL")</x:f>
        <x:v>OK</x:v>
      </x:c>
    </x:row>
    <x:row r="203" ht="23" customHeight="1">
      <x:c r="A203" s="62" t="str">
        <x:v>DEMO01|2025|DOC2170|20</x:v>
      </x:c>
      <x:c r="B203" s="62" t="str">
        <x:v>CORRECTED</x:v>
      </x:c>
      <x:c r="C203" s="62" t="str">
        <x:v>差旅费</x:v>
      </x:c>
      <x:c r="D203" s="62" t="str">
        <x:v>差旅费</x:v>
      </x:c>
      <x:c r="E203" s="62" t="n">
        <x:v>11</x:v>
      </x:c>
      <x:c r="F203" s="62" t="n">
        <x:v>11</x:v>
      </x:c>
      <x:c r="G203" s="62" t="str">
        <x:v>DOC2170</x:v>
      </x:c>
      <x:c r="H203" s="62" t="n">
        <x:v>20</x:v>
      </x:c>
      <x:c r="I203" s="74" t="n">
        <x:v>45976</x:v>
      </x:c>
      <x:c r="J203" s="74" t="n">
        <x:v>45976</x:v>
      </x:c>
      <x:c r="K203" s="74" t="n">
        <x:v>45976</x:v>
      </x:c>
      <x:c r="L203" s="74" t="n">
        <x:v>45976</x:v>
      </x:c>
      <x:c r="M203" s="77" t="n">
        <x:v>1</x:v>
      </x:c>
      <x:c r="N203" s="77"/>
      <x:c r="O203" s="78"/>
      <x:c r="P203" s="79" t="n">
        <x:f>M203</x:f>
        <x:v>1</x:v>
      </x:c>
      <x:c r="Q203" s="79" t="n">
        <x:f>IF(D203="营业收入",-P203,P203)</x:f>
        <x:v>1</x:v>
      </x:c>
      <x:c r="R203" s="62" t="str">
        <x:v>CNY</x:v>
      </x:c>
      <x:c r="S203" s="62" t="str">
        <x:v>万元</x:v>
      </x:c>
      <x:c r="T203" s="62" t="str">
        <x:v>费用不含税</x:v>
      </x:c>
      <x:c r="U203" s="62" t="str">
        <x:v>安全运行部</x:v>
      </x:c>
      <x:c r="V203" s="62" t="str">
        <x:v>安全评估材料运输</x:v>
      </x:c>
      <x:c r="W203" s="62" t="str">
        <x:v>安全评估项目差旅报销</x:v>
      </x:c>
      <x:c r="X203" s="62" t="str">
        <x:v>中核运维</x:v>
      </x:c>
      <x:c r="Y203" s="62" t="str">
        <x:v>中核运维</x:v>
      </x:c>
      <x:c r="Z203" s="62" t="str">
        <x:v>17</x:v>
      </x:c>
      <x:c r="AA203" s="62" t="str">
        <x:v>安全评估</x:v>
      </x:c>
      <x:c r="AB203" s="62" t="str">
        <x:v>PRJ-AQ-安全-2025-002</x:v>
      </x:c>
      <x:c r="AC203" s="74" t="n">
        <x:v>46022</x:v>
      </x:c>
      <x:c r="AD203" s="71" t="str">
        <x:v>补凭证行号；差旅文本语义修正</x:v>
      </x:c>
      <x:c r="AE203" s="71" t="str">
        <x:v>2025年实际执行.xlsx</x:v>
      </x:c>
      <x:c r="AF203" s="71" t="str">
        <x:v>Sheet</x:v>
      </x:c>
      <x:c r="AG203" s="71" t="n">
        <x:v>203</x:v>
      </x:c>
      <x:c r="AH203" s="71" t="str">
        <x:v>2025年实际执行.xlsx/Sheet!203:203</x:v>
      </x:c>
      <x:c r="AI203" s="62" t="str">
        <x:f>IF(F203=MONTH(L203),"OK","FAIL")</x:f>
        <x:v>OK</x:v>
      </x:c>
      <x:c r="AJ203" s="62" t="str">
        <x:f>IF(J203&lt;=L203,"OK","FAIL")</x:f>
        <x:v>OK</x:v>
      </x:c>
      <x:c r="AK203" s="62" t="str">
        <x:f>IF(D203&lt;&gt;"营业收入","OK",IF(AND(P203&lt;0,Q203&gt;0),"OK","FAIL"))</x:f>
        <x:v>OK</x:v>
      </x:c>
      <x:c r="AL203" s="62" t="str">
        <x:f>IF(COUNTIF($A$2:$A$218,A203)=1,"OK","FAIL")</x:f>
        <x:v>OK</x:v>
      </x:c>
    </x:row>
    <x:row r="204" ht="23" customHeight="1">
      <x:c r="A204" s="62" t="str">
        <x:v>DEMO01|2025|DOC2179|20</x:v>
      </x:c>
      <x:c r="B204" s="62" t="str">
        <x:v>CORRECTED</x:v>
      </x:c>
      <x:c r="C204" s="62" t="str">
        <x:v>差旅费</x:v>
      </x:c>
      <x:c r="D204" s="62" t="str">
        <x:v>差旅费</x:v>
      </x:c>
      <x:c r="E204" s="62" t="n">
        <x:v>4</x:v>
      </x:c>
      <x:c r="F204" s="62" t="n">
        <x:v>4</x:v>
      </x:c>
      <x:c r="G204" s="62" t="str">
        <x:v>DOC2179</x:v>
      </x:c>
      <x:c r="H204" s="62" t="n">
        <x:v>20</x:v>
      </x:c>
      <x:c r="I204" s="74" t="n">
        <x:v>45762</x:v>
      </x:c>
      <x:c r="J204" s="74" t="n">
        <x:v>45762</x:v>
      </x:c>
      <x:c r="K204" s="74" t="n">
        <x:v>45762</x:v>
      </x:c>
      <x:c r="L204" s="74" t="n">
        <x:v>45762</x:v>
      </x:c>
      <x:c r="M204" s="77" t="n">
        <x:v>3.554</x:v>
      </x:c>
      <x:c r="N204" s="77"/>
      <x:c r="O204" s="78"/>
      <x:c r="P204" s="79" t="n">
        <x:f>M204</x:f>
        <x:v>3.554</x:v>
      </x:c>
      <x:c r="Q204" s="79" t="n">
        <x:f>IF(D204="营业收入",-P204,P204)</x:f>
        <x:v>3.554</x:v>
      </x:c>
      <x:c r="R204" s="62" t="str">
        <x:v>CNY</x:v>
      </x:c>
      <x:c r="S204" s="62" t="str">
        <x:v>万元</x:v>
      </x:c>
      <x:c r="T204" s="62" t="str">
        <x:v>费用不含税</x:v>
      </x:c>
      <x:c r="U204" s="62" t="str">
        <x:v>安全运行部</x:v>
      </x:c>
      <x:c r="V204" s="62" t="str">
        <x:v>安全评估材料运输</x:v>
      </x:c>
      <x:c r="W204" s="62" t="str">
        <x:v>安全评估项目差旅报销</x:v>
      </x:c>
      <x:c r="X204" s="62" t="str">
        <x:v>中核运维</x:v>
      </x:c>
      <x:c r="Y204" s="62" t="str">
        <x:v>中核运维</x:v>
      </x:c>
      <x:c r="Z204" s="62" t="str">
        <x:v>17</x:v>
      </x:c>
      <x:c r="AA204" s="62" t="str">
        <x:v>安全评估</x:v>
      </x:c>
      <x:c r="AB204" s="62" t="str">
        <x:v>PRJ-AQ-安全-2025-003</x:v>
      </x:c>
      <x:c r="AC204" s="74" t="n">
        <x:v>46022</x:v>
      </x:c>
      <x:c r="AD204" s="71" t="str">
        <x:v>补凭证行号；差旅文本语义修正</x:v>
      </x:c>
      <x:c r="AE204" s="71" t="str">
        <x:v>2025年实际执行.xlsx</x:v>
      </x:c>
      <x:c r="AF204" s="71" t="str">
        <x:v>Sheet</x:v>
      </x:c>
      <x:c r="AG204" s="71" t="n">
        <x:v>204</x:v>
      </x:c>
      <x:c r="AH204" s="71" t="str">
        <x:v>2025年实际执行.xlsx/Sheet!204:204</x:v>
      </x:c>
      <x:c r="AI204" s="62" t="str">
        <x:f>IF(F204=MONTH(L204),"OK","FAIL")</x:f>
        <x:v>OK</x:v>
      </x:c>
      <x:c r="AJ204" s="62" t="str">
        <x:f>IF(J204&lt;=L204,"OK","FAIL")</x:f>
        <x:v>OK</x:v>
      </x:c>
      <x:c r="AK204" s="62" t="str">
        <x:f>IF(D204&lt;&gt;"营业收入","OK",IF(AND(P204&lt;0,Q204&gt;0),"OK","FAIL"))</x:f>
        <x:v>OK</x:v>
      </x:c>
      <x:c r="AL204" s="62" t="str">
        <x:f>IF(COUNTIF($A$2:$A$218,A204)=1,"OK","FAIL")</x:f>
        <x:v>OK</x:v>
      </x:c>
    </x:row>
    <x:row r="205" ht="23" customHeight="1">
      <x:c r="A205" s="62" t="str">
        <x:v>DEMO01|2025|DOC2182|10</x:v>
      </x:c>
      <x:c r="B205" s="62" t="str">
        <x:v>DERIVED_REVERSAL</x:v>
      </x:c>
      <x:c r="C205" s="62" t="str">
        <x:v>业务支持费</x:v>
      </x:c>
      <x:c r="D205" s="62" t="str">
        <x:v>业务支持费-其他</x:v>
      </x:c>
      <x:c r="E205" s="62"/>
      <x:c r="F205" s="62" t="n">
        <x:v>4</x:v>
      </x:c>
      <x:c r="G205" s="62" t="str">
        <x:v>DOC2182</x:v>
      </x:c>
      <x:c r="H205" s="62" t="n">
        <x:v>10</x:v>
      </x:c>
      <x:c r="I205" s="74"/>
      <x:c r="J205" s="74" t="n">
        <x:v>45767</x:v>
      </x:c>
      <x:c r="K205" s="74"/>
      <x:c r="L205" s="74" t="n">
        <x:v>45767</x:v>
      </x:c>
      <x:c r="M205" s="77"/>
      <x:c r="N205" s="77" t="n">
        <x:v>24.878</x:v>
      </x:c>
      <x:c r="O205" s="78"/>
      <x:c r="P205" s="79" t="n">
        <x:f>-N205</x:f>
        <x:v>-24.878</x:v>
      </x:c>
      <x:c r="Q205" s="79" t="n">
        <x:f>IF(D205="营业收入",-P205,P205)</x:f>
        <x:v>-24.878</x:v>
      </x:c>
      <x:c r="R205" s="62" t="str">
        <x:v>CNY</x:v>
      </x:c>
      <x:c r="S205" s="62" t="str">
        <x:v>万元</x:v>
      </x:c>
      <x:c r="T205" s="62" t="str">
        <x:v>费用不含税</x:v>
      </x:c>
      <x:c r="U205" s="62" t="str">
        <x:v>设备管理部</x:v>
      </x:c>
      <x:c r="V205" s="62" t="str">
        <x:v>计提设备维护_2024年末预提</x:v>
      </x:c>
      <x:c r="W205" s="62" t="str">
        <x:v>冲回设备维护_2024年末预提</x:v>
      </x:c>
      <x:c r="X205" s="62" t="str">
        <x:v>中核运维</x:v>
      </x:c>
      <x:c r="Y205" s="62" t="str">
        <x:v>中核运维</x:v>
      </x:c>
      <x:c r="Z205" s="62" t="str">
        <x:v>17</x:v>
      </x:c>
      <x:c r="AA205" s="62" t="str">
        <x:v>设备维护</x:v>
      </x:c>
      <x:c r="AB205" s="62" t="str">
        <x:v>PRJ-SB-设备-2024-001</x:v>
      </x:c>
      <x:c r="AC205" s="74" t="n">
        <x:v>46022</x:v>
      </x:c>
      <x:c r="AD205" s="71" t="str">
        <x:v>已结计提派生冲回；关联DOC1007与DOC2008</x:v>
      </x:c>
      <x:c r="AE205" s="71" t="str">
        <x:v>2024年实际执行.xlsx + 2025年实际执行.xlsx</x:v>
      </x:c>
      <x:c r="AF205" s="71" t="str">
        <x:v>Sheet</x:v>
      </x:c>
      <x:c r="AG205" s="71" t="n">
        <x:v>9</x:v>
      </x:c>
      <x:c r="AH205" s="71" t="str">
        <x:v>2024实际/Sheet!9:9；2025实际/Sheet!10:10</x:v>
      </x:c>
      <x:c r="AI205" s="62" t="str">
        <x:f>IF(F205=MONTH(L205),"OK","FAIL")</x:f>
        <x:v>OK</x:v>
      </x:c>
      <x:c r="AJ205" s="62" t="str">
        <x:f>IF(J205&lt;=L205,"OK","FAIL")</x:f>
        <x:v>OK</x:v>
      </x:c>
      <x:c r="AK205" s="62" t="str">
        <x:f>IF(D205&lt;&gt;"营业收入","OK",IF(AND(P205&lt;0,Q205&gt;0),"OK","FAIL"))</x:f>
        <x:v>OK</x:v>
      </x:c>
      <x:c r="AL205" s="62" t="str">
        <x:f>IF(COUNTIF($A$2:$A$218,A205)=1,"OK","FAIL")</x:f>
        <x:v>OK</x:v>
      </x:c>
    </x:row>
    <x:row r="206" ht="23" customHeight="1">
      <x:c r="A206" s="62" t="str">
        <x:v>DEMO01|2025|DOC2183|10</x:v>
      </x:c>
      <x:c r="B206" s="62" t="str">
        <x:v>DERIVED_REVERSAL</x:v>
      </x:c>
      <x:c r="C206" s="62" t="str">
        <x:v>业务支持费</x:v>
      </x:c>
      <x:c r="D206" s="62" t="str">
        <x:v>业务支持费-其他</x:v>
      </x:c>
      <x:c r="E206" s="62"/>
      <x:c r="F206" s="62" t="n">
        <x:v>4</x:v>
      </x:c>
      <x:c r="G206" s="62" t="str">
        <x:v>DOC2183</x:v>
      </x:c>
      <x:c r="H206" s="62" t="n">
        <x:v>10</x:v>
      </x:c>
      <x:c r="I206" s="74"/>
      <x:c r="J206" s="74" t="n">
        <x:v>45767</x:v>
      </x:c>
      <x:c r="K206" s="74"/>
      <x:c r="L206" s="74" t="n">
        <x:v>45767</x:v>
      </x:c>
      <x:c r="M206" s="77"/>
      <x:c r="N206" s="77" t="n">
        <x:v>26.2045</x:v>
      </x:c>
      <x:c r="O206" s="78"/>
      <x:c r="P206" s="79" t="n">
        <x:f>-N206</x:f>
        <x:v>-26.2045</x:v>
      </x:c>
      <x:c r="Q206" s="79" t="n">
        <x:f>IF(D206="营业收入",-P206,P206)</x:f>
        <x:v>-26.2045</x:v>
      </x:c>
      <x:c r="R206" s="62" t="str">
        <x:v>CNY</x:v>
      </x:c>
      <x:c r="S206" s="62" t="str">
        <x:v>万元</x:v>
      </x:c>
      <x:c r="T206" s="62" t="str">
        <x:v>费用不含税</x:v>
      </x:c>
      <x:c r="U206" s="62" t="str">
        <x:v>设备管理部</x:v>
      </x:c>
      <x:c r="V206" s="62" t="str">
        <x:v>计提设备维护_2024年末预提</x:v>
      </x:c>
      <x:c r="W206" s="62" t="str">
        <x:v>冲回设备维护_2024年末预提</x:v>
      </x:c>
      <x:c r="X206" s="62" t="str">
        <x:v>北京核工院</x:v>
      </x:c>
      <x:c r="Y206" s="62" t="str">
        <x:v>北京核工院</x:v>
      </x:c>
      <x:c r="Z206" s="62" t="str">
        <x:v>17</x:v>
      </x:c>
      <x:c r="AA206" s="62" t="str">
        <x:v>设备维护</x:v>
      </x:c>
      <x:c r="AB206" s="62" t="str">
        <x:v>PRJ-SB-设备-2025-002</x:v>
      </x:c>
      <x:c r="AC206" s="74" t="n">
        <x:v>46022</x:v>
      </x:c>
      <x:c r="AD206" s="71" t="str">
        <x:v>已结计提派生冲回；关联DOC1015与DOC2017</x:v>
      </x:c>
      <x:c r="AE206" s="71" t="str">
        <x:v>2024年实际执行.xlsx + 2025年实际执行.xlsx</x:v>
      </x:c>
      <x:c r="AF206" s="71" t="str">
        <x:v>Sheet</x:v>
      </x:c>
      <x:c r="AG206" s="71" t="n">
        <x:v>17</x:v>
      </x:c>
      <x:c r="AH206" s="71" t="str">
        <x:v>2024实际/Sheet!17:17；2025实际/Sheet!19:19</x:v>
      </x:c>
      <x:c r="AI206" s="62" t="str">
        <x:f>IF(F206=MONTH(L206),"OK","FAIL")</x:f>
        <x:v>OK</x:v>
      </x:c>
      <x:c r="AJ206" s="62" t="str">
        <x:f>IF(J206&lt;=L206,"OK","FAIL")</x:f>
        <x:v>OK</x:v>
      </x:c>
      <x:c r="AK206" s="62" t="str">
        <x:f>IF(D206&lt;&gt;"营业收入","OK",IF(AND(P206&lt;0,Q206&gt;0),"OK","FAIL"))</x:f>
        <x:v>OK</x:v>
      </x:c>
      <x:c r="AL206" s="62" t="str">
        <x:f>IF(COUNTIF($A$2:$A$218,A206)=1,"OK","FAIL")</x:f>
        <x:v>OK</x:v>
      </x:c>
    </x:row>
    <x:row r="207" ht="23" customHeight="1">
      <x:c r="A207" s="62" t="str">
        <x:v>DEMO01|2025|DOC2184|10</x:v>
      </x:c>
      <x:c r="B207" s="62" t="str">
        <x:v>DERIVED_REVERSAL</x:v>
      </x:c>
      <x:c r="C207" s="62" t="str">
        <x:v>业务支持费</x:v>
      </x:c>
      <x:c r="D207" s="62" t="str">
        <x:v>业务支持费-其他</x:v>
      </x:c>
      <x:c r="E207" s="62"/>
      <x:c r="F207" s="62" t="n">
        <x:v>4</x:v>
      </x:c>
      <x:c r="G207" s="62" t="str">
        <x:v>DOC2184</x:v>
      </x:c>
      <x:c r="H207" s="62" t="n">
        <x:v>10</x:v>
      </x:c>
      <x:c r="I207" s="74"/>
      <x:c r="J207" s="74" t="n">
        <x:v>45767</x:v>
      </x:c>
      <x:c r="K207" s="74"/>
      <x:c r="L207" s="74" t="n">
        <x:v>45767</x:v>
      </x:c>
      <x:c r="M207" s="77"/>
      <x:c r="N207" s="77" t="n">
        <x:v>5.019</x:v>
      </x:c>
      <x:c r="O207" s="78"/>
      <x:c r="P207" s="79" t="n">
        <x:f>-N207</x:f>
        <x:v>-5.019</x:v>
      </x:c>
      <x:c r="Q207" s="79" t="n">
        <x:f>IF(D207="营业收入",-P207,P207)</x:f>
        <x:v>-5.019</x:v>
      </x:c>
      <x:c r="R207" s="62" t="str">
        <x:v>CNY</x:v>
      </x:c>
      <x:c r="S207" s="62" t="str">
        <x:v>万元</x:v>
      </x:c>
      <x:c r="T207" s="62" t="str">
        <x:v>费用不含税</x:v>
      </x:c>
      <x:c r="U207" s="62" t="str">
        <x:v>技术部</x:v>
      </x:c>
      <x:c r="V207" s="62" t="str">
        <x:v>计提热能动力研究_2024年末预提</x:v>
      </x:c>
      <x:c r="W207" s="62" t="str">
        <x:v>冲回热能动力研究_2024年末预提</x:v>
      </x:c>
      <x:c r="X207" s="62" t="str">
        <x:v>中核运维</x:v>
      </x:c>
      <x:c r="Y207" s="62" t="str">
        <x:v>中核运维</x:v>
      </x:c>
      <x:c r="Z207" s="62" t="str">
        <x:v>17</x:v>
      </x:c>
      <x:c r="AA207" s="62" t="str">
        <x:v>热能动力研究</x:v>
      </x:c>
      <x:c r="AB207" s="62" t="str">
        <x:v>PRJ-JS-热能-2024-001</x:v>
      </x:c>
      <x:c r="AC207" s="74" t="n">
        <x:v>46022</x:v>
      </x:c>
      <x:c r="AD207" s="71" t="str">
        <x:v>已结计提派生冲回；关联DOC1030与DOC2034</x:v>
      </x:c>
      <x:c r="AE207" s="71" t="str">
        <x:v>2024年实际执行.xlsx + 2025年实际执行.xlsx</x:v>
      </x:c>
      <x:c r="AF207" s="71" t="str">
        <x:v>Sheet</x:v>
      </x:c>
      <x:c r="AG207" s="71" t="n">
        <x:v>32</x:v>
      </x:c>
      <x:c r="AH207" s="71" t="str">
        <x:v>2024实际/Sheet!32:32；2025实际/Sheet!36:36</x:v>
      </x:c>
      <x:c r="AI207" s="62" t="str">
        <x:f>IF(F207=MONTH(L207),"OK","FAIL")</x:f>
        <x:v>OK</x:v>
      </x:c>
      <x:c r="AJ207" s="62" t="str">
        <x:f>IF(J207&lt;=L207,"OK","FAIL")</x:f>
        <x:v>OK</x:v>
      </x:c>
      <x:c r="AK207" s="62" t="str">
        <x:f>IF(D207&lt;&gt;"营业收入","OK",IF(AND(P207&lt;0,Q207&gt;0),"OK","FAIL"))</x:f>
        <x:v>OK</x:v>
      </x:c>
      <x:c r="AL207" s="62" t="str">
        <x:f>IF(COUNTIF($A$2:$A$218,A207)=1,"OK","FAIL")</x:f>
        <x:v>OK</x:v>
      </x:c>
    </x:row>
    <x:row r="208" ht="23" customHeight="1">
      <x:c r="A208" s="62" t="str">
        <x:v>DEMO01|2025|DOC2185|10</x:v>
      </x:c>
      <x:c r="B208" s="62" t="str">
        <x:v>DERIVED_REVERSAL</x:v>
      </x:c>
      <x:c r="C208" s="62" t="str">
        <x:v>业务支持费</x:v>
      </x:c>
      <x:c r="D208" s="62" t="str">
        <x:v>业务支持费-其他</x:v>
      </x:c>
      <x:c r="E208" s="62"/>
      <x:c r="F208" s="62" t="n">
        <x:v>3</x:v>
      </x:c>
      <x:c r="G208" s="62" t="str">
        <x:v>DOC2185</x:v>
      </x:c>
      <x:c r="H208" s="62" t="n">
        <x:v>10</x:v>
      </x:c>
      <x:c r="I208" s="74"/>
      <x:c r="J208" s="74" t="n">
        <x:v>45736</x:v>
      </x:c>
      <x:c r="K208" s="74"/>
      <x:c r="L208" s="74" t="n">
        <x:v>45736</x:v>
      </x:c>
      <x:c r="M208" s="77"/>
      <x:c r="N208" s="77" t="n">
        <x:v>5.327</x:v>
      </x:c>
      <x:c r="O208" s="78"/>
      <x:c r="P208" s="79" t="n">
        <x:f>-N208</x:f>
        <x:v>-5.327</x:v>
      </x:c>
      <x:c r="Q208" s="79" t="n">
        <x:f>IF(D208="营业收入",-P208,P208)</x:f>
        <x:v>-5.327</x:v>
      </x:c>
      <x:c r="R208" s="62" t="str">
        <x:v>CNY</x:v>
      </x:c>
      <x:c r="S208" s="62" t="str">
        <x:v>万元</x:v>
      </x:c>
      <x:c r="T208" s="62" t="str">
        <x:v>费用不含税</x:v>
      </x:c>
      <x:c r="U208" s="62" t="str">
        <x:v>技术部</x:v>
      </x:c>
      <x:c r="V208" s="62" t="str">
        <x:v>计提热能动力研究_2024年末预提</x:v>
      </x:c>
      <x:c r="W208" s="62" t="str">
        <x:v>冲回热能动力研究_2024年末预提</x:v>
      </x:c>
      <x:c r="X208" s="62" t="str">
        <x:v>中核运维</x:v>
      </x:c>
      <x:c r="Y208" s="62" t="str">
        <x:v>中核运维</x:v>
      </x:c>
      <x:c r="Z208" s="62" t="str">
        <x:v>17</x:v>
      </x:c>
      <x:c r="AA208" s="62" t="str">
        <x:v>热能动力研究</x:v>
      </x:c>
      <x:c r="AB208" s="62" t="str">
        <x:v>PRJ-JS-热能-2025-002</x:v>
      </x:c>
      <x:c r="AC208" s="74" t="n">
        <x:v>46022</x:v>
      </x:c>
      <x:c r="AD208" s="71" t="str">
        <x:v>已结计提派生冲回；关联DOC1038与DOC2043</x:v>
      </x:c>
      <x:c r="AE208" s="71" t="str">
        <x:v>2024年实际执行.xlsx + 2025年实际执行.xlsx</x:v>
      </x:c>
      <x:c r="AF208" s="71" t="str">
        <x:v>Sheet</x:v>
      </x:c>
      <x:c r="AG208" s="71" t="n">
        <x:v>40</x:v>
      </x:c>
      <x:c r="AH208" s="71" t="str">
        <x:v>2024实际/Sheet!40:40；2025实际/Sheet!45:45</x:v>
      </x:c>
      <x:c r="AI208" s="62" t="str">
        <x:f>IF(F208=MONTH(L208),"OK","FAIL")</x:f>
        <x:v>OK</x:v>
      </x:c>
      <x:c r="AJ208" s="62" t="str">
        <x:f>IF(J208&lt;=L208,"OK","FAIL")</x:f>
        <x:v>OK</x:v>
      </x:c>
      <x:c r="AK208" s="62" t="str">
        <x:f>IF(D208&lt;&gt;"营业收入","OK",IF(AND(P208&lt;0,Q208&gt;0),"OK","FAIL"))</x:f>
        <x:v>OK</x:v>
      </x:c>
      <x:c r="AL208" s="62" t="str">
        <x:f>IF(COUNTIF($A$2:$A$218,A208)=1,"OK","FAIL")</x:f>
        <x:v>OK</x:v>
      </x:c>
    </x:row>
    <x:row r="209" ht="23" customHeight="1">
      <x:c r="A209" s="62" t="str">
        <x:v>DEMO01|2025|DOC2186|10</x:v>
      </x:c>
      <x:c r="B209" s="62" t="str">
        <x:v>DERIVED_REVERSAL</x:v>
      </x:c>
      <x:c r="C209" s="62" t="str">
        <x:v>业务支持费</x:v>
      </x:c>
      <x:c r="D209" s="62" t="str">
        <x:v>业务支持费-其他</x:v>
      </x:c>
      <x:c r="E209" s="62"/>
      <x:c r="F209" s="62" t="n">
        <x:v>3</x:v>
      </x:c>
      <x:c r="G209" s="62" t="str">
        <x:v>DOC2186</x:v>
      </x:c>
      <x:c r="H209" s="62" t="n">
        <x:v>10</x:v>
      </x:c>
      <x:c r="I209" s="74"/>
      <x:c r="J209" s="74" t="n">
        <x:v>45736</x:v>
      </x:c>
      <x:c r="K209" s="74"/>
      <x:c r="L209" s="74" t="n">
        <x:v>45736</x:v>
      </x:c>
      <x:c r="M209" s="77"/>
      <x:c r="N209" s="77" t="n">
        <x:v>5.866</x:v>
      </x:c>
      <x:c r="O209" s="78"/>
      <x:c r="P209" s="79" t="n">
        <x:f>-N209</x:f>
        <x:v>-5.866</x:v>
      </x:c>
      <x:c r="Q209" s="79" t="n">
        <x:f>IF(D209="营业收入",-P209,P209)</x:f>
        <x:v>-5.866</x:v>
      </x:c>
      <x:c r="R209" s="62" t="str">
        <x:v>CNY</x:v>
      </x:c>
      <x:c r="S209" s="62" t="str">
        <x:v>万元</x:v>
      </x:c>
      <x:c r="T209" s="62" t="str">
        <x:v>费用不含税</x:v>
      </x:c>
      <x:c r="U209" s="62" t="str">
        <x:v>技术部</x:v>
      </x:c>
      <x:c r="V209" s="62" t="str">
        <x:v>计提经验反馈改进_2024年末预提</x:v>
      </x:c>
      <x:c r="W209" s="62" t="str">
        <x:v>冲回经验反馈改进_2024年末预提</x:v>
      </x:c>
      <x:c r="X209" s="62" t="str">
        <x:v>华能服务</x:v>
      </x:c>
      <x:c r="Y209" s="62" t="str">
        <x:v>华能服务</x:v>
      </x:c>
      <x:c r="Z209" s="62" t="str">
        <x:v>17</x:v>
      </x:c>
      <x:c r="AA209" s="62" t="str">
        <x:v>经验反馈改进</x:v>
      </x:c>
      <x:c r="AB209" s="62" t="str">
        <x:v>PRJ-JS-经验-2024-001</x:v>
      </x:c>
      <x:c r="AC209" s="74" t="n">
        <x:v>46022</x:v>
      </x:c>
      <x:c r="AD209" s="71" t="str">
        <x:v>已结计提派生冲回；关联DOC1053与DOC2060</x:v>
      </x:c>
      <x:c r="AE209" s="71" t="str">
        <x:v>2024年实际执行.xlsx + 2025年实际执行.xlsx</x:v>
      </x:c>
      <x:c r="AF209" s="71" t="str">
        <x:v>Sheet</x:v>
      </x:c>
      <x:c r="AG209" s="71" t="n">
        <x:v>55</x:v>
      </x:c>
      <x:c r="AH209" s="71" t="str">
        <x:v>2024实际/Sheet!55:55；2025实际/Sheet!62:62</x:v>
      </x:c>
      <x:c r="AI209" s="62" t="str">
        <x:f>IF(F209=MONTH(L209),"OK","FAIL")</x:f>
        <x:v>OK</x:v>
      </x:c>
      <x:c r="AJ209" s="62" t="str">
        <x:f>IF(J209&lt;=L209,"OK","FAIL")</x:f>
        <x:v>OK</x:v>
      </x:c>
      <x:c r="AK209" s="62" t="str">
        <x:f>IF(D209&lt;&gt;"营业收入","OK",IF(AND(P209&lt;0,Q209&gt;0),"OK","FAIL"))</x:f>
        <x:v>OK</x:v>
      </x:c>
      <x:c r="AL209" s="62" t="str">
        <x:f>IF(COUNTIF($A$2:$A$218,A209)=1,"OK","FAIL")</x:f>
        <x:v>OK</x:v>
      </x:c>
    </x:row>
    <x:row r="210" ht="23" customHeight="1">
      <x:c r="A210" s="62" t="str">
        <x:v>DEMO01|2025|DOC2187|10</x:v>
      </x:c>
      <x:c r="B210" s="62" t="str">
        <x:v>DERIVED_REVERSAL</x:v>
      </x:c>
      <x:c r="C210" s="62" t="str">
        <x:v>业务支持费</x:v>
      </x:c>
      <x:c r="D210" s="62" t="str">
        <x:v>业务支持费-其他</x:v>
      </x:c>
      <x:c r="E210" s="62"/>
      <x:c r="F210" s="62" t="n">
        <x:v>3</x:v>
      </x:c>
      <x:c r="G210" s="62" t="str">
        <x:v>DOC2187</x:v>
      </x:c>
      <x:c r="H210" s="62" t="n">
        <x:v>10</x:v>
      </x:c>
      <x:c r="I210" s="74"/>
      <x:c r="J210" s="74" t="n">
        <x:v>45736</x:v>
      </x:c>
      <x:c r="K210" s="74"/>
      <x:c r="L210" s="74" t="n">
        <x:v>45736</x:v>
      </x:c>
      <x:c r="M210" s="77"/>
      <x:c r="N210" s="77" t="n">
        <x:v>5.6805</x:v>
      </x:c>
      <x:c r="O210" s="78"/>
      <x:c r="P210" s="79" t="n">
        <x:f>-N210</x:f>
        <x:v>-5.6805</x:v>
      </x:c>
      <x:c r="Q210" s="79" t="n">
        <x:f>IF(D210="营业收入",-P210,P210)</x:f>
        <x:v>-5.6805</x:v>
      </x:c>
      <x:c r="R210" s="62" t="str">
        <x:v>CNY</x:v>
      </x:c>
      <x:c r="S210" s="62" t="str">
        <x:v>万元</x:v>
      </x:c>
      <x:c r="T210" s="62" t="str">
        <x:v>费用不含税</x:v>
      </x:c>
      <x:c r="U210" s="62" t="str">
        <x:v>技术部</x:v>
      </x:c>
      <x:c r="V210" s="62" t="str">
        <x:v>计提经验反馈改进_2024年末预提</x:v>
      </x:c>
      <x:c r="W210" s="62" t="str">
        <x:v>冲回经验反馈改进_2024年末预提</x:v>
      </x:c>
      <x:c r="X210" s="62" t="str">
        <x:v>华能服务</x:v>
      </x:c>
      <x:c r="Y210" s="62" t="str">
        <x:v>华能服务</x:v>
      </x:c>
      <x:c r="Z210" s="62" t="str">
        <x:v>17</x:v>
      </x:c>
      <x:c r="AA210" s="62" t="str">
        <x:v>经验反馈改进</x:v>
      </x:c>
      <x:c r="AB210" s="62" t="str">
        <x:v>PRJ-JS-经验-2025-002</x:v>
      </x:c>
      <x:c r="AC210" s="74" t="n">
        <x:v>46022</x:v>
      </x:c>
      <x:c r="AD210" s="71" t="str">
        <x:v>已结计提派生冲回；关联DOC1061与DOC2069</x:v>
      </x:c>
      <x:c r="AE210" s="71" t="str">
        <x:v>2024年实际执行.xlsx + 2025年实际执行.xlsx</x:v>
      </x:c>
      <x:c r="AF210" s="71" t="str">
        <x:v>Sheet</x:v>
      </x:c>
      <x:c r="AG210" s="71" t="n">
        <x:v>63</x:v>
      </x:c>
      <x:c r="AH210" s="71" t="str">
        <x:v>2024实际/Sheet!63:63；2025实际/Sheet!71:71</x:v>
      </x:c>
      <x:c r="AI210" s="62" t="str">
        <x:f>IF(F210=MONTH(L210),"OK","FAIL")</x:f>
        <x:v>OK</x:v>
      </x:c>
      <x:c r="AJ210" s="62" t="str">
        <x:f>IF(J210&lt;=L210,"OK","FAIL")</x:f>
        <x:v>OK</x:v>
      </x:c>
      <x:c r="AK210" s="62" t="str">
        <x:f>IF(D210&lt;&gt;"营业收入","OK",IF(AND(P210&lt;0,Q210&gt;0),"OK","FAIL"))</x:f>
        <x:v>OK</x:v>
      </x:c>
      <x:c r="AL210" s="62" t="str">
        <x:f>IF(COUNTIF($A$2:$A$218,A210)=1,"OK","FAIL")</x:f>
        <x:v>OK</x:v>
      </x:c>
    </x:row>
    <x:row r="211" ht="23" customHeight="1">
      <x:c r="A211" s="62" t="str">
        <x:v>DEMO01|2025|DOC2188|10</x:v>
      </x:c>
      <x:c r="B211" s="62" t="str">
        <x:v>DERIVED_REVERSAL</x:v>
      </x:c>
      <x:c r="C211" s="62" t="str">
        <x:v>业务支持费</x:v>
      </x:c>
      <x:c r="D211" s="62" t="str">
        <x:v>业务支持费-其他</x:v>
      </x:c>
      <x:c r="E211" s="62"/>
      <x:c r="F211" s="62" t="n">
        <x:v>3</x:v>
      </x:c>
      <x:c r="G211" s="62" t="str">
        <x:v>DOC2188</x:v>
      </x:c>
      <x:c r="H211" s="62" t="n">
        <x:v>10</x:v>
      </x:c>
      <x:c r="I211" s="74"/>
      <x:c r="J211" s="74" t="n">
        <x:v>45736</x:v>
      </x:c>
      <x:c r="K211" s="74"/>
      <x:c r="L211" s="74" t="n">
        <x:v>45736</x:v>
      </x:c>
      <x:c r="M211" s="77"/>
      <x:c r="N211" s="77" t="n">
        <x:v>5.0645</x:v>
      </x:c>
      <x:c r="O211" s="78"/>
      <x:c r="P211" s="79" t="n">
        <x:f>-N211</x:f>
        <x:v>-5.0645</x:v>
      </x:c>
      <x:c r="Q211" s="79" t="n">
        <x:f>IF(D211="营业收入",-P211,P211)</x:f>
        <x:v>-5.0645</x:v>
      </x:c>
      <x:c r="R211" s="62" t="str">
        <x:v>CNY</x:v>
      </x:c>
      <x:c r="S211" s="62" t="str">
        <x:v>万元</x:v>
      </x:c>
      <x:c r="T211" s="62" t="str">
        <x:v>费用不含税</x:v>
      </x:c>
      <x:c r="U211" s="62" t="str">
        <x:v>技术部</x:v>
      </x:c>
      <x:c r="V211" s="62" t="str">
        <x:v>计提新技术应用_2024年末预提</x:v>
      </x:c>
      <x:c r="W211" s="62" t="str">
        <x:v>冲回新技术应用_2024年末预提</x:v>
      </x:c>
      <x:c r="X211" s="62" t="str">
        <x:v>苏州热工</x:v>
      </x:c>
      <x:c r="Y211" s="62" t="str">
        <x:v>苏州热工</x:v>
      </x:c>
      <x:c r="Z211" s="62" t="str">
        <x:v>17</x:v>
      </x:c>
      <x:c r="AA211" s="62" t="str">
        <x:v>新技术应用</x:v>
      </x:c>
      <x:c r="AB211" s="62" t="str">
        <x:v>PRJ-JS-新技-2024-001</x:v>
      </x:c>
      <x:c r="AC211" s="74" t="n">
        <x:v>46022</x:v>
      </x:c>
      <x:c r="AD211" s="71" t="str">
        <x:v>已结计提派生冲回；关联DOC1076与DOC2086</x:v>
      </x:c>
      <x:c r="AE211" s="71" t="str">
        <x:v>2024年实际执行.xlsx + 2025年实际执行.xlsx</x:v>
      </x:c>
      <x:c r="AF211" s="71" t="str">
        <x:v>Sheet</x:v>
      </x:c>
      <x:c r="AG211" s="71" t="n">
        <x:v>78</x:v>
      </x:c>
      <x:c r="AH211" s="71" t="str">
        <x:v>2024实际/Sheet!78:78；2025实际/Sheet!88:88</x:v>
      </x:c>
      <x:c r="AI211" s="62" t="str">
        <x:f>IF(F211=MONTH(L211),"OK","FAIL")</x:f>
        <x:v>OK</x:v>
      </x:c>
      <x:c r="AJ211" s="62" t="str">
        <x:f>IF(J211&lt;=L211,"OK","FAIL")</x:f>
        <x:v>OK</x:v>
      </x:c>
      <x:c r="AK211" s="62" t="str">
        <x:f>IF(D211&lt;&gt;"营业收入","OK",IF(AND(P211&lt;0,Q211&gt;0),"OK","FAIL"))</x:f>
        <x:v>OK</x:v>
      </x:c>
      <x:c r="AL211" s="62" t="str">
        <x:f>IF(COUNTIF($A$2:$A$218,A211)=1,"OK","FAIL")</x:f>
        <x:v>OK</x:v>
      </x:c>
    </x:row>
    <x:row r="212" ht="23" customHeight="1">
      <x:c r="A212" s="62" t="str">
        <x:v>DEMO01|2025|DOC2189|10</x:v>
      </x:c>
      <x:c r="B212" s="62" t="str">
        <x:v>DERIVED_REVERSAL</x:v>
      </x:c>
      <x:c r="C212" s="62" t="str">
        <x:v>业务支持费</x:v>
      </x:c>
      <x:c r="D212" s="62" t="str">
        <x:v>业务支持费-其他</x:v>
      </x:c>
      <x:c r="E212" s="62"/>
      <x:c r="F212" s="62" t="n">
        <x:v>6</x:v>
      </x:c>
      <x:c r="G212" s="62" t="str">
        <x:v>DOC2189</x:v>
      </x:c>
      <x:c r="H212" s="62" t="n">
        <x:v>10</x:v>
      </x:c>
      <x:c r="I212" s="74"/>
      <x:c r="J212" s="74" t="n">
        <x:v>45828</x:v>
      </x:c>
      <x:c r="K212" s="74"/>
      <x:c r="L212" s="74" t="n">
        <x:v>45828</x:v>
      </x:c>
      <x:c r="M212" s="77"/>
      <x:c r="N212" s="77" t="n">
        <x:v>6.069</x:v>
      </x:c>
      <x:c r="O212" s="78"/>
      <x:c r="P212" s="79" t="n">
        <x:f>-N212</x:f>
        <x:v>-6.069</x:v>
      </x:c>
      <x:c r="Q212" s="79" t="n">
        <x:f>IF(D212="营业收入",-P212,P212)</x:f>
        <x:v>-6.069</x:v>
      </x:c>
      <x:c r="R212" s="62" t="str">
        <x:v>CNY</x:v>
      </x:c>
      <x:c r="S212" s="62" t="str">
        <x:v>万元</x:v>
      </x:c>
      <x:c r="T212" s="62" t="str">
        <x:v>费用不含税</x:v>
      </x:c>
      <x:c r="U212" s="62" t="str">
        <x:v>技术部</x:v>
      </x:c>
      <x:c r="V212" s="62" t="str">
        <x:v>计提新技术应用_2024年末预提</x:v>
      </x:c>
      <x:c r="W212" s="62" t="str">
        <x:v>冲回新技术应用_2024年末预提</x:v>
      </x:c>
      <x:c r="X212" s="62" t="str">
        <x:v>北京核工院</x:v>
      </x:c>
      <x:c r="Y212" s="62" t="str">
        <x:v>北京核工院</x:v>
      </x:c>
      <x:c r="Z212" s="62" t="str">
        <x:v>17</x:v>
      </x:c>
      <x:c r="AA212" s="62" t="str">
        <x:v>新技术应用</x:v>
      </x:c>
      <x:c r="AB212" s="62" t="str">
        <x:v>PRJ-JS-新技-2025-002</x:v>
      </x:c>
      <x:c r="AC212" s="74" t="n">
        <x:v>46022</x:v>
      </x:c>
      <x:c r="AD212" s="71" t="str">
        <x:v>已结计提派生冲回；关联DOC1084与DOC2095</x:v>
      </x:c>
      <x:c r="AE212" s="71" t="str">
        <x:v>2024年实际执行.xlsx + 2025年实际执行.xlsx</x:v>
      </x:c>
      <x:c r="AF212" s="71" t="str">
        <x:v>Sheet</x:v>
      </x:c>
      <x:c r="AG212" s="71" t="n">
        <x:v>86</x:v>
      </x:c>
      <x:c r="AH212" s="71" t="str">
        <x:v>2024实际/Sheet!86:86；2025实际/Sheet!97:97</x:v>
      </x:c>
      <x:c r="AI212" s="62" t="str">
        <x:f>IF(F212=MONTH(L212),"OK","FAIL")</x:f>
        <x:v>OK</x:v>
      </x:c>
      <x:c r="AJ212" s="62" t="str">
        <x:f>IF(J212&lt;=L212,"OK","FAIL")</x:f>
        <x:v>OK</x:v>
      </x:c>
      <x:c r="AK212" s="62" t="str">
        <x:f>IF(D212&lt;&gt;"营业收入","OK",IF(AND(P212&lt;0,Q212&gt;0),"OK","FAIL"))</x:f>
        <x:v>OK</x:v>
      </x:c>
      <x:c r="AL212" s="62" t="str">
        <x:f>IF(COUNTIF($A$2:$A$218,A212)=1,"OK","FAIL")</x:f>
        <x:v>OK</x:v>
      </x:c>
    </x:row>
    <x:row r="213" ht="23" customHeight="1">
      <x:c r="A213" s="62" t="str">
        <x:v>DEMO01|2025|DOC2190|10</x:v>
      </x:c>
      <x:c r="B213" s="62" t="str">
        <x:v>DERIVED_REVERSAL</x:v>
      </x:c>
      <x:c r="C213" s="62" t="str">
        <x:v>业务支持费</x:v>
      </x:c>
      <x:c r="D213" s="62" t="str">
        <x:v>业务支持费-其他</x:v>
      </x:c>
      <x:c r="E213" s="62"/>
      <x:c r="F213" s="62" t="n">
        <x:v>5</x:v>
      </x:c>
      <x:c r="G213" s="62" t="str">
        <x:v>DOC2190</x:v>
      </x:c>
      <x:c r="H213" s="62" t="n">
        <x:v>10</x:v>
      </x:c>
      <x:c r="I213" s="74"/>
      <x:c r="J213" s="74" t="n">
        <x:v>45797</x:v>
      </x:c>
      <x:c r="K213" s="74"/>
      <x:c r="L213" s="74" t="n">
        <x:v>45797</x:v>
      </x:c>
      <x:c r="M213" s="77"/>
      <x:c r="N213" s="77" t="n">
        <x:v>5.593</x:v>
      </x:c>
      <x:c r="O213" s="78"/>
      <x:c r="P213" s="79" t="n">
        <x:f>-N213</x:f>
        <x:v>-5.593</x:v>
      </x:c>
      <x:c r="Q213" s="79" t="n">
        <x:f>IF(D213="营业收入",-P213,P213)</x:f>
        <x:v>-5.593</x:v>
      </x:c>
      <x:c r="R213" s="62" t="str">
        <x:v>CNY</x:v>
      </x:c>
      <x:c r="S213" s="62" t="str">
        <x:v>万元</x:v>
      </x:c>
      <x:c r="T213" s="62" t="str">
        <x:v>费用不含税</x:v>
      </x:c>
      <x:c r="U213" s="62" t="str">
        <x:v>安全运行部</x:v>
      </x:c>
      <x:c r="V213" s="62" t="str">
        <x:v>计提概率安全分析_2024年末预提</x:v>
      </x:c>
      <x:c r="W213" s="62" t="str">
        <x:v>冲回概率安全分析_2024年末预提</x:v>
      </x:c>
      <x:c r="X213" s="62" t="str">
        <x:v>上海电气</x:v>
      </x:c>
      <x:c r="Y213" s="62" t="str">
        <x:v>上海电气</x:v>
      </x:c>
      <x:c r="Z213" s="62" t="str">
        <x:v>17</x:v>
      </x:c>
      <x:c r="AA213" s="62" t="str">
        <x:v>概率安全分析</x:v>
      </x:c>
      <x:c r="AB213" s="62" t="str">
        <x:v>PRJ-AQ-概率-2024-001</x:v>
      </x:c>
      <x:c r="AC213" s="74" t="n">
        <x:v>46022</x:v>
      </x:c>
      <x:c r="AD213" s="71" t="str">
        <x:v>已结计提派生冲回；关联DOC1099与DOC2112</x:v>
      </x:c>
      <x:c r="AE213" s="71" t="str">
        <x:v>2024年实际执行.xlsx + 2025年实际执行.xlsx</x:v>
      </x:c>
      <x:c r="AF213" s="71" t="str">
        <x:v>Sheet</x:v>
      </x:c>
      <x:c r="AG213" s="71" t="n">
        <x:v>101</x:v>
      </x:c>
      <x:c r="AH213" s="71" t="str">
        <x:v>2024实际/Sheet!101:101；2025实际/Sheet!114:114</x:v>
      </x:c>
      <x:c r="AI213" s="62" t="str">
        <x:f>IF(F213=MONTH(L213),"OK","FAIL")</x:f>
        <x:v>OK</x:v>
      </x:c>
      <x:c r="AJ213" s="62" t="str">
        <x:f>IF(J213&lt;=L213,"OK","FAIL")</x:f>
        <x:v>OK</x:v>
      </x:c>
      <x:c r="AK213" s="62" t="str">
        <x:f>IF(D213&lt;&gt;"营业收入","OK",IF(AND(P213&lt;0,Q213&gt;0),"OK","FAIL"))</x:f>
        <x:v>OK</x:v>
      </x:c>
      <x:c r="AL213" s="62" t="str">
        <x:f>IF(COUNTIF($A$2:$A$218,A213)=1,"OK","FAIL")</x:f>
        <x:v>OK</x:v>
      </x:c>
    </x:row>
    <x:row r="214" ht="23" customHeight="1">
      <x:c r="A214" s="62" t="str">
        <x:v>DEMO01|2025|DOC2191|10</x:v>
      </x:c>
      <x:c r="B214" s="62" t="str">
        <x:v>DERIVED_REVERSAL</x:v>
      </x:c>
      <x:c r="C214" s="62" t="str">
        <x:v>业务支持费</x:v>
      </x:c>
      <x:c r="D214" s="62" t="str">
        <x:v>业务支持费-其他</x:v>
      </x:c>
      <x:c r="E214" s="62"/>
      <x:c r="F214" s="62" t="n">
        <x:v>4</x:v>
      </x:c>
      <x:c r="G214" s="62" t="str">
        <x:v>DOC2191</x:v>
      </x:c>
      <x:c r="H214" s="62" t="n">
        <x:v>10</x:v>
      </x:c>
      <x:c r="I214" s="74"/>
      <x:c r="J214" s="74" t="n">
        <x:v>45767</x:v>
      </x:c>
      <x:c r="K214" s="74"/>
      <x:c r="L214" s="74" t="n">
        <x:v>45767</x:v>
      </x:c>
      <x:c r="M214" s="77"/>
      <x:c r="N214" s="77" t="n">
        <x:v>6.7655</x:v>
      </x:c>
      <x:c r="O214" s="78"/>
      <x:c r="P214" s="79" t="n">
        <x:f>-N214</x:f>
        <x:v>-6.7655</x:v>
      </x:c>
      <x:c r="Q214" s="79" t="n">
        <x:f>IF(D214="营业收入",-P214,P214)</x:f>
        <x:v>-6.7655</x:v>
      </x:c>
      <x:c r="R214" s="62" t="str">
        <x:v>CNY</x:v>
      </x:c>
      <x:c r="S214" s="62" t="str">
        <x:v>万元</x:v>
      </x:c>
      <x:c r="T214" s="62" t="str">
        <x:v>费用不含税</x:v>
      </x:c>
      <x:c r="U214" s="62" t="str">
        <x:v>安全运行部</x:v>
      </x:c>
      <x:c r="V214" s="62" t="str">
        <x:v>计提概率安全分析_2024年末预提</x:v>
      </x:c>
      <x:c r="W214" s="62" t="str">
        <x:v>冲回概率安全分析_2024年末预提</x:v>
      </x:c>
      <x:c r="X214" s="62" t="str">
        <x:v>苏州热工</x:v>
      </x:c>
      <x:c r="Y214" s="62" t="str">
        <x:v>苏州热工</x:v>
      </x:c>
      <x:c r="Z214" s="62" t="str">
        <x:v>17</x:v>
      </x:c>
      <x:c r="AA214" s="62" t="str">
        <x:v>概率安全分析</x:v>
      </x:c>
      <x:c r="AB214" s="62" t="str">
        <x:v>PRJ-AQ-概率-2025-002</x:v>
      </x:c>
      <x:c r="AC214" s="74" t="n">
        <x:v>46022</x:v>
      </x:c>
      <x:c r="AD214" s="71" t="str">
        <x:v>已结计提派生冲回；关联DOC1107与DOC2121</x:v>
      </x:c>
      <x:c r="AE214" s="71" t="str">
        <x:v>2024年实际执行.xlsx + 2025年实际执行.xlsx</x:v>
      </x:c>
      <x:c r="AF214" s="71" t="str">
        <x:v>Sheet</x:v>
      </x:c>
      <x:c r="AG214" s="71" t="n">
        <x:v>109</x:v>
      </x:c>
      <x:c r="AH214" s="71" t="str">
        <x:v>2024实际/Sheet!109:109；2025实际/Sheet!123:123</x:v>
      </x:c>
      <x:c r="AI214" s="62" t="str">
        <x:f>IF(F214=MONTH(L214),"OK","FAIL")</x:f>
        <x:v>OK</x:v>
      </x:c>
      <x:c r="AJ214" s="62" t="str">
        <x:f>IF(J214&lt;=L214,"OK","FAIL")</x:f>
        <x:v>OK</x:v>
      </x:c>
      <x:c r="AK214" s="62" t="str">
        <x:f>IF(D214&lt;&gt;"营业收入","OK",IF(AND(P214&lt;0,Q214&gt;0),"OK","FAIL"))</x:f>
        <x:v>OK</x:v>
      </x:c>
      <x:c r="AL214" s="62" t="str">
        <x:f>IF(COUNTIF($A$2:$A$218,A214)=1,"OK","FAIL")</x:f>
        <x:v>OK</x:v>
      </x:c>
    </x:row>
    <x:row r="215" ht="23" customHeight="1">
      <x:c r="A215" s="62" t="str">
        <x:v>DEMO01|2025|DOC2192|10</x:v>
      </x:c>
      <x:c r="B215" s="62" t="str">
        <x:v>DERIVED_REVERSAL</x:v>
      </x:c>
      <x:c r="C215" s="62" t="str">
        <x:v>业务支持费</x:v>
      </x:c>
      <x:c r="D215" s="62" t="str">
        <x:v>业务支持费-其他</x:v>
      </x:c>
      <x:c r="E215" s="62"/>
      <x:c r="F215" s="62" t="n">
        <x:v>3</x:v>
      </x:c>
      <x:c r="G215" s="62" t="str">
        <x:v>DOC2192</x:v>
      </x:c>
      <x:c r="H215" s="62" t="n">
        <x:v>10</x:v>
      </x:c>
      <x:c r="I215" s="74"/>
      <x:c r="J215" s="74" t="n">
        <x:v>45736</x:v>
      </x:c>
      <x:c r="K215" s="74"/>
      <x:c r="L215" s="74" t="n">
        <x:v>45736</x:v>
      </x:c>
      <x:c r="M215" s="77"/>
      <x:c r="N215" s="77" t="n">
        <x:v>5.4565</x:v>
      </x:c>
      <x:c r="O215" s="78"/>
      <x:c r="P215" s="79" t="n">
        <x:f>-N215</x:f>
        <x:v>-5.4565</x:v>
      </x:c>
      <x:c r="Q215" s="79" t="n">
        <x:f>IF(D215="营业收入",-P215,P215)</x:f>
        <x:v>-5.4565</x:v>
      </x:c>
      <x:c r="R215" s="62" t="str">
        <x:v>CNY</x:v>
      </x:c>
      <x:c r="S215" s="62" t="str">
        <x:v>万元</x:v>
      </x:c>
      <x:c r="T215" s="62" t="str">
        <x:v>费用不含税</x:v>
      </x:c>
      <x:c r="U215" s="62" t="str">
        <x:v>安全运行部</x:v>
      </x:c>
      <x:c r="V215" s="62" t="str">
        <x:v>计提灾害防护_2024年末预提</x:v>
      </x:c>
      <x:c r="W215" s="62" t="str">
        <x:v>冲回灾害防护_2024年末预提</x:v>
      </x:c>
      <x:c r="X215" s="62" t="str">
        <x:v>国电智深</x:v>
      </x:c>
      <x:c r="Y215" s="62" t="str">
        <x:v>国电智深</x:v>
      </x:c>
      <x:c r="Z215" s="62" t="str">
        <x:v>17</x:v>
      </x:c>
      <x:c r="AA215" s="62" t="str">
        <x:v>灾害防护</x:v>
      </x:c>
      <x:c r="AB215" s="62" t="str">
        <x:v>PRJ-AQ-灾害-2024-001</x:v>
      </x:c>
      <x:c r="AC215" s="74" t="n">
        <x:v>46022</x:v>
      </x:c>
      <x:c r="AD215" s="71" t="str">
        <x:v>已结计提派生冲回；关联DOC1122与DOC2138</x:v>
      </x:c>
      <x:c r="AE215" s="71" t="str">
        <x:v>2024年实际执行.xlsx + 2025年实际执行.xlsx</x:v>
      </x:c>
      <x:c r="AF215" s="71" t="str">
        <x:v>Sheet</x:v>
      </x:c>
      <x:c r="AG215" s="71" t="n">
        <x:v>124</x:v>
      </x:c>
      <x:c r="AH215" s="71" t="str">
        <x:v>2024实际/Sheet!124:124；2025实际/Sheet!140:140</x:v>
      </x:c>
      <x:c r="AI215" s="62" t="str">
        <x:f>IF(F215=MONTH(L215),"OK","FAIL")</x:f>
        <x:v>OK</x:v>
      </x:c>
      <x:c r="AJ215" s="62" t="str">
        <x:f>IF(J215&lt;=L215,"OK","FAIL")</x:f>
        <x:v>OK</x:v>
      </x:c>
      <x:c r="AK215" s="62" t="str">
        <x:f>IF(D215&lt;&gt;"营业收入","OK",IF(AND(P215&lt;0,Q215&gt;0),"OK","FAIL"))</x:f>
        <x:v>OK</x:v>
      </x:c>
      <x:c r="AL215" s="62" t="str">
        <x:f>IF(COUNTIF($A$2:$A$218,A215)=1,"OK","FAIL")</x:f>
        <x:v>OK</x:v>
      </x:c>
    </x:row>
    <x:row r="216" ht="23" customHeight="1">
      <x:c r="A216" s="62" t="str">
        <x:v>DEMO01|2025|DOC2193|10</x:v>
      </x:c>
      <x:c r="B216" s="62" t="str">
        <x:v>DERIVED_REVERSAL</x:v>
      </x:c>
      <x:c r="C216" s="62" t="str">
        <x:v>业务支持费</x:v>
      </x:c>
      <x:c r="D216" s="62" t="str">
        <x:v>业务支持费-其他</x:v>
      </x:c>
      <x:c r="E216" s="62"/>
      <x:c r="F216" s="62" t="n">
        <x:v>4</x:v>
      </x:c>
      <x:c r="G216" s="62" t="str">
        <x:v>DOC2193</x:v>
      </x:c>
      <x:c r="H216" s="62" t="n">
        <x:v>10</x:v>
      </x:c>
      <x:c r="I216" s="74"/>
      <x:c r="J216" s="74" t="n">
        <x:v>45767</x:v>
      </x:c>
      <x:c r="K216" s="74"/>
      <x:c r="L216" s="74" t="n">
        <x:v>45767</x:v>
      </x:c>
      <x:c r="M216" s="77"/>
      <x:c r="N216" s="77" t="n">
        <x:v>5.593</x:v>
      </x:c>
      <x:c r="O216" s="78"/>
      <x:c r="P216" s="79" t="n">
        <x:f>-N216</x:f>
        <x:v>-5.593</x:v>
      </x:c>
      <x:c r="Q216" s="79" t="n">
        <x:f>IF(D216="营业收入",-P216,P216)</x:f>
        <x:v>-5.593</x:v>
      </x:c>
      <x:c r="R216" s="62" t="str">
        <x:v>CNY</x:v>
      </x:c>
      <x:c r="S216" s="62" t="str">
        <x:v>万元</x:v>
      </x:c>
      <x:c r="T216" s="62" t="str">
        <x:v>费用不含税</x:v>
      </x:c>
      <x:c r="U216" s="62" t="str">
        <x:v>安全运行部</x:v>
      </x:c>
      <x:c r="V216" s="62" t="str">
        <x:v>计提灾害防护_2024年末预提</x:v>
      </x:c>
      <x:c r="W216" s="62" t="str">
        <x:v>冲回灾害防护_2024年末预提</x:v>
      </x:c>
      <x:c r="X216" s="62" t="str">
        <x:v>国电智深</x:v>
      </x:c>
      <x:c r="Y216" s="62" t="str">
        <x:v>国电智深</x:v>
      </x:c>
      <x:c r="Z216" s="62" t="str">
        <x:v>17</x:v>
      </x:c>
      <x:c r="AA216" s="62" t="str">
        <x:v>灾害防护</x:v>
      </x:c>
      <x:c r="AB216" s="62" t="str">
        <x:v>PRJ-AQ-灾害-2025-002</x:v>
      </x:c>
      <x:c r="AC216" s="74" t="n">
        <x:v>46022</x:v>
      </x:c>
      <x:c r="AD216" s="71" t="str">
        <x:v>已结计提派生冲回；关联DOC1130与DOC2147</x:v>
      </x:c>
      <x:c r="AE216" s="71" t="str">
        <x:v>2024年实际执行.xlsx + 2025年实际执行.xlsx</x:v>
      </x:c>
      <x:c r="AF216" s="71" t="str">
        <x:v>Sheet</x:v>
      </x:c>
      <x:c r="AG216" s="71" t="n">
        <x:v>132</x:v>
      </x:c>
      <x:c r="AH216" s="71" t="str">
        <x:v>2024实际/Sheet!132:132；2025实际/Sheet!149:149</x:v>
      </x:c>
      <x:c r="AI216" s="62" t="str">
        <x:f>IF(F216=MONTH(L216),"OK","FAIL")</x:f>
        <x:v>OK</x:v>
      </x:c>
      <x:c r="AJ216" s="62" t="str">
        <x:f>IF(J216&lt;=L216,"OK","FAIL")</x:f>
        <x:v>OK</x:v>
      </x:c>
      <x:c r="AK216" s="62" t="str">
        <x:f>IF(D216&lt;&gt;"营业收入","OK",IF(AND(P216&lt;0,Q216&gt;0),"OK","FAIL"))</x:f>
        <x:v>OK</x:v>
      </x:c>
      <x:c r="AL216" s="62" t="str">
        <x:f>IF(COUNTIF($A$2:$A$218,A216)=1,"OK","FAIL")</x:f>
        <x:v>OK</x:v>
      </x:c>
    </x:row>
    <x:row r="217" ht="23" customHeight="1">
      <x:c r="A217" s="62" t="str">
        <x:v>DEMO01|2025|DOC2194|10</x:v>
      </x:c>
      <x:c r="B217" s="62" t="str">
        <x:v>DERIVED_REVERSAL</x:v>
      </x:c>
      <x:c r="C217" s="62" t="str">
        <x:v>业务支持费</x:v>
      </x:c>
      <x:c r="D217" s="62" t="str">
        <x:v>业务支持费-其他</x:v>
      </x:c>
      <x:c r="E217" s="62"/>
      <x:c r="F217" s="62" t="n">
        <x:v>6</x:v>
      </x:c>
      <x:c r="G217" s="62" t="str">
        <x:v>DOC2194</x:v>
      </x:c>
      <x:c r="H217" s="62" t="n">
        <x:v>10</x:v>
      </x:c>
      <x:c r="I217" s="74"/>
      <x:c r="J217" s="74" t="n">
        <x:v>45828</x:v>
      </x:c>
      <x:c r="K217" s="74"/>
      <x:c r="L217" s="74" t="n">
        <x:v>45828</x:v>
      </x:c>
      <x:c r="M217" s="77"/>
      <x:c r="N217" s="77" t="n">
        <x:v>6.104</x:v>
      </x:c>
      <x:c r="O217" s="78"/>
      <x:c r="P217" s="79" t="n">
        <x:f>-N217</x:f>
        <x:v>-6.104</x:v>
      </x:c>
      <x:c r="Q217" s="79" t="n">
        <x:f>IF(D217="营业收入",-P217,P217)</x:f>
        <x:v>-6.104</x:v>
      </x:c>
      <x:c r="R217" s="62" t="str">
        <x:v>CNY</x:v>
      </x:c>
      <x:c r="S217" s="62" t="str">
        <x:v>万元</x:v>
      </x:c>
      <x:c r="T217" s="62" t="str">
        <x:v>费用不含税</x:v>
      </x:c>
      <x:c r="U217" s="62" t="str">
        <x:v>安全运行部</x:v>
      </x:c>
      <x:c r="V217" s="62" t="str">
        <x:v>计提安全评估_2024年末预提</x:v>
      </x:c>
      <x:c r="W217" s="62" t="str">
        <x:v>冲回安全评估_2024年末预提</x:v>
      </x:c>
      <x:c r="X217" s="62" t="str">
        <x:v>国电智深</x:v>
      </x:c>
      <x:c r="Y217" s="62" t="str">
        <x:v>国电智深</x:v>
      </x:c>
      <x:c r="Z217" s="62" t="str">
        <x:v>17</x:v>
      </x:c>
      <x:c r="AA217" s="62" t="str">
        <x:v>安全评估</x:v>
      </x:c>
      <x:c r="AB217" s="62" t="str">
        <x:v>PRJ-AQ-安全-2024-001</x:v>
      </x:c>
      <x:c r="AC217" s="74" t="n">
        <x:v>46022</x:v>
      </x:c>
      <x:c r="AD217" s="71" t="str">
        <x:v>已结计提派生冲回；关联DOC1145与DOC2164</x:v>
      </x:c>
      <x:c r="AE217" s="71" t="str">
        <x:v>2024年实际执行.xlsx + 2025年实际执行.xlsx</x:v>
      </x:c>
      <x:c r="AF217" s="71" t="str">
        <x:v>Sheet</x:v>
      </x:c>
      <x:c r="AG217" s="71" t="n">
        <x:v>147</x:v>
      </x:c>
      <x:c r="AH217" s="71" t="str">
        <x:v>2024实际/Sheet!147:147；2025实际/Sheet!166:166</x:v>
      </x:c>
      <x:c r="AI217" s="62" t="str">
        <x:f>IF(F217=MONTH(L217),"OK","FAIL")</x:f>
        <x:v>OK</x:v>
      </x:c>
      <x:c r="AJ217" s="62" t="str">
        <x:f>IF(J217&lt;=L217,"OK","FAIL")</x:f>
        <x:v>OK</x:v>
      </x:c>
      <x:c r="AK217" s="62" t="str">
        <x:f>IF(D217&lt;&gt;"营业收入","OK",IF(AND(P217&lt;0,Q217&gt;0),"OK","FAIL"))</x:f>
        <x:v>OK</x:v>
      </x:c>
      <x:c r="AL217" s="62" t="str">
        <x:f>IF(COUNTIF($A$2:$A$218,A217)=1,"OK","FAIL")</x:f>
        <x:v>OK</x:v>
      </x:c>
    </x:row>
    <x:row r="218" ht="23" customHeight="1">
      <x:c r="A218" s="62" t="str">
        <x:v>DEMO01|2025|DOC2195|10</x:v>
      </x:c>
      <x:c r="B218" s="62" t="str">
        <x:v>DERIVED_REVERSAL</x:v>
      </x:c>
      <x:c r="C218" s="62" t="str">
        <x:v>业务支持费</x:v>
      </x:c>
      <x:c r="D218" s="62" t="str">
        <x:v>业务支持费-其他</x:v>
      </x:c>
      <x:c r="E218" s="62"/>
      <x:c r="F218" s="62" t="n">
        <x:v>6</x:v>
      </x:c>
      <x:c r="G218" s="62" t="str">
        <x:v>DOC2195</x:v>
      </x:c>
      <x:c r="H218" s="62" t="n">
        <x:v>10</x:v>
      </x:c>
      <x:c r="I218" s="74"/>
      <x:c r="J218" s="74" t="n">
        <x:v>45828</x:v>
      </x:c>
      <x:c r="K218" s="74"/>
      <x:c r="L218" s="74" t="n">
        <x:v>45828</x:v>
      </x:c>
      <x:c r="M218" s="77"/>
      <x:c r="N218" s="77" t="n">
        <x:v>6.2125</x:v>
      </x:c>
      <x:c r="O218" s="78"/>
      <x:c r="P218" s="79" t="n">
        <x:f>-N218</x:f>
        <x:v>-6.2125</x:v>
      </x:c>
      <x:c r="Q218" s="79" t="n">
        <x:f>IF(D218="营业收入",-P218,P218)</x:f>
        <x:v>-6.2125</x:v>
      </x:c>
      <x:c r="R218" s="62" t="str">
        <x:v>CNY</x:v>
      </x:c>
      <x:c r="S218" s="62" t="str">
        <x:v>万元</x:v>
      </x:c>
      <x:c r="T218" s="62" t="str">
        <x:v>费用不含税</x:v>
      </x:c>
      <x:c r="U218" s="62" t="str">
        <x:v>安全运行部</x:v>
      </x:c>
      <x:c r="V218" s="62" t="str">
        <x:v>计提安全评估_2024年末预提</x:v>
      </x:c>
      <x:c r="W218" s="62" t="str">
        <x:v>冲回安全评估_2024年末预提</x:v>
      </x:c>
      <x:c r="X218" s="62" t="str">
        <x:v>中核运维</x:v>
      </x:c>
      <x:c r="Y218" s="62" t="str">
        <x:v>中核运维</x:v>
      </x:c>
      <x:c r="Z218" s="62" t="str">
        <x:v>17</x:v>
      </x:c>
      <x:c r="AA218" s="62" t="str">
        <x:v>安全评估</x:v>
      </x:c>
      <x:c r="AB218" s="62" t="str">
        <x:v>PRJ-AQ-安全-2025-002</x:v>
      </x:c>
      <x:c r="AC218" s="74" t="n">
        <x:v>46022</x:v>
      </x:c>
      <x:c r="AD218" s="71" t="str">
        <x:v>已结计提派生冲回；关联DOC1153与DOC2173</x:v>
      </x:c>
      <x:c r="AE218" s="71" t="str">
        <x:v>2024年实际执行.xlsx + 2025年实际执行.xlsx</x:v>
      </x:c>
      <x:c r="AF218" s="71" t="str">
        <x:v>Sheet</x:v>
      </x:c>
      <x:c r="AG218" s="71" t="n">
        <x:v>155</x:v>
      </x:c>
      <x:c r="AH218" s="71" t="str">
        <x:v>2024实际/Sheet!155:155；2025实际/Sheet!175:175</x:v>
      </x:c>
      <x:c r="AI218" s="62" t="str">
        <x:f>IF(F218=MONTH(L218),"OK","FAIL")</x:f>
        <x:v>OK</x:v>
      </x:c>
      <x:c r="AJ218" s="62" t="str">
        <x:f>IF(J218&lt;=L218,"OK","FAIL")</x:f>
        <x:v>OK</x:v>
      </x:c>
      <x:c r="AK218" s="62" t="str">
        <x:f>IF(D218&lt;&gt;"营业收入","OK",IF(AND(P218&lt;0,Q218&gt;0),"OK","FAIL"))</x:f>
        <x:v>OK</x:v>
      </x:c>
      <x:c r="AL218" s="62" t="str">
        <x:f>IF(COUNTIF($A$2:$A$218,A218)=1,"OK","FAIL")</x:f>
        <x:v>OK</x:v>
      </x:c>
    </x:row>
  </x:sheetData>
  <x:conditionalFormatting sqref="AI2:AL218">
    <x:cfRule type="containsText" dxfId="8" priority="1" operator="containsText" text="OK"/>
    <x:cfRule type="containsText" dxfId="9" priority="2" operator="containsText" text="PASS"/>
    <x:cfRule type="containsText" dxfId="10" priority="3" operator="containsText" text="FAIL"/>
    <x:cfRule type="containsText" dxfId="11" priority="4" operator="containsText" text="阻塞"/>
    <x:cfRule type="containsText" dxfId="12" priority="5" operator="containsText" text="待复核"/>
  </x:conditionalFormatting>
  <x:conditionalFormatting sqref="B2:B218">
    <x:cfRule type="containsText" dxfId="13" priority="6" operator="containsText" text="SYNTHETIC_FOR_DEMO"/>
    <x:cfRule type="containsText" dxfId="14" priority="7" operator="containsText" text="DERIVED_REVERSAL"/>
    <x:cfRule type="containsText" dxfId="15" priority="8" operator="containsText" text="CORRECT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22" hidden="0" customWidth="1"/>
    <x:col min="5" max="5" width="20" hidden="0" customWidth="1"/>
    <x:col min="6" max="6" width="14" hidden="0" customWidth="1"/>
    <x:col min="7" max="7" width="14" hidden="0" customWidth="1"/>
    <x:col min="8" max="8" width="15" hidden="0" customWidth="1"/>
    <x:col min="9" max="9" width="11" hidden="0" customWidth="1"/>
    <x:col min="10" max="10" width="13" hidden="0" customWidth="1"/>
    <x:col min="11" max="11" width="14" hidden="0" customWidth="1"/>
    <x:col min="12" max="12" width="13" hidden="0" customWidth="1"/>
    <x:col min="13" max="13" width="18" hidden="0" customWidth="1"/>
    <x:col min="14" max="14" width="14" hidden="0" customWidth="1"/>
    <x:col min="15" max="15" width="24" hidden="0" customWidth="1"/>
    <x:col min="16" max="16" width="26" hidden="0" customWidth="1"/>
    <x:col min="17" max="17" width="17" hidden="0" customWidth="1"/>
    <x:col min="18" max="18" width="18" hidden="0" customWidth="1"/>
    <x:col min="19" max="19" width="10" hidden="0" customWidth="1"/>
    <x:col min="20" max="20" width="10" hidden="0" customWidth="1"/>
    <x:col min="21" max="21" width="24" hidden="0" customWidth="1"/>
    <x:col min="22" max="22" width="28" hidden="0" customWidth="1"/>
    <x:col min="23" max="23" width="30" hidden="0" customWidth="1"/>
    <x:col min="24" max="24" width="12" hidden="0" customWidth="1"/>
    <x:col min="25" max="25" width="10" hidden="0" customWidth="1"/>
    <x:col min="26" max="26" width="42" hidden="0" customWidth="1"/>
  </x:cols>
  <x:sheetData>
    <x:row r="1" ht="34" customHeight="1">
      <x:c r="A1" s="68" t="str">
        <x:v>scenarioId</x:v>
      </x:c>
      <x:c r="B1" s="69" t="str">
        <x:v>预算年度</x:v>
      </x:c>
      <x:c r="C1" s="69" t="str">
        <x:v>预算版本</x:v>
      </x:c>
      <x:c r="D1" s="69" t="str">
        <x:v>情景</x:v>
      </x:c>
      <x:c r="E1" s="69" t="str">
        <x:v>审批状态</x:v>
      </x:c>
      <x:c r="F1" s="69" t="str">
        <x:v>快照时点</x:v>
      </x:c>
      <x:c r="G1" s="69" t="str">
        <x:v>数据标记</x:v>
      </x:c>
      <x:c r="H1" s="69" t="str">
        <x:v>电子单号</x:v>
      </x:c>
      <x:c r="I1" s="69" t="str">
        <x:v>单据行号</x:v>
      </x:c>
      <x:c r="J1" s="69" t="str">
        <x:v>源预算年度</x:v>
      </x:c>
      <x:c r="K1" s="69" t="str">
        <x:v>调整类型</x:v>
      </x:c>
      <x:c r="L1" s="69" t="str">
        <x:v>调整日期</x:v>
      </x:c>
      <x:c r="M1" s="69" t="str">
        <x:v>部门</x:v>
      </x:c>
      <x:c r="N1" s="69" t="str">
        <x:v>预算类型</x:v>
      </x:c>
      <x:c r="O1" s="69" t="str">
        <x:v>预算科目_源</x:v>
      </x:c>
      <x:c r="P1" s="69" t="str">
        <x:v>预算科目_语义</x:v>
      </x:c>
      <x:c r="Q1" s="69" t="str">
        <x:v>最终批准金额</x:v>
      </x:c>
      <x:c r="R1" s="69" t="str">
        <x:v>备注</x:v>
      </x:c>
      <x:c r="S1" s="69" t="str">
        <x:v>币种</x:v>
      </x:c>
      <x:c r="T1" s="69" t="str">
        <x:v>金额单位</x:v>
      </x:c>
      <x:c r="U1" s="69" t="str">
        <x:v>费用口径</x:v>
      </x:c>
      <x:c r="V1" s="69" t="str">
        <x:v>稳定键</x:v>
      </x:c>
      <x:c r="W1" s="69" t="str">
        <x:v>来源文件</x:v>
      </x:c>
      <x:c r="X1" s="69" t="str">
        <x:v>来源成员</x:v>
      </x:c>
      <x:c r="Y1" s="69" t="str">
        <x:v>源行</x:v>
      </x:c>
      <x:c r="Z1" s="70" t="str">
        <x:v>源行锚点</x:v>
      </x:c>
    </x:row>
    <x:row r="2">
      <x:c r="A2" s="62" t="str">
        <x:v>S002</x:v>
      </x:c>
      <x:c r="B2" s="62" t="n">
        <x:v>2024</x:v>
      </x:c>
      <x:c r="C2" s="62" t="str">
        <x:v>FY2024-APPROVED-FINAL-v1</x:v>
      </x:c>
      <x:c r="D2" s="62" t="str">
        <x:v>APPROVED_BUDGET</x:v>
      </x:c>
      <x:c r="E2" s="62" t="str">
        <x:v>FINAL_APPROVED</x:v>
      </x:c>
      <x:c r="F2" s="74" t="n">
        <x:v>45306</x:v>
      </x:c>
      <x:c r="G2" s="62" t="str">
        <x:v>SOURCE</x:v>
      </x:c>
      <x:c r="H2" s="62" t="str">
        <x:v>ADJ5024</x:v>
      </x:c>
      <x:c r="I2" s="62" t="n">
        <x:v>10</x:v>
      </x:c>
      <x:c r="J2" s="62" t="n">
        <x:v>2024</x:v>
      </x:c>
      <x:c r="K2" s="62" t="str">
        <x:v>年度下达</x:v>
      </x:c>
      <x:c r="L2" s="74" t="n">
        <x:v>45292</x:v>
      </x:c>
      <x:c r="M2" s="62" t="str">
        <x:v>设备管理部</x:v>
      </x:c>
      <x:c r="N2" s="62" t="str">
        <x:v>收入预算</x:v>
      </x:c>
      <x:c r="O2" s="62" t="str">
        <x:v>营业收入</x:v>
      </x:c>
      <x:c r="P2" s="62" t="str">
        <x:v>营业收入</x:v>
      </x:c>
      <x:c r="Q2" s="81" t="n">
        <x:v>357</x:v>
      </x:c>
      <x:c r="R2" s="62" t="str">
        <x:v>15</x:v>
      </x:c>
      <x:c r="S2" s="62" t="str">
        <x:v>CNY</x:v>
      </x:c>
      <x:c r="T2" s="62" t="str">
        <x:v>万元</x:v>
      </x:c>
      <x:c r="U2" s="71" t="str">
        <x:v>收入净额（演示口径）</x:v>
      </x:c>
      <x:c r="V2" s="71" t="str">
        <x:v>2024|ADJ5024|10</x:v>
      </x:c>
      <x:c r="W2" s="71" t="str">
        <x:v>2024年预算下达明细.xlsx</x:v>
      </x:c>
      <x:c r="X2" s="71" t="str">
        <x:v>Sheet</x:v>
      </x:c>
      <x:c r="Y2" s="71" t="n">
        <x:v>2</x:v>
      </x:c>
      <x:c r="Z2" s="71" t="str">
        <x:v>2024年预算下达明细.xlsx/Sheet!2:2</x:v>
      </x:c>
    </x:row>
    <x:row r="3">
      <x:c r="A3" s="62" t="str">
        <x:v>S002</x:v>
      </x:c>
      <x:c r="B3" s="62" t="n">
        <x:v>2024</x:v>
      </x:c>
      <x:c r="C3" s="62" t="str">
        <x:v>FY2024-APPROVED-FINAL-v1</x:v>
      </x:c>
      <x:c r="D3" s="62" t="str">
        <x:v>APPROVED_BUDGET</x:v>
      </x:c>
      <x:c r="E3" s="62" t="str">
        <x:v>FINAL_APPROVED</x:v>
      </x:c>
      <x:c r="F3" s="74" t="n">
        <x:v>45306</x:v>
      </x:c>
      <x:c r="G3" s="62" t="str">
        <x:v>SOURCE</x:v>
      </x:c>
      <x:c r="H3" s="62" t="str">
        <x:v>ADJ5025</x:v>
      </x:c>
      <x:c r="I3" s="62" t="n">
        <x:v>10</x:v>
      </x:c>
      <x:c r="J3" s="62" t="n">
        <x:v>2024</x:v>
      </x:c>
      <x:c r="K3" s="62" t="str">
        <x:v>年度下达</x:v>
      </x:c>
      <x:c r="L3" s="74" t="n">
        <x:v>45306</x:v>
      </x:c>
      <x:c r="M3" s="62" t="str">
        <x:v>设备管理部</x:v>
      </x:c>
      <x:c r="N3" s="62" t="str">
        <x:v>项目预算</x:v>
      </x:c>
      <x:c r="O3" s="62" t="str">
        <x:v>差旅费</x:v>
      </x:c>
      <x:c r="P3" s="62" t="str">
        <x:v>差旅费</x:v>
      </x:c>
      <x:c r="Q3" s="81" t="n">
        <x:v>48.9</x:v>
      </x:c>
      <x:c r="R3" s="62" t="str">
        <x:v>15</x:v>
      </x:c>
      <x:c r="S3" s="62" t="str">
        <x:v>CNY</x:v>
      </x:c>
      <x:c r="T3" s="62" t="str">
        <x:v>万元</x:v>
      </x:c>
      <x:c r="U3" s="71" t="str">
        <x:v>费用不含税</x:v>
      </x:c>
      <x:c r="V3" s="71" t="str">
        <x:v>2024|ADJ5025|10</x:v>
      </x:c>
      <x:c r="W3" s="71" t="str">
        <x:v>2024年预算下达明细.xlsx</x:v>
      </x:c>
      <x:c r="X3" s="71" t="str">
        <x:v>Sheet</x:v>
      </x:c>
      <x:c r="Y3" s="71" t="n">
        <x:v>3</x:v>
      </x:c>
      <x:c r="Z3" s="71" t="str">
        <x:v>2024年预算下达明细.xlsx/Sheet!3:3</x:v>
      </x:c>
    </x:row>
    <x:row r="4">
      <x:c r="A4" s="62" t="str">
        <x:v>S002</x:v>
      </x:c>
      <x:c r="B4" s="62" t="n">
        <x:v>2024</x:v>
      </x:c>
      <x:c r="C4" s="62" t="str">
        <x:v>FY2024-APPROVED-FINAL-v1</x:v>
      </x:c>
      <x:c r="D4" s="62" t="str">
        <x:v>APPROVED_BUDGET</x:v>
      </x:c>
      <x:c r="E4" s="62" t="str">
        <x:v>FINAL_APPROVED</x:v>
      </x:c>
      <x:c r="F4" s="74" t="n">
        <x:v>45306</x:v>
      </x:c>
      <x:c r="G4" s="62" t="str">
        <x:v>SOURCE</x:v>
      </x:c>
      <x:c r="H4" s="62" t="str">
        <x:v>ADJ5026</x:v>
      </x:c>
      <x:c r="I4" s="62" t="n">
        <x:v>10</x:v>
      </x:c>
      <x:c r="J4" s="62" t="n">
        <x:v>2024</x:v>
      </x:c>
      <x:c r="K4" s="62" t="str">
        <x:v>年度下达</x:v>
      </x:c>
      <x:c r="L4" s="74" t="n">
        <x:v>45306</x:v>
      </x:c>
      <x:c r="M4" s="62" t="str">
        <x:v>设备管理部</x:v>
      </x:c>
      <x:c r="N4" s="62" t="str">
        <x:v>项目预算</x:v>
      </x:c>
      <x:c r="O4" s="62" t="str">
        <x:v>生产物料费</x:v>
      </x:c>
      <x:c r="P4" s="62" t="str">
        <x:v>生产物料费</x:v>
      </x:c>
      <x:c r="Q4" s="81" t="n">
        <x:v>45.2</x:v>
      </x:c>
      <x:c r="R4" s="62" t="str">
        <x:v>15</x:v>
      </x:c>
      <x:c r="S4" s="62" t="str">
        <x:v>CNY</x:v>
      </x:c>
      <x:c r="T4" s="62" t="str">
        <x:v>万元</x:v>
      </x:c>
      <x:c r="U4" s="71" t="str">
        <x:v>费用不含税</x:v>
      </x:c>
      <x:c r="V4" s="71" t="str">
        <x:v>2024|ADJ5026|10</x:v>
      </x:c>
      <x:c r="W4" s="71" t="str">
        <x:v>2024年预算下达明细.xlsx</x:v>
      </x:c>
      <x:c r="X4" s="71" t="str">
        <x:v>Sheet</x:v>
      </x:c>
      <x:c r="Y4" s="71" t="n">
        <x:v>4</x:v>
      </x:c>
      <x:c r="Z4" s="71" t="str">
        <x:v>2024年预算下达明细.xlsx/Sheet!4:4</x:v>
      </x:c>
    </x:row>
    <x:row r="5">
      <x:c r="A5" s="62" t="str">
        <x:v>S002</x:v>
      </x:c>
      <x:c r="B5" s="62" t="n">
        <x:v>2024</x:v>
      </x:c>
      <x:c r="C5" s="62" t="str">
        <x:v>FY2024-APPROVED-FINAL-v1</x:v>
      </x:c>
      <x:c r="D5" s="62" t="str">
        <x:v>APPROVED_BUDGET</x:v>
      </x:c>
      <x:c r="E5" s="62" t="str">
        <x:v>FINAL_APPROVED</x:v>
      </x:c>
      <x:c r="F5" s="74" t="n">
        <x:v>45306</x:v>
      </x:c>
      <x:c r="G5" s="62" t="str">
        <x:v>SOURCE</x:v>
      </x:c>
      <x:c r="H5" s="62" t="str">
        <x:v>ADJ5027</x:v>
      </x:c>
      <x:c r="I5" s="62" t="n">
        <x:v>10</x:v>
      </x:c>
      <x:c r="J5" s="62" t="n">
        <x:v>2024</x:v>
      </x:c>
      <x:c r="K5" s="62" t="str">
        <x:v>年度下达</x:v>
      </x:c>
      <x:c r="L5" s="74" t="n">
        <x:v>45306</x:v>
      </x:c>
      <x:c r="M5" s="62" t="str">
        <x:v>设备管理部</x:v>
      </x:c>
      <x:c r="N5" s="62" t="str">
        <x:v>项目预算</x:v>
      </x:c>
      <x:c r="O5" s="62" t="str">
        <x:v>会议费</x:v>
      </x:c>
      <x:c r="P5" s="62" t="str">
        <x:v>会议费</x:v>
      </x:c>
      <x:c r="Q5" s="81" t="n">
        <x:v>18.8</x:v>
      </x:c>
      <x:c r="R5" s="62" t="str">
        <x:v>15</x:v>
      </x:c>
      <x:c r="S5" s="62" t="str">
        <x:v>CNY</x:v>
      </x:c>
      <x:c r="T5" s="62" t="str">
        <x:v>万元</x:v>
      </x:c>
      <x:c r="U5" s="71" t="str">
        <x:v>费用不含税</x:v>
      </x:c>
      <x:c r="V5" s="71" t="str">
        <x:v>2024|ADJ5027|10</x:v>
      </x:c>
      <x:c r="W5" s="71" t="str">
        <x:v>2024年预算下达明细.xlsx</x:v>
      </x:c>
      <x:c r="X5" s="71" t="str">
        <x:v>Sheet</x:v>
      </x:c>
      <x:c r="Y5" s="71" t="n">
        <x:v>5</x:v>
      </x:c>
      <x:c r="Z5" s="71" t="str">
        <x:v>2024年预算下达明细.xlsx/Sheet!5:5</x:v>
      </x:c>
    </x:row>
    <x:row r="6">
      <x:c r="A6" s="62" t="str">
        <x:v>S002</x:v>
      </x:c>
      <x:c r="B6" s="62" t="n">
        <x:v>2024</x:v>
      </x:c>
      <x:c r="C6" s="62" t="str">
        <x:v>FY2024-APPROVED-FINAL-v1</x:v>
      </x:c>
      <x:c r="D6" s="62" t="str">
        <x:v>APPROVED_BUDGET</x:v>
      </x:c>
      <x:c r="E6" s="62" t="str">
        <x:v>FINAL_APPROVED</x:v>
      </x:c>
      <x:c r="F6" s="74" t="n">
        <x:v>45306</x:v>
      </x:c>
      <x:c r="G6" s="62" t="str">
        <x:v>SOURCE</x:v>
      </x:c>
      <x:c r="H6" s="62" t="str">
        <x:v>ADJ5028</x:v>
      </x:c>
      <x:c r="I6" s="62" t="n">
        <x:v>10</x:v>
      </x:c>
      <x:c r="J6" s="62" t="n">
        <x:v>2024</x:v>
      </x:c>
      <x:c r="K6" s="62" t="str">
        <x:v>年度下达</x:v>
      </x:c>
      <x:c r="L6" s="74" t="n">
        <x:v>45306</x:v>
      </x:c>
      <x:c r="M6" s="62" t="str">
        <x:v>设备管理部</x:v>
      </x:c>
      <x:c r="N6" s="62" t="str">
        <x:v>项目预算</x:v>
      </x:c>
      <x:c r="O6" s="62" t="str">
        <x:v>业务支持费</x:v>
      </x:c>
      <x:c r="P6" s="62" t="str">
        <x:v>业务支持费-其他</x:v>
      </x:c>
      <x:c r="Q6" s="81" t="n">
        <x:v>131.8</x:v>
      </x:c>
      <x:c r="R6" s="62" t="str">
        <x:v>15</x:v>
      </x:c>
      <x:c r="S6" s="62" t="str">
        <x:v>CNY</x:v>
      </x:c>
      <x:c r="T6" s="62" t="str">
        <x:v>万元</x:v>
      </x:c>
      <x:c r="U6" s="71" t="str">
        <x:v>费用不含税</x:v>
      </x:c>
      <x:c r="V6" s="71" t="str">
        <x:v>2024|ADJ5028|10</x:v>
      </x:c>
      <x:c r="W6" s="71" t="str">
        <x:v>2024年预算下达明细.xlsx</x:v>
      </x:c>
      <x:c r="X6" s="71" t="str">
        <x:v>Sheet</x:v>
      </x:c>
      <x:c r="Y6" s="71" t="n">
        <x:v>6</x:v>
      </x:c>
      <x:c r="Z6" s="71" t="str">
        <x:v>2024年预算下达明细.xlsx/Sheet!6:6</x:v>
      </x:c>
    </x:row>
    <x:row r="7">
      <x:c r="A7" s="62" t="str">
        <x:v>S002</x:v>
      </x:c>
      <x:c r="B7" s="62" t="n">
        <x:v>2024</x:v>
      </x:c>
      <x:c r="C7" s="62" t="str">
        <x:v>FY2024-APPROVED-FINAL-v1</x:v>
      </x:c>
      <x:c r="D7" s="62" t="str">
        <x:v>APPROVED_BUDGET</x:v>
      </x:c>
      <x:c r="E7" s="62" t="str">
        <x:v>FINAL_APPROVED</x:v>
      </x:c>
      <x:c r="F7" s="74" t="n">
        <x:v>45306</x:v>
      </x:c>
      <x:c r="G7" s="62" t="str">
        <x:v>SOURCE</x:v>
      </x:c>
      <x:c r="H7" s="62" t="str">
        <x:v>ADJ5029</x:v>
      </x:c>
      <x:c r="I7" s="62" t="n">
        <x:v>10</x:v>
      </x:c>
      <x:c r="J7" s="62" t="n">
        <x:v>2024</x:v>
      </x:c>
      <x:c r="K7" s="62" t="str">
        <x:v>年度下达</x:v>
      </x:c>
      <x:c r="L7" s="74" t="n">
        <x:v>45306</x:v>
      </x:c>
      <x:c r="M7" s="62" t="str">
        <x:v>设备管理部</x:v>
      </x:c>
      <x:c r="N7" s="62" t="str">
        <x:v>项目预算</x:v>
      </x:c>
      <x:c r="O7" s="62" t="str">
        <x:v>交通运输费</x:v>
      </x:c>
      <x:c r="P7" s="62" t="str">
        <x:v>交通运输费</x:v>
      </x:c>
      <x:c r="Q7" s="81" t="n">
        <x:v>22.6</x:v>
      </x:c>
      <x:c r="R7" s="62" t="str">
        <x:v>15</x:v>
      </x:c>
      <x:c r="S7" s="62" t="str">
        <x:v>CNY</x:v>
      </x:c>
      <x:c r="T7" s="62" t="str">
        <x:v>万元</x:v>
      </x:c>
      <x:c r="U7" s="71" t="str">
        <x:v>费用不含税</x:v>
      </x:c>
      <x:c r="V7" s="71" t="str">
        <x:v>2024|ADJ5029|10</x:v>
      </x:c>
      <x:c r="W7" s="71" t="str">
        <x:v>2024年预算下达明细.xlsx</x:v>
      </x:c>
      <x:c r="X7" s="71" t="str">
        <x:v>Sheet</x:v>
      </x:c>
      <x:c r="Y7" s="71" t="n">
        <x:v>7</x:v>
      </x:c>
      <x:c r="Z7" s="71" t="str">
        <x:v>2024年预算下达明细.xlsx/Sheet!7:7</x:v>
      </x:c>
    </x:row>
    <x:row r="8">
      <x:c r="A8" s="62" t="str">
        <x:v>S002</x:v>
      </x:c>
      <x:c r="B8" s="62" t="n">
        <x:v>2024</x:v>
      </x:c>
      <x:c r="C8" s="62" t="str">
        <x:v>FY2024-APPROVED-FINAL-v1</x:v>
      </x:c>
      <x:c r="D8" s="62" t="str">
        <x:v>APPROVED_BUDGET</x:v>
      </x:c>
      <x:c r="E8" s="62" t="str">
        <x:v>FINAL_APPROVED</x:v>
      </x:c>
      <x:c r="F8" s="74" t="n">
        <x:v>45306</x:v>
      </x:c>
      <x:c r="G8" s="62" t="str">
        <x:v>SOURCE</x:v>
      </x:c>
      <x:c r="H8" s="62" t="str">
        <x:v>ADJ5030</x:v>
      </x:c>
      <x:c r="I8" s="62" t="n">
        <x:v>10</x:v>
      </x:c>
      <x:c r="J8" s="62" t="n">
        <x:v>2024</x:v>
      </x:c>
      <x:c r="K8" s="62" t="str">
        <x:v>年度下达</x:v>
      </x:c>
      <x:c r="L8" s="74" t="n">
        <x:v>45306</x:v>
      </x:c>
      <x:c r="M8" s="62" t="str">
        <x:v>设备管理部</x:v>
      </x:c>
      <x:c r="N8" s="62" t="str">
        <x:v>项目预算</x:v>
      </x:c>
      <x:c r="O8" s="62" t="str">
        <x:v>租赁费</x:v>
      </x:c>
      <x:c r="P8" s="62" t="str">
        <x:v>租赁费</x:v>
      </x:c>
      <x:c r="Q8" s="81" t="n">
        <x:v>33.9</x:v>
      </x:c>
      <x:c r="R8" s="62" t="str">
        <x:v>15</x:v>
      </x:c>
      <x:c r="S8" s="62" t="str">
        <x:v>CNY</x:v>
      </x:c>
      <x:c r="T8" s="62" t="str">
        <x:v>万元</x:v>
      </x:c>
      <x:c r="U8" s="71" t="str">
        <x:v>费用不含税</x:v>
      </x:c>
      <x:c r="V8" s="71" t="str">
        <x:v>2024|ADJ5030|10</x:v>
      </x:c>
      <x:c r="W8" s="71" t="str">
        <x:v>2024年预算下达明细.xlsx</x:v>
      </x:c>
      <x:c r="X8" s="71" t="str">
        <x:v>Sheet</x:v>
      </x:c>
      <x:c r="Y8" s="71" t="n">
        <x:v>8</x:v>
      </x:c>
      <x:c r="Z8" s="71" t="str">
        <x:v>2024年预算下达明细.xlsx/Sheet!8:8</x:v>
      </x:c>
    </x:row>
    <x:row r="9">
      <x:c r="A9" s="62" t="str">
        <x:v>S002</x:v>
      </x:c>
      <x:c r="B9" s="62" t="n">
        <x:v>2024</x:v>
      </x:c>
      <x:c r="C9" s="62" t="str">
        <x:v>FY2024-APPROVED-FINAL-v1</x:v>
      </x:c>
      <x:c r="D9" s="62" t="str">
        <x:v>APPROVED_BUDGET</x:v>
      </x:c>
      <x:c r="E9" s="62" t="str">
        <x:v>FINAL_APPROVED</x:v>
      </x:c>
      <x:c r="F9" s="74" t="n">
        <x:v>45306</x:v>
      </x:c>
      <x:c r="G9" s="62" t="str">
        <x:v>SOURCE</x:v>
      </x:c>
      <x:c r="H9" s="62" t="str">
        <x:v>ADJ5031</x:v>
      </x:c>
      <x:c r="I9" s="62" t="n">
        <x:v>10</x:v>
      </x:c>
      <x:c r="J9" s="62" t="n">
        <x:v>2024</x:v>
      </x:c>
      <x:c r="K9" s="62" t="str">
        <x:v>年度下达</x:v>
      </x:c>
      <x:c r="L9" s="74" t="n">
        <x:v>45306</x:v>
      </x:c>
      <x:c r="M9" s="62" t="str">
        <x:v>设备管理部</x:v>
      </x:c>
      <x:c r="N9" s="62" t="str">
        <x:v>项目预算</x:v>
      </x:c>
      <x:c r="O9" s="62" t="str">
        <x:v>业务支持费-技术配置</x:v>
      </x:c>
      <x:c r="P9" s="62" t="str">
        <x:v>业务支持费-技术配置</x:v>
      </x:c>
      <x:c r="Q9" s="81" t="n">
        <x:v>75.3</x:v>
      </x:c>
      <x:c r="R9" s="62" t="str">
        <x:v>15</x:v>
      </x:c>
      <x:c r="S9" s="62" t="str">
        <x:v>CNY</x:v>
      </x:c>
      <x:c r="T9" s="62" t="str">
        <x:v>万元</x:v>
      </x:c>
      <x:c r="U9" s="71" t="str">
        <x:v>费用不含税</x:v>
      </x:c>
      <x:c r="V9" s="71" t="str">
        <x:v>2024|ADJ5031|10</x:v>
      </x:c>
      <x:c r="W9" s="71" t="str">
        <x:v>2024年预算下达明细.xlsx</x:v>
      </x:c>
      <x:c r="X9" s="71" t="str">
        <x:v>Sheet</x:v>
      </x:c>
      <x:c r="Y9" s="71" t="n">
        <x:v>9</x:v>
      </x:c>
      <x:c r="Z9" s="71" t="str">
        <x:v>2024年预算下达明细.xlsx/Sheet!9:9</x:v>
      </x:c>
    </x:row>
    <x:row r="10">
      <x:c r="A10" s="62" t="str">
        <x:v>S002</x:v>
      </x:c>
      <x:c r="B10" s="62" t="n">
        <x:v>2024</x:v>
      </x:c>
      <x:c r="C10" s="62" t="str">
        <x:v>FY2024-APPROVED-FINAL-v1</x:v>
      </x:c>
      <x:c r="D10" s="62" t="str">
        <x:v>APPROVED_BUDGET</x:v>
      </x:c>
      <x:c r="E10" s="62" t="str">
        <x:v>FINAL_APPROVED</x:v>
      </x:c>
      <x:c r="F10" s="74" t="n">
        <x:v>45306</x:v>
      </x:c>
      <x:c r="G10" s="62" t="str">
        <x:v>SOURCE</x:v>
      </x:c>
      <x:c r="H10" s="62" t="str">
        <x:v>ADJ5033</x:v>
      </x:c>
      <x:c r="I10" s="62" t="n">
        <x:v>10</x:v>
      </x:c>
      <x:c r="J10" s="62" t="n">
        <x:v>2024</x:v>
      </x:c>
      <x:c r="K10" s="62" t="str">
        <x:v>年度下达</x:v>
      </x:c>
      <x:c r="L10" s="74" t="n">
        <x:v>45292</x:v>
      </x:c>
      <x:c r="M10" s="62" t="str">
        <x:v>技术部</x:v>
      </x:c>
      <x:c r="N10" s="62" t="str">
        <x:v>收入预算</x:v>
      </x:c>
      <x:c r="O10" s="62" t="str">
        <x:v>营业收入</x:v>
      </x:c>
      <x:c r="P10" s="62" t="str">
        <x:v>营业收入</x:v>
      </x:c>
      <x:c r="Q10" s="81" t="n">
        <x:v>530</x:v>
      </x:c>
      <x:c r="R10" s="62" t="str">
        <x:v>15</x:v>
      </x:c>
      <x:c r="S10" s="62" t="str">
        <x:v>CNY</x:v>
      </x:c>
      <x:c r="T10" s="62" t="str">
        <x:v>万元</x:v>
      </x:c>
      <x:c r="U10" s="71" t="str">
        <x:v>收入净额（演示口径）</x:v>
      </x:c>
      <x:c r="V10" s="71" t="str">
        <x:v>2024|ADJ5033|10</x:v>
      </x:c>
      <x:c r="W10" s="71" t="str">
        <x:v>2024年预算下达明细.xlsx</x:v>
      </x:c>
      <x:c r="X10" s="71" t="str">
        <x:v>Sheet</x:v>
      </x:c>
      <x:c r="Y10" s="71" t="n">
        <x:v>10</x:v>
      </x:c>
      <x:c r="Z10" s="71" t="str">
        <x:v>2024年预算下达明细.xlsx/Sheet!10:10</x:v>
      </x:c>
    </x:row>
    <x:row r="11">
      <x:c r="A11" s="62" t="str">
        <x:v>S002</x:v>
      </x:c>
      <x:c r="B11" s="62" t="n">
        <x:v>2024</x:v>
      </x:c>
      <x:c r="C11" s="62" t="str">
        <x:v>FY2024-APPROVED-FINAL-v1</x:v>
      </x:c>
      <x:c r="D11" s="62" t="str">
        <x:v>APPROVED_BUDGET</x:v>
      </x:c>
      <x:c r="E11" s="62" t="str">
        <x:v>FINAL_APPROVED</x:v>
      </x:c>
      <x:c r="F11" s="74" t="n">
        <x:v>45306</x:v>
      </x:c>
      <x:c r="G11" s="62" t="str">
        <x:v>SOURCE</x:v>
      </x:c>
      <x:c r="H11" s="62" t="str">
        <x:v>ADJ5034</x:v>
      </x:c>
      <x:c r="I11" s="62" t="n">
        <x:v>10</x:v>
      </x:c>
      <x:c r="J11" s="62" t="n">
        <x:v>2024</x:v>
      </x:c>
      <x:c r="K11" s="62" t="str">
        <x:v>年度下达</x:v>
      </x:c>
      <x:c r="L11" s="74" t="n">
        <x:v>45306</x:v>
      </x:c>
      <x:c r="M11" s="62" t="str">
        <x:v>技术部</x:v>
      </x:c>
      <x:c r="N11" s="62" t="str">
        <x:v>项目预算</x:v>
      </x:c>
      <x:c r="O11" s="62" t="str">
        <x:v>差旅费</x:v>
      </x:c>
      <x:c r="P11" s="62" t="str">
        <x:v>差旅费</x:v>
      </x:c>
      <x:c r="Q11" s="81" t="n">
        <x:v>39</x:v>
      </x:c>
      <x:c r="R11" s="62" t="str">
        <x:v>15</x:v>
      </x:c>
      <x:c r="S11" s="62" t="str">
        <x:v>CNY</x:v>
      </x:c>
      <x:c r="T11" s="62" t="str">
        <x:v>万元</x:v>
      </x:c>
      <x:c r="U11" s="71" t="str">
        <x:v>费用不含税</x:v>
      </x:c>
      <x:c r="V11" s="71" t="str">
        <x:v>2024|ADJ5034|10</x:v>
      </x:c>
      <x:c r="W11" s="71" t="str">
        <x:v>2024年预算下达明细.xlsx</x:v>
      </x:c>
      <x:c r="X11" s="71" t="str">
        <x:v>Sheet</x:v>
      </x:c>
      <x:c r="Y11" s="71" t="n">
        <x:v>11</x:v>
      </x:c>
      <x:c r="Z11" s="71" t="str">
        <x:v>2024年预算下达明细.xlsx/Sheet!11:11</x:v>
      </x:c>
    </x:row>
    <x:row r="12">
      <x:c r="A12" s="62" t="str">
        <x:v>S002</x:v>
      </x:c>
      <x:c r="B12" s="62" t="n">
        <x:v>2024</x:v>
      </x:c>
      <x:c r="C12" s="62" t="str">
        <x:v>FY2024-APPROVED-FINAL-v1</x:v>
      </x:c>
      <x:c r="D12" s="62" t="str">
        <x:v>APPROVED_BUDGET</x:v>
      </x:c>
      <x:c r="E12" s="62" t="str">
        <x:v>FINAL_APPROVED</x:v>
      </x:c>
      <x:c r="F12" s="74" t="n">
        <x:v>45306</x:v>
      </x:c>
      <x:c r="G12" s="62" t="str">
        <x:v>SOURCE</x:v>
      </x:c>
      <x:c r="H12" s="62" t="str">
        <x:v>ADJ5035</x:v>
      </x:c>
      <x:c r="I12" s="62" t="n">
        <x:v>10</x:v>
      </x:c>
      <x:c r="J12" s="62" t="n">
        <x:v>2024</x:v>
      </x:c>
      <x:c r="K12" s="62" t="str">
        <x:v>年度下达</x:v>
      </x:c>
      <x:c r="L12" s="74" t="n">
        <x:v>45306</x:v>
      </x:c>
      <x:c r="M12" s="62" t="str">
        <x:v>技术部</x:v>
      </x:c>
      <x:c r="N12" s="62" t="str">
        <x:v>项目预算</x:v>
      </x:c>
      <x:c r="O12" s="62" t="str">
        <x:v>生产物料费</x:v>
      </x:c>
      <x:c r="P12" s="62" t="str">
        <x:v>生产物料费</x:v>
      </x:c>
      <x:c r="Q12" s="81" t="n">
        <x:v>36</x:v>
      </x:c>
      <x:c r="R12" s="62" t="str">
        <x:v>15</x:v>
      </x:c>
      <x:c r="S12" s="62" t="str">
        <x:v>CNY</x:v>
      </x:c>
      <x:c r="T12" s="62" t="str">
        <x:v>万元</x:v>
      </x:c>
      <x:c r="U12" s="71" t="str">
        <x:v>费用不含税</x:v>
      </x:c>
      <x:c r="V12" s="71" t="str">
        <x:v>2024|ADJ5035|10</x:v>
      </x:c>
      <x:c r="W12" s="71" t="str">
        <x:v>2024年预算下达明细.xlsx</x:v>
      </x:c>
      <x:c r="X12" s="71" t="str">
        <x:v>Sheet</x:v>
      </x:c>
      <x:c r="Y12" s="71" t="n">
        <x:v>12</x:v>
      </x:c>
      <x:c r="Z12" s="71" t="str">
        <x:v>2024年预算下达明细.xlsx/Sheet!12:12</x:v>
      </x:c>
    </x:row>
    <x:row r="13">
      <x:c r="A13" s="62" t="str">
        <x:v>S002</x:v>
      </x:c>
      <x:c r="B13" s="62" t="n">
        <x:v>2024</x:v>
      </x:c>
      <x:c r="C13" s="62" t="str">
        <x:v>FY2024-APPROVED-FINAL-v1</x:v>
      </x:c>
      <x:c r="D13" s="62" t="str">
        <x:v>APPROVED_BUDGET</x:v>
      </x:c>
      <x:c r="E13" s="62" t="str">
        <x:v>FINAL_APPROVED</x:v>
      </x:c>
      <x:c r="F13" s="74" t="n">
        <x:v>45306</x:v>
      </x:c>
      <x:c r="G13" s="62" t="str">
        <x:v>SOURCE</x:v>
      </x:c>
      <x:c r="H13" s="62" t="str">
        <x:v>ADJ5036</x:v>
      </x:c>
      <x:c r="I13" s="62" t="n">
        <x:v>10</x:v>
      </x:c>
      <x:c r="J13" s="62" t="n">
        <x:v>2024</x:v>
      </x:c>
      <x:c r="K13" s="62" t="str">
        <x:v>年度下达</x:v>
      </x:c>
      <x:c r="L13" s="74" t="n">
        <x:v>45306</x:v>
      </x:c>
      <x:c r="M13" s="62" t="str">
        <x:v>技术部</x:v>
      </x:c>
      <x:c r="N13" s="62" t="str">
        <x:v>项目预算</x:v>
      </x:c>
      <x:c r="O13" s="62" t="str">
        <x:v>会议费</x:v>
      </x:c>
      <x:c r="P13" s="62" t="str">
        <x:v>会议费</x:v>
      </x:c>
      <x:c r="Q13" s="81" t="n">
        <x:v>15</x:v>
      </x:c>
      <x:c r="R13" s="62" t="str">
        <x:v>15</x:v>
      </x:c>
      <x:c r="S13" s="62" t="str">
        <x:v>CNY</x:v>
      </x:c>
      <x:c r="T13" s="62" t="str">
        <x:v>万元</x:v>
      </x:c>
      <x:c r="U13" s="71" t="str">
        <x:v>费用不含税</x:v>
      </x:c>
      <x:c r="V13" s="71" t="str">
        <x:v>2024|ADJ5036|10</x:v>
      </x:c>
      <x:c r="W13" s="71" t="str">
        <x:v>2024年预算下达明细.xlsx</x:v>
      </x:c>
      <x:c r="X13" s="71" t="str">
        <x:v>Sheet</x:v>
      </x:c>
      <x:c r="Y13" s="71" t="n">
        <x:v>13</x:v>
      </x:c>
      <x:c r="Z13" s="71" t="str">
        <x:v>2024年预算下达明细.xlsx/Sheet!13:13</x:v>
      </x:c>
    </x:row>
    <x:row r="14">
      <x:c r="A14" s="62" t="str">
        <x:v>S002</x:v>
      </x:c>
      <x:c r="B14" s="62" t="n">
        <x:v>2024</x:v>
      </x:c>
      <x:c r="C14" s="62" t="str">
        <x:v>FY2024-APPROVED-FINAL-v1</x:v>
      </x:c>
      <x:c r="D14" s="62" t="str">
        <x:v>APPROVED_BUDGET</x:v>
      </x:c>
      <x:c r="E14" s="62" t="str">
        <x:v>FINAL_APPROVED</x:v>
      </x:c>
      <x:c r="F14" s="74" t="n">
        <x:v>45306</x:v>
      </x:c>
      <x:c r="G14" s="62" t="str">
        <x:v>SOURCE</x:v>
      </x:c>
      <x:c r="H14" s="62" t="str">
        <x:v>ADJ5037</x:v>
      </x:c>
      <x:c r="I14" s="62" t="n">
        <x:v>10</x:v>
      </x:c>
      <x:c r="J14" s="62" t="n">
        <x:v>2024</x:v>
      </x:c>
      <x:c r="K14" s="62" t="str">
        <x:v>年度下达</x:v>
      </x:c>
      <x:c r="L14" s="74" t="n">
        <x:v>45306</x:v>
      </x:c>
      <x:c r="M14" s="62" t="str">
        <x:v>技术部</x:v>
      </x:c>
      <x:c r="N14" s="62" t="str">
        <x:v>项目预算</x:v>
      </x:c>
      <x:c r="O14" s="62" t="str">
        <x:v>业务支持费</x:v>
      </x:c>
      <x:c r="P14" s="62" t="str">
        <x:v>业务支持费-其他</x:v>
      </x:c>
      <x:c r="Q14" s="81" t="n">
        <x:v>105.1</x:v>
      </x:c>
      <x:c r="R14" s="62" t="str">
        <x:v>15</x:v>
      </x:c>
      <x:c r="S14" s="62" t="str">
        <x:v>CNY</x:v>
      </x:c>
      <x:c r="T14" s="62" t="str">
        <x:v>万元</x:v>
      </x:c>
      <x:c r="U14" s="71" t="str">
        <x:v>费用不含税</x:v>
      </x:c>
      <x:c r="V14" s="71" t="str">
        <x:v>2024|ADJ5037|10</x:v>
      </x:c>
      <x:c r="W14" s="71" t="str">
        <x:v>2024年预算下达明细.xlsx</x:v>
      </x:c>
      <x:c r="X14" s="71" t="str">
        <x:v>Sheet</x:v>
      </x:c>
      <x:c r="Y14" s="71" t="n">
        <x:v>14</x:v>
      </x:c>
      <x:c r="Z14" s="71" t="str">
        <x:v>2024年预算下达明细.xlsx/Sheet!14:14</x:v>
      </x:c>
    </x:row>
    <x:row r="15">
      <x:c r="A15" s="62" t="str">
        <x:v>S002</x:v>
      </x:c>
      <x:c r="B15" s="62" t="n">
        <x:v>2024</x:v>
      </x:c>
      <x:c r="C15" s="62" t="str">
        <x:v>FY2024-APPROVED-FINAL-v1</x:v>
      </x:c>
      <x:c r="D15" s="62" t="str">
        <x:v>APPROVED_BUDGET</x:v>
      </x:c>
      <x:c r="E15" s="62" t="str">
        <x:v>FINAL_APPROVED</x:v>
      </x:c>
      <x:c r="F15" s="74" t="n">
        <x:v>45306</x:v>
      </x:c>
      <x:c r="G15" s="62" t="str">
        <x:v>SOURCE</x:v>
      </x:c>
      <x:c r="H15" s="62" t="str">
        <x:v>ADJ5038</x:v>
      </x:c>
      <x:c r="I15" s="62" t="n">
        <x:v>10</x:v>
      </x:c>
      <x:c r="J15" s="62" t="n">
        <x:v>2024</x:v>
      </x:c>
      <x:c r="K15" s="62" t="str">
        <x:v>年度下达</x:v>
      </x:c>
      <x:c r="L15" s="74" t="n">
        <x:v>45306</x:v>
      </x:c>
      <x:c r="M15" s="62" t="str">
        <x:v>技术部</x:v>
      </x:c>
      <x:c r="N15" s="62" t="str">
        <x:v>项目预算</x:v>
      </x:c>
      <x:c r="O15" s="62" t="str">
        <x:v>交通运输费</x:v>
      </x:c>
      <x:c r="P15" s="62" t="str">
        <x:v>交通运输费</x:v>
      </x:c>
      <x:c r="Q15" s="81" t="n">
        <x:v>18</x:v>
      </x:c>
      <x:c r="R15" s="62" t="str">
        <x:v>15</x:v>
      </x:c>
      <x:c r="S15" s="62" t="str">
        <x:v>CNY</x:v>
      </x:c>
      <x:c r="T15" s="62" t="str">
        <x:v>万元</x:v>
      </x:c>
      <x:c r="U15" s="71" t="str">
        <x:v>费用不含税</x:v>
      </x:c>
      <x:c r="V15" s="71" t="str">
        <x:v>2024|ADJ5038|10</x:v>
      </x:c>
      <x:c r="W15" s="71" t="str">
        <x:v>2024年预算下达明细.xlsx</x:v>
      </x:c>
      <x:c r="X15" s="71" t="str">
        <x:v>Sheet</x:v>
      </x:c>
      <x:c r="Y15" s="71" t="n">
        <x:v>15</x:v>
      </x:c>
      <x:c r="Z15" s="71" t="str">
        <x:v>2024年预算下达明细.xlsx/Sheet!15:15</x:v>
      </x:c>
    </x:row>
    <x:row r="16">
      <x:c r="A16" s="62" t="str">
        <x:v>S002</x:v>
      </x:c>
      <x:c r="B16" s="62" t="n">
        <x:v>2024</x:v>
      </x:c>
      <x:c r="C16" s="62" t="str">
        <x:v>FY2024-APPROVED-FINAL-v1</x:v>
      </x:c>
      <x:c r="D16" s="62" t="str">
        <x:v>APPROVED_BUDGET</x:v>
      </x:c>
      <x:c r="E16" s="62" t="str">
        <x:v>FINAL_APPROVED</x:v>
      </x:c>
      <x:c r="F16" s="74" t="n">
        <x:v>45306</x:v>
      </x:c>
      <x:c r="G16" s="62" t="str">
        <x:v>SOURCE</x:v>
      </x:c>
      <x:c r="H16" s="62" t="str">
        <x:v>ADJ5039</x:v>
      </x:c>
      <x:c r="I16" s="62" t="n">
        <x:v>10</x:v>
      </x:c>
      <x:c r="J16" s="62" t="n">
        <x:v>2024</x:v>
      </x:c>
      <x:c r="K16" s="62" t="str">
        <x:v>年度下达</x:v>
      </x:c>
      <x:c r="L16" s="74" t="n">
        <x:v>45306</x:v>
      </x:c>
      <x:c r="M16" s="62" t="str">
        <x:v>技术部</x:v>
      </x:c>
      <x:c r="N16" s="62" t="str">
        <x:v>项目预算</x:v>
      </x:c>
      <x:c r="O16" s="62" t="str">
        <x:v>租赁费</x:v>
      </x:c>
      <x:c r="P16" s="62" t="str">
        <x:v>租赁费</x:v>
      </x:c>
      <x:c r="Q16" s="81" t="n">
        <x:v>27</x:v>
      </x:c>
      <x:c r="R16" s="62" t="str">
        <x:v>15</x:v>
      </x:c>
      <x:c r="S16" s="62" t="str">
        <x:v>CNY</x:v>
      </x:c>
      <x:c r="T16" s="62" t="str">
        <x:v>万元</x:v>
      </x:c>
      <x:c r="U16" s="71" t="str">
        <x:v>费用不含税</x:v>
      </x:c>
      <x:c r="V16" s="71" t="str">
        <x:v>2024|ADJ5039|10</x:v>
      </x:c>
      <x:c r="W16" s="71" t="str">
        <x:v>2024年预算下达明细.xlsx</x:v>
      </x:c>
      <x:c r="X16" s="71" t="str">
        <x:v>Sheet</x:v>
      </x:c>
      <x:c r="Y16" s="71" t="n">
        <x:v>16</x:v>
      </x:c>
      <x:c r="Z16" s="71" t="str">
        <x:v>2024年预算下达明细.xlsx/Sheet!16:16</x:v>
      </x:c>
    </x:row>
    <x:row r="17">
      <x:c r="A17" s="62" t="str">
        <x:v>S002</x:v>
      </x:c>
      <x:c r="B17" s="62" t="n">
        <x:v>2024</x:v>
      </x:c>
      <x:c r="C17" s="62" t="str">
        <x:v>FY2024-APPROVED-FINAL-v1</x:v>
      </x:c>
      <x:c r="D17" s="62" t="str">
        <x:v>APPROVED_BUDGET</x:v>
      </x:c>
      <x:c r="E17" s="62" t="str">
        <x:v>FINAL_APPROVED</x:v>
      </x:c>
      <x:c r="F17" s="74" t="n">
        <x:v>45306</x:v>
      </x:c>
      <x:c r="G17" s="62" t="str">
        <x:v>SOURCE</x:v>
      </x:c>
      <x:c r="H17" s="62" t="str">
        <x:v>ADJ5040</x:v>
      </x:c>
      <x:c r="I17" s="62" t="n">
        <x:v>10</x:v>
      </x:c>
      <x:c r="J17" s="62" t="n">
        <x:v>2024</x:v>
      </x:c>
      <x:c r="K17" s="62" t="str">
        <x:v>年度下达</x:v>
      </x:c>
      <x:c r="L17" s="74" t="n">
        <x:v>45306</x:v>
      </x:c>
      <x:c r="M17" s="62" t="str">
        <x:v>技术部</x:v>
      </x:c>
      <x:c r="N17" s="62" t="str">
        <x:v>项目预算</x:v>
      </x:c>
      <x:c r="O17" s="62" t="str">
        <x:v>业务支持费-技术配置</x:v>
      </x:c>
      <x:c r="P17" s="62" t="str">
        <x:v>业务支持费-技术配置</x:v>
      </x:c>
      <x:c r="Q17" s="81" t="n">
        <x:v>60.1</x:v>
      </x:c>
      <x:c r="R17" s="62" t="str">
        <x:v>15</x:v>
      </x:c>
      <x:c r="S17" s="62" t="str">
        <x:v>CNY</x:v>
      </x:c>
      <x:c r="T17" s="62" t="str">
        <x:v>万元</x:v>
      </x:c>
      <x:c r="U17" s="71" t="str">
        <x:v>费用不含税</x:v>
      </x:c>
      <x:c r="V17" s="71" t="str">
        <x:v>2024|ADJ5040|10</x:v>
      </x:c>
      <x:c r="W17" s="71" t="str">
        <x:v>2024年预算下达明细.xlsx</x:v>
      </x:c>
      <x:c r="X17" s="71" t="str">
        <x:v>Sheet</x:v>
      </x:c>
      <x:c r="Y17" s="71" t="n">
        <x:v>17</x:v>
      </x:c>
      <x:c r="Z17" s="71" t="str">
        <x:v>2024年预算下达明细.xlsx/Sheet!17:17</x:v>
      </x:c>
    </x:row>
    <x:row r="18">
      <x:c r="A18" s="62" t="str">
        <x:v>S002</x:v>
      </x:c>
      <x:c r="B18" s="62" t="n">
        <x:v>2024</x:v>
      </x:c>
      <x:c r="C18" s="62" t="str">
        <x:v>FY2024-APPROVED-FINAL-v1</x:v>
      </x:c>
      <x:c r="D18" s="62" t="str">
        <x:v>APPROVED_BUDGET</x:v>
      </x:c>
      <x:c r="E18" s="62" t="str">
        <x:v>FINAL_APPROVED</x:v>
      </x:c>
      <x:c r="F18" s="74" t="n">
        <x:v>45306</x:v>
      </x:c>
      <x:c r="G18" s="62" t="str">
        <x:v>SOURCE</x:v>
      </x:c>
      <x:c r="H18" s="62" t="str">
        <x:v>ADJ5042</x:v>
      </x:c>
      <x:c r="I18" s="62" t="n">
        <x:v>10</x:v>
      </x:c>
      <x:c r="J18" s="62" t="n">
        <x:v>2024</x:v>
      </x:c>
      <x:c r="K18" s="62" t="str">
        <x:v>年度下达</x:v>
      </x:c>
      <x:c r="L18" s="74" t="n">
        <x:v>45292</x:v>
      </x:c>
      <x:c r="M18" s="62" t="str">
        <x:v>安全运行部</x:v>
      </x:c>
      <x:c r="N18" s="62" t="str">
        <x:v>收入预算</x:v>
      </x:c>
      <x:c r="O18" s="62" t="str">
        <x:v>营业收入</x:v>
      </x:c>
      <x:c r="P18" s="62" t="str">
        <x:v>营业收入</x:v>
      </x:c>
      <x:c r="Q18" s="81" t="n">
        <x:v>398</x:v>
      </x:c>
      <x:c r="R18" s="62" t="str">
        <x:v>15</x:v>
      </x:c>
      <x:c r="S18" s="62" t="str">
        <x:v>CNY</x:v>
      </x:c>
      <x:c r="T18" s="62" t="str">
        <x:v>万元</x:v>
      </x:c>
      <x:c r="U18" s="71" t="str">
        <x:v>收入净额（演示口径）</x:v>
      </x:c>
      <x:c r="V18" s="71" t="str">
        <x:v>2024|ADJ5042|10</x:v>
      </x:c>
      <x:c r="W18" s="71" t="str">
        <x:v>2024年预算下达明细.xlsx</x:v>
      </x:c>
      <x:c r="X18" s="71" t="str">
        <x:v>Sheet</x:v>
      </x:c>
      <x:c r="Y18" s="71" t="n">
        <x:v>18</x:v>
      </x:c>
      <x:c r="Z18" s="71" t="str">
        <x:v>2024年预算下达明细.xlsx/Sheet!18:18</x:v>
      </x:c>
    </x:row>
    <x:row r="19">
      <x:c r="A19" s="62" t="str">
        <x:v>S002</x:v>
      </x:c>
      <x:c r="B19" s="62" t="n">
        <x:v>2024</x:v>
      </x:c>
      <x:c r="C19" s="62" t="str">
        <x:v>FY2024-APPROVED-FINAL-v1</x:v>
      </x:c>
      <x:c r="D19" s="62" t="str">
        <x:v>APPROVED_BUDGET</x:v>
      </x:c>
      <x:c r="E19" s="62" t="str">
        <x:v>FINAL_APPROVED</x:v>
      </x:c>
      <x:c r="F19" s="74" t="n">
        <x:v>45306</x:v>
      </x:c>
      <x:c r="G19" s="62" t="str">
        <x:v>SOURCE</x:v>
      </x:c>
      <x:c r="H19" s="62" t="str">
        <x:v>ADJ5043</x:v>
      </x:c>
      <x:c r="I19" s="62" t="n">
        <x:v>10</x:v>
      </x:c>
      <x:c r="J19" s="62" t="n">
        <x:v>2024</x:v>
      </x:c>
      <x:c r="K19" s="62" t="str">
        <x:v>年度下达</x:v>
      </x:c>
      <x:c r="L19" s="74" t="n">
        <x:v>45306</x:v>
      </x:c>
      <x:c r="M19" s="62" t="str">
        <x:v>安全运行部</x:v>
      </x:c>
      <x:c r="N19" s="62" t="str">
        <x:v>项目预算</x:v>
      </x:c>
      <x:c r="O19" s="62" t="str">
        <x:v>差旅费</x:v>
      </x:c>
      <x:c r="P19" s="62" t="str">
        <x:v>差旅费</x:v>
      </x:c>
      <x:c r="Q19" s="81" t="n">
        <x:v>29</x:v>
      </x:c>
      <x:c r="R19" s="62" t="str">
        <x:v>15</x:v>
      </x:c>
      <x:c r="S19" s="62" t="str">
        <x:v>CNY</x:v>
      </x:c>
      <x:c r="T19" s="62" t="str">
        <x:v>万元</x:v>
      </x:c>
      <x:c r="U19" s="71" t="str">
        <x:v>费用不含税</x:v>
      </x:c>
      <x:c r="V19" s="71" t="str">
        <x:v>2024|ADJ5043|10</x:v>
      </x:c>
      <x:c r="W19" s="71" t="str">
        <x:v>2024年预算下达明细.xlsx</x:v>
      </x:c>
      <x:c r="X19" s="71" t="str">
        <x:v>Sheet</x:v>
      </x:c>
      <x:c r="Y19" s="71" t="n">
        <x:v>19</x:v>
      </x:c>
      <x:c r="Z19" s="71" t="str">
        <x:v>2024年预算下达明细.xlsx/Sheet!19:19</x:v>
      </x:c>
    </x:row>
    <x:row r="20">
      <x:c r="A20" s="62" t="str">
        <x:v>S002</x:v>
      </x:c>
      <x:c r="B20" s="62" t="n">
        <x:v>2024</x:v>
      </x:c>
      <x:c r="C20" s="62" t="str">
        <x:v>FY2024-APPROVED-FINAL-v1</x:v>
      </x:c>
      <x:c r="D20" s="62" t="str">
        <x:v>APPROVED_BUDGET</x:v>
      </x:c>
      <x:c r="E20" s="62" t="str">
        <x:v>FINAL_APPROVED</x:v>
      </x:c>
      <x:c r="F20" s="74" t="n">
        <x:v>45306</x:v>
      </x:c>
      <x:c r="G20" s="62" t="str">
        <x:v>SOURCE</x:v>
      </x:c>
      <x:c r="H20" s="62" t="str">
        <x:v>ADJ5044</x:v>
      </x:c>
      <x:c r="I20" s="62" t="n">
        <x:v>10</x:v>
      </x:c>
      <x:c r="J20" s="62" t="n">
        <x:v>2024</x:v>
      </x:c>
      <x:c r="K20" s="62" t="str">
        <x:v>年度下达</x:v>
      </x:c>
      <x:c r="L20" s="74" t="n">
        <x:v>45306</x:v>
      </x:c>
      <x:c r="M20" s="62" t="str">
        <x:v>安全运行部</x:v>
      </x:c>
      <x:c r="N20" s="62" t="str">
        <x:v>项目预算</x:v>
      </x:c>
      <x:c r="O20" s="62" t="str">
        <x:v>生产物料费</x:v>
      </x:c>
      <x:c r="P20" s="62" t="str">
        <x:v>生产物料费</x:v>
      </x:c>
      <x:c r="Q20" s="81" t="n">
        <x:v>26.8</x:v>
      </x:c>
      <x:c r="R20" s="62" t="str">
        <x:v>15</x:v>
      </x:c>
      <x:c r="S20" s="62" t="str">
        <x:v>CNY</x:v>
      </x:c>
      <x:c r="T20" s="62" t="str">
        <x:v>万元</x:v>
      </x:c>
      <x:c r="U20" s="71" t="str">
        <x:v>费用不含税</x:v>
      </x:c>
      <x:c r="V20" s="71" t="str">
        <x:v>2024|ADJ5044|10</x:v>
      </x:c>
      <x:c r="W20" s="71" t="str">
        <x:v>2024年预算下达明细.xlsx</x:v>
      </x:c>
      <x:c r="X20" s="71" t="str">
        <x:v>Sheet</x:v>
      </x:c>
      <x:c r="Y20" s="71" t="n">
        <x:v>20</x:v>
      </x:c>
      <x:c r="Z20" s="71" t="str">
        <x:v>2024年预算下达明细.xlsx/Sheet!20:20</x:v>
      </x:c>
    </x:row>
    <x:row r="21">
      <x:c r="A21" s="62" t="str">
        <x:v>S002</x:v>
      </x:c>
      <x:c r="B21" s="62" t="n">
        <x:v>2024</x:v>
      </x:c>
      <x:c r="C21" s="62" t="str">
        <x:v>FY2024-APPROVED-FINAL-v1</x:v>
      </x:c>
      <x:c r="D21" s="62" t="str">
        <x:v>APPROVED_BUDGET</x:v>
      </x:c>
      <x:c r="E21" s="62" t="str">
        <x:v>FINAL_APPROVED</x:v>
      </x:c>
      <x:c r="F21" s="74" t="n">
        <x:v>45306</x:v>
      </x:c>
      <x:c r="G21" s="62" t="str">
        <x:v>SOURCE</x:v>
      </x:c>
      <x:c r="H21" s="62" t="str">
        <x:v>ADJ5045</x:v>
      </x:c>
      <x:c r="I21" s="62" t="n">
        <x:v>10</x:v>
      </x:c>
      <x:c r="J21" s="62" t="n">
        <x:v>2024</x:v>
      </x:c>
      <x:c r="K21" s="62" t="str">
        <x:v>年度下达</x:v>
      </x:c>
      <x:c r="L21" s="74" t="n">
        <x:v>45306</x:v>
      </x:c>
      <x:c r="M21" s="62" t="str">
        <x:v>安全运行部</x:v>
      </x:c>
      <x:c r="N21" s="62" t="str">
        <x:v>项目预算</x:v>
      </x:c>
      <x:c r="O21" s="62" t="str">
        <x:v>会议费</x:v>
      </x:c>
      <x:c r="P21" s="62" t="str">
        <x:v>会议费</x:v>
      </x:c>
      <x:c r="Q21" s="81" t="n">
        <x:v>11.2</x:v>
      </x:c>
      <x:c r="R21" s="62" t="str">
        <x:v>15</x:v>
      </x:c>
      <x:c r="S21" s="62" t="str">
        <x:v>CNY</x:v>
      </x:c>
      <x:c r="T21" s="62" t="str">
        <x:v>万元</x:v>
      </x:c>
      <x:c r="U21" s="71" t="str">
        <x:v>费用不含税</x:v>
      </x:c>
      <x:c r="V21" s="71" t="str">
        <x:v>2024|ADJ5045|10</x:v>
      </x:c>
      <x:c r="W21" s="71" t="str">
        <x:v>2024年预算下达明细.xlsx</x:v>
      </x:c>
      <x:c r="X21" s="71" t="str">
        <x:v>Sheet</x:v>
      </x:c>
      <x:c r="Y21" s="71" t="n">
        <x:v>21</x:v>
      </x:c>
      <x:c r="Z21" s="71" t="str">
        <x:v>2024年预算下达明细.xlsx/Sheet!21:21</x:v>
      </x:c>
    </x:row>
    <x:row r="22">
      <x:c r="A22" s="62" t="str">
        <x:v>S002</x:v>
      </x:c>
      <x:c r="B22" s="62" t="n">
        <x:v>2024</x:v>
      </x:c>
      <x:c r="C22" s="62" t="str">
        <x:v>FY2024-APPROVED-FINAL-v1</x:v>
      </x:c>
      <x:c r="D22" s="62" t="str">
        <x:v>APPROVED_BUDGET</x:v>
      </x:c>
      <x:c r="E22" s="62" t="str">
        <x:v>FINAL_APPROVED</x:v>
      </x:c>
      <x:c r="F22" s="74" t="n">
        <x:v>45306</x:v>
      </x:c>
      <x:c r="G22" s="62" t="str">
        <x:v>SOURCE</x:v>
      </x:c>
      <x:c r="H22" s="62" t="str">
        <x:v>ADJ5046</x:v>
      </x:c>
      <x:c r="I22" s="62" t="n">
        <x:v>10</x:v>
      </x:c>
      <x:c r="J22" s="62" t="n">
        <x:v>2024</x:v>
      </x:c>
      <x:c r="K22" s="62" t="str">
        <x:v>年度下达</x:v>
      </x:c>
      <x:c r="L22" s="74" t="n">
        <x:v>45306</x:v>
      </x:c>
      <x:c r="M22" s="62" t="str">
        <x:v>安全运行部</x:v>
      </x:c>
      <x:c r="N22" s="62" t="str">
        <x:v>项目预算</x:v>
      </x:c>
      <x:c r="O22" s="62" t="str">
        <x:v>业务支持费</x:v>
      </x:c>
      <x:c r="P22" s="62" t="str">
        <x:v>业务支持费-其他</x:v>
      </x:c>
      <x:c r="Q22" s="81" t="n">
        <x:v>78.1</x:v>
      </x:c>
      <x:c r="R22" s="62" t="str">
        <x:v>15</x:v>
      </x:c>
      <x:c r="S22" s="62" t="str">
        <x:v>CNY</x:v>
      </x:c>
      <x:c r="T22" s="62" t="str">
        <x:v>万元</x:v>
      </x:c>
      <x:c r="U22" s="71" t="str">
        <x:v>费用不含税</x:v>
      </x:c>
      <x:c r="V22" s="71" t="str">
        <x:v>2024|ADJ5046|10</x:v>
      </x:c>
      <x:c r="W22" s="71" t="str">
        <x:v>2024年预算下达明细.xlsx</x:v>
      </x:c>
      <x:c r="X22" s="71" t="str">
        <x:v>Sheet</x:v>
      </x:c>
      <x:c r="Y22" s="71" t="n">
        <x:v>22</x:v>
      </x:c>
      <x:c r="Z22" s="71" t="str">
        <x:v>2024年预算下达明细.xlsx/Sheet!22:22</x:v>
      </x:c>
    </x:row>
    <x:row r="23">
      <x:c r="A23" s="62" t="str">
        <x:v>S002</x:v>
      </x:c>
      <x:c r="B23" s="62" t="n">
        <x:v>2024</x:v>
      </x:c>
      <x:c r="C23" s="62" t="str">
        <x:v>FY2024-APPROVED-FINAL-v1</x:v>
      </x:c>
      <x:c r="D23" s="62" t="str">
        <x:v>APPROVED_BUDGET</x:v>
      </x:c>
      <x:c r="E23" s="62" t="str">
        <x:v>FINAL_APPROVED</x:v>
      </x:c>
      <x:c r="F23" s="74" t="n">
        <x:v>45306</x:v>
      </x:c>
      <x:c r="G23" s="62" t="str">
        <x:v>SOURCE</x:v>
      </x:c>
      <x:c r="H23" s="62" t="str">
        <x:v>ADJ5047</x:v>
      </x:c>
      <x:c r="I23" s="62" t="n">
        <x:v>10</x:v>
      </x:c>
      <x:c r="J23" s="62" t="n">
        <x:v>2024</x:v>
      </x:c>
      <x:c r="K23" s="62" t="str">
        <x:v>年度下达</x:v>
      </x:c>
      <x:c r="L23" s="74" t="n">
        <x:v>45306</x:v>
      </x:c>
      <x:c r="M23" s="62" t="str">
        <x:v>安全运行部</x:v>
      </x:c>
      <x:c r="N23" s="62" t="str">
        <x:v>项目预算</x:v>
      </x:c>
      <x:c r="O23" s="62" t="str">
        <x:v>交通运输费</x:v>
      </x:c>
      <x:c r="P23" s="62" t="str">
        <x:v>交通运输费</x:v>
      </x:c>
      <x:c r="Q23" s="81" t="n">
        <x:v>13.4</x:v>
      </x:c>
      <x:c r="R23" s="62" t="str">
        <x:v>15</x:v>
      </x:c>
      <x:c r="S23" s="62" t="str">
        <x:v>CNY</x:v>
      </x:c>
      <x:c r="T23" s="62" t="str">
        <x:v>万元</x:v>
      </x:c>
      <x:c r="U23" s="71" t="str">
        <x:v>费用不含税</x:v>
      </x:c>
      <x:c r="V23" s="71" t="str">
        <x:v>2024|ADJ5047|10</x:v>
      </x:c>
      <x:c r="W23" s="71" t="str">
        <x:v>2024年预算下达明细.xlsx</x:v>
      </x:c>
      <x:c r="X23" s="71" t="str">
        <x:v>Sheet</x:v>
      </x:c>
      <x:c r="Y23" s="71" t="n">
        <x:v>23</x:v>
      </x:c>
      <x:c r="Z23" s="71" t="str">
        <x:v>2024年预算下达明细.xlsx/Sheet!23:23</x:v>
      </x:c>
    </x:row>
    <x:row r="24">
      <x:c r="A24" s="62" t="str">
        <x:v>S002</x:v>
      </x:c>
      <x:c r="B24" s="62" t="n">
        <x:v>2024</x:v>
      </x:c>
      <x:c r="C24" s="62" t="str">
        <x:v>FY2024-APPROVED-FINAL-v1</x:v>
      </x:c>
      <x:c r="D24" s="62" t="str">
        <x:v>APPROVED_BUDGET</x:v>
      </x:c>
      <x:c r="E24" s="62" t="str">
        <x:v>FINAL_APPROVED</x:v>
      </x:c>
      <x:c r="F24" s="74" t="n">
        <x:v>45306</x:v>
      </x:c>
      <x:c r="G24" s="62" t="str">
        <x:v>SOURCE</x:v>
      </x:c>
      <x:c r="H24" s="62" t="str">
        <x:v>ADJ5048</x:v>
      </x:c>
      <x:c r="I24" s="62" t="n">
        <x:v>10</x:v>
      </x:c>
      <x:c r="J24" s="62" t="n">
        <x:v>2024</x:v>
      </x:c>
      <x:c r="K24" s="62" t="str">
        <x:v>年度下达</x:v>
      </x:c>
      <x:c r="L24" s="74" t="n">
        <x:v>45306</x:v>
      </x:c>
      <x:c r="M24" s="62" t="str">
        <x:v>安全运行部</x:v>
      </x:c>
      <x:c r="N24" s="62" t="str">
        <x:v>项目预算</x:v>
      </x:c>
      <x:c r="O24" s="62" t="str">
        <x:v>租赁费</x:v>
      </x:c>
      <x:c r="P24" s="62" t="str">
        <x:v>租赁费</x:v>
      </x:c>
      <x:c r="Q24" s="81" t="n">
        <x:v>20.1</x:v>
      </x:c>
      <x:c r="R24" s="62" t="str">
        <x:v>15</x:v>
      </x:c>
      <x:c r="S24" s="62" t="str">
        <x:v>CNY</x:v>
      </x:c>
      <x:c r="T24" s="62" t="str">
        <x:v>万元</x:v>
      </x:c>
      <x:c r="U24" s="71" t="str">
        <x:v>费用不含税</x:v>
      </x:c>
      <x:c r="V24" s="71" t="str">
        <x:v>2024|ADJ5048|10</x:v>
      </x:c>
      <x:c r="W24" s="71" t="str">
        <x:v>2024年预算下达明细.xlsx</x:v>
      </x:c>
      <x:c r="X24" s="71" t="str">
        <x:v>Sheet</x:v>
      </x:c>
      <x:c r="Y24" s="71" t="n">
        <x:v>24</x:v>
      </x:c>
      <x:c r="Z24" s="71" t="str">
        <x:v>2024年预算下达明细.xlsx/Sheet!24:24</x:v>
      </x:c>
    </x:row>
    <x:row r="25">
      <x:c r="A25" s="62" t="str">
        <x:v>S002</x:v>
      </x:c>
      <x:c r="B25" s="62" t="n">
        <x:v>2024</x:v>
      </x:c>
      <x:c r="C25" s="62" t="str">
        <x:v>FY2024-APPROVED-FINAL-v1</x:v>
      </x:c>
      <x:c r="D25" s="62" t="str">
        <x:v>APPROVED_BUDGET</x:v>
      </x:c>
      <x:c r="E25" s="62" t="str">
        <x:v>FINAL_APPROVED</x:v>
      </x:c>
      <x:c r="F25" s="74" t="n">
        <x:v>45306</x:v>
      </x:c>
      <x:c r="G25" s="62" t="str">
        <x:v>CORRECTED</x:v>
      </x:c>
      <x:c r="H25" s="62" t="str">
        <x:v>ADJ5049</x:v>
      </x:c>
      <x:c r="I25" s="62" t="n">
        <x:v>10</x:v>
      </x:c>
      <x:c r="J25" s="62" t="n">
        <x:v>2024</x:v>
      </x:c>
      <x:c r="K25" s="62" t="str">
        <x:v>年度下达</x:v>
      </x:c>
      <x:c r="L25" s="74" t="n">
        <x:v>45306</x:v>
      </x:c>
      <x:c r="M25" s="62" t="str">
        <x:v>安全运行部</x:v>
      </x:c>
      <x:c r="N25" s="62" t="str">
        <x:v>项目预算</x:v>
      </x:c>
      <x:c r="O25" s="62" t="str">
        <x:v>业务支持费-技术配置</x:v>
      </x:c>
      <x:c r="P25" s="62" t="str">
        <x:v>业务支持费-技术配置</x:v>
      </x:c>
      <x:c r="Q25" s="81" t="n">
        <x:v>44.6</x:v>
      </x:c>
      <x:c r="R25" s="62" t="str">
        <x:v>15</x:v>
      </x:c>
      <x:c r="S25" s="62" t="str">
        <x:v>CNY</x:v>
      </x:c>
      <x:c r="T25" s="62" t="str">
        <x:v>万元</x:v>
      </x:c>
      <x:c r="U25" s="71" t="str">
        <x:v>费用不含税</x:v>
      </x:c>
      <x:c r="V25" s="71" t="str">
        <x:v>2024|ADJ5049|10</x:v>
      </x:c>
      <x:c r="W25" s="71" t="str">
        <x:v>2024年预算下达明细.xlsx</x:v>
      </x:c>
      <x:c r="X25" s="71" t="str">
        <x:v>Sheet</x:v>
      </x:c>
      <x:c r="Y25" s="71" t="n">
        <x:v>25</x:v>
      </x:c>
      <x:c r="Z25" s="71" t="str">
        <x:v>2024年预算下达明细.xlsx/Sheet!25:25</x:v>
      </x:c>
    </x:row>
    <x:row r="26">
      <x:c r="A26" s="62" t="str">
        <x:v>S002</x:v>
      </x:c>
      <x:c r="B26" s="62" t="n">
        <x:v>2024</x:v>
      </x:c>
      <x:c r="C26" s="62" t="str">
        <x:v>FY2024-APPROVED-FINAL-v1</x:v>
      </x:c>
      <x:c r="D26" s="62" t="str">
        <x:v>APPROVED_BUDGET</x:v>
      </x:c>
      <x:c r="E26" s="62" t="str">
        <x:v>FINAL_APPROVED</x:v>
      </x:c>
      <x:c r="F26" s="74" t="n">
        <x:v>45306</x:v>
      </x:c>
      <x:c r="G26" s="62" t="str">
        <x:v>CORRECTED</x:v>
      </x:c>
      <x:c r="H26" s="62" t="str">
        <x:v>ADJ5049</x:v>
      </x:c>
      <x:c r="I26" s="62" t="n">
        <x:v>20</x:v>
      </x:c>
      <x:c r="J26" s="62" t="str">
        <x:v>2024</x:v>
      </x:c>
      <x:c r="K26" s="62" t="str">
        <x:v>年度下达</x:v>
      </x:c>
      <x:c r="L26" s="74" t="n">
        <x:v>45306</x:v>
      </x:c>
      <x:c r="M26" s="62" t="str">
        <x:v>设备管理部</x:v>
      </x:c>
      <x:c r="N26" s="62" t="str">
        <x:v>项目预算</x:v>
      </x:c>
      <x:c r="O26" s="62" t="str">
        <x:v>人工成本</x:v>
      </x:c>
      <x:c r="P26" s="62" t="str">
        <x:v>人工成本</x:v>
      </x:c>
      <x:c r="Q26" s="81" t="n">
        <x:v>65</x:v>
      </x:c>
      <x:c r="R26" s="62" t="str">
        <x:v>15</x:v>
      </x:c>
      <x:c r="S26" s="62" t="str">
        <x:v>CNY</x:v>
      </x:c>
      <x:c r="T26" s="62" t="str">
        <x:v>万元</x:v>
      </x:c>
      <x:c r="U26" s="71" t="str">
        <x:v>费用不含税</x:v>
      </x:c>
      <x:c r="V26" s="71" t="str">
        <x:v>2024|ADJ5049|20</x:v>
      </x:c>
      <x:c r="W26" s="71" t="str">
        <x:v>2024年预算下达明细.xlsx</x:v>
      </x:c>
      <x:c r="X26" s="71" t="str">
        <x:v>Sheet</x:v>
      </x:c>
      <x:c r="Y26" s="71" t="n">
        <x:v>26</x:v>
      </x:c>
      <x:c r="Z26" s="71" t="str">
        <x:v>2024年预算下达明细.xlsx/Sheet!26:26</x:v>
      </x:c>
    </x:row>
    <x:row r="27">
      <x:c r="A27" s="62" t="str">
        <x:v>S002</x:v>
      </x:c>
      <x:c r="B27" s="62" t="n">
        <x:v>2024</x:v>
      </x:c>
      <x:c r="C27" s="62" t="str">
        <x:v>FY2024-APPROVED-FINAL-v1</x:v>
      </x:c>
      <x:c r="D27" s="62" t="str">
        <x:v>APPROVED_BUDGET</x:v>
      </x:c>
      <x:c r="E27" s="62" t="str">
        <x:v>FINAL_APPROVED</x:v>
      </x:c>
      <x:c r="F27" s="74" t="n">
        <x:v>45306</x:v>
      </x:c>
      <x:c r="G27" s="62" t="str">
        <x:v>SOURCE</x:v>
      </x:c>
      <x:c r="H27" s="62" t="str">
        <x:v>ADJ5050</x:v>
      </x:c>
      <x:c r="I27" s="62" t="n">
        <x:v>10</x:v>
      </x:c>
      <x:c r="J27" s="62" t="str">
        <x:v>2024</x:v>
      </x:c>
      <x:c r="K27" s="62" t="str">
        <x:v>年度下达</x:v>
      </x:c>
      <x:c r="L27" s="74" t="n">
        <x:v>45306</x:v>
      </x:c>
      <x:c r="M27" s="62" t="str">
        <x:v>设备管理部</x:v>
      </x:c>
      <x:c r="N27" s="62" t="str">
        <x:v>项目预算</x:v>
      </x:c>
      <x:c r="O27" s="62" t="str">
        <x:v>折旧</x:v>
      </x:c>
      <x:c r="P27" s="62" t="str">
        <x:v>折旧摊销</x:v>
      </x:c>
      <x:c r="Q27" s="81" t="n">
        <x:v>28</x:v>
      </x:c>
      <x:c r="R27" s="62" t="str">
        <x:v>15</x:v>
      </x:c>
      <x:c r="S27" s="62" t="str">
        <x:v>CNY</x:v>
      </x:c>
      <x:c r="T27" s="62" t="str">
        <x:v>万元</x:v>
      </x:c>
      <x:c r="U27" s="71" t="str">
        <x:v>费用不含税</x:v>
      </x:c>
      <x:c r="V27" s="71" t="str">
        <x:v>2024|ADJ5050|10</x:v>
      </x:c>
      <x:c r="W27" s="71" t="str">
        <x:v>2024年预算下达明细.xlsx</x:v>
      </x:c>
      <x:c r="X27" s="71" t="str">
        <x:v>Sheet</x:v>
      </x:c>
      <x:c r="Y27" s="71" t="n">
        <x:v>27</x:v>
      </x:c>
      <x:c r="Z27" s="71" t="str">
        <x:v>2024年预算下达明细.xlsx/Sheet!27:27</x:v>
      </x:c>
    </x:row>
    <x:row r="28">
      <x:c r="A28" s="62" t="str">
        <x:v>S002</x:v>
      </x:c>
      <x:c r="B28" s="62" t="n">
        <x:v>2024</x:v>
      </x:c>
      <x:c r="C28" s="62" t="str">
        <x:v>FY2024-APPROVED-FINAL-v1</x:v>
      </x:c>
      <x:c r="D28" s="62" t="str">
        <x:v>APPROVED_BUDGET</x:v>
      </x:c>
      <x:c r="E28" s="62" t="str">
        <x:v>FINAL_APPROVED</x:v>
      </x:c>
      <x:c r="F28" s="74" t="n">
        <x:v>45306</x:v>
      </x:c>
      <x:c r="G28" s="62" t="str">
        <x:v>SOURCE</x:v>
      </x:c>
      <x:c r="H28" s="62" t="str">
        <x:v>ADJ5051</x:v>
      </x:c>
      <x:c r="I28" s="62" t="n">
        <x:v>10</x:v>
      </x:c>
      <x:c r="J28" s="62" t="str">
        <x:v>2024</x:v>
      </x:c>
      <x:c r="K28" s="62" t="str">
        <x:v>年度下达</x:v>
      </x:c>
      <x:c r="L28" s="74" t="n">
        <x:v>45306</x:v>
      </x:c>
      <x:c r="M28" s="62" t="str">
        <x:v>技术部</x:v>
      </x:c>
      <x:c r="N28" s="62" t="str">
        <x:v>项目预算</x:v>
      </x:c>
      <x:c r="O28" s="62" t="str">
        <x:v>人工成本</x:v>
      </x:c>
      <x:c r="P28" s="62" t="str">
        <x:v>人工成本</x:v>
      </x:c>
      <x:c r="Q28" s="81" t="n">
        <x:v>85</x:v>
      </x:c>
      <x:c r="R28" s="62" t="str">
        <x:v>15</x:v>
      </x:c>
      <x:c r="S28" s="62" t="str">
        <x:v>CNY</x:v>
      </x:c>
      <x:c r="T28" s="62" t="str">
        <x:v>万元</x:v>
      </x:c>
      <x:c r="U28" s="71" t="str">
        <x:v>费用不含税</x:v>
      </x:c>
      <x:c r="V28" s="71" t="str">
        <x:v>2024|ADJ5051|10</x:v>
      </x:c>
      <x:c r="W28" s="71" t="str">
        <x:v>2024年预算下达明细.xlsx</x:v>
      </x:c>
      <x:c r="X28" s="71" t="str">
        <x:v>Sheet</x:v>
      </x:c>
      <x:c r="Y28" s="71" t="n">
        <x:v>28</x:v>
      </x:c>
      <x:c r="Z28" s="71" t="str">
        <x:v>2024年预算下达明细.xlsx/Sheet!28:28</x:v>
      </x:c>
    </x:row>
    <x:row r="29">
      <x:c r="A29" s="62" t="str">
        <x:v>S002</x:v>
      </x:c>
      <x:c r="B29" s="62" t="n">
        <x:v>2024</x:v>
      </x:c>
      <x:c r="C29" s="62" t="str">
        <x:v>FY2024-APPROVED-FINAL-v1</x:v>
      </x:c>
      <x:c r="D29" s="62" t="str">
        <x:v>APPROVED_BUDGET</x:v>
      </x:c>
      <x:c r="E29" s="62" t="str">
        <x:v>FINAL_APPROVED</x:v>
      </x:c>
      <x:c r="F29" s="74" t="n">
        <x:v>45306</x:v>
      </x:c>
      <x:c r="G29" s="62" t="str">
        <x:v>SOURCE</x:v>
      </x:c>
      <x:c r="H29" s="62" t="str">
        <x:v>ADJ5052</x:v>
      </x:c>
      <x:c r="I29" s="62" t="n">
        <x:v>10</x:v>
      </x:c>
      <x:c r="J29" s="62" t="str">
        <x:v>2024</x:v>
      </x:c>
      <x:c r="K29" s="62" t="str">
        <x:v>年度下达</x:v>
      </x:c>
      <x:c r="L29" s="74" t="n">
        <x:v>45306</x:v>
      </x:c>
      <x:c r="M29" s="62" t="str">
        <x:v>技术部</x:v>
      </x:c>
      <x:c r="N29" s="62" t="str">
        <x:v>项目预算</x:v>
      </x:c>
      <x:c r="O29" s="62" t="str">
        <x:v>折旧</x:v>
      </x:c>
      <x:c r="P29" s="62" t="str">
        <x:v>折旧摊销</x:v>
      </x:c>
      <x:c r="Q29" s="81" t="n">
        <x:v>16.1</x:v>
      </x:c>
      <x:c r="R29" s="62" t="str">
        <x:v>15</x:v>
      </x:c>
      <x:c r="S29" s="62" t="str">
        <x:v>CNY</x:v>
      </x:c>
      <x:c r="T29" s="62" t="str">
        <x:v>万元</x:v>
      </x:c>
      <x:c r="U29" s="71" t="str">
        <x:v>费用不含税</x:v>
      </x:c>
      <x:c r="V29" s="71" t="str">
        <x:v>2024|ADJ5052|10</x:v>
      </x:c>
      <x:c r="W29" s="71" t="str">
        <x:v>2024年预算下达明细.xlsx</x:v>
      </x:c>
      <x:c r="X29" s="71" t="str">
        <x:v>Sheet</x:v>
      </x:c>
      <x:c r="Y29" s="71" t="n">
        <x:v>29</x:v>
      </x:c>
      <x:c r="Z29" s="71" t="str">
        <x:v>2024年预算下达明细.xlsx/Sheet!29:29</x:v>
      </x:c>
    </x:row>
    <x:row r="30">
      <x:c r="A30" s="62" t="str">
        <x:v>S002</x:v>
      </x:c>
      <x:c r="B30" s="62" t="n">
        <x:v>2024</x:v>
      </x:c>
      <x:c r="C30" s="62" t="str">
        <x:v>FY2024-APPROVED-FINAL-v1</x:v>
      </x:c>
      <x:c r="D30" s="62" t="str">
        <x:v>APPROVED_BUDGET</x:v>
      </x:c>
      <x:c r="E30" s="62" t="str">
        <x:v>FINAL_APPROVED</x:v>
      </x:c>
      <x:c r="F30" s="74" t="n">
        <x:v>45306</x:v>
      </x:c>
      <x:c r="G30" s="62" t="str">
        <x:v>SOURCE</x:v>
      </x:c>
      <x:c r="H30" s="62" t="str">
        <x:v>ADJ5053</x:v>
      </x:c>
      <x:c r="I30" s="62" t="n">
        <x:v>10</x:v>
      </x:c>
      <x:c r="J30" s="62" t="str">
        <x:v>2024</x:v>
      </x:c>
      <x:c r="K30" s="62" t="str">
        <x:v>年度下达</x:v>
      </x:c>
      <x:c r="L30" s="74" t="n">
        <x:v>45306</x:v>
      </x:c>
      <x:c r="M30" s="62" t="str">
        <x:v>安全运行部</x:v>
      </x:c>
      <x:c r="N30" s="62" t="str">
        <x:v>项目预算</x:v>
      </x:c>
      <x:c r="O30" s="62" t="str">
        <x:v>人工成本</x:v>
      </x:c>
      <x:c r="P30" s="62" t="str">
        <x:v>人工成本</x:v>
      </x:c>
      <x:c r="Q30" s="81" t="n">
        <x:v>60</x:v>
      </x:c>
      <x:c r="R30" s="62" t="str">
        <x:v>15</x:v>
      </x:c>
      <x:c r="S30" s="62" t="str">
        <x:v>CNY</x:v>
      </x:c>
      <x:c r="T30" s="62" t="str">
        <x:v>万元</x:v>
      </x:c>
      <x:c r="U30" s="71" t="str">
        <x:v>费用不含税</x:v>
      </x:c>
      <x:c r="V30" s="71" t="str">
        <x:v>2024|ADJ5053|10</x:v>
      </x:c>
      <x:c r="W30" s="71" t="str">
        <x:v>2024年预算下达明细.xlsx</x:v>
      </x:c>
      <x:c r="X30" s="71" t="str">
        <x:v>Sheet</x:v>
      </x:c>
      <x:c r="Y30" s="71" t="n">
        <x:v>30</x:v>
      </x:c>
      <x:c r="Z30" s="71" t="str">
        <x:v>2024年预算下达明细.xlsx/Sheet!30:30</x:v>
      </x:c>
    </x:row>
    <x:row r="31">
      <x:c r="A31" s="62" t="str">
        <x:v>S002</x:v>
      </x:c>
      <x:c r="B31" s="62" t="n">
        <x:v>2024</x:v>
      </x:c>
      <x:c r="C31" s="62" t="str">
        <x:v>FY2024-APPROVED-FINAL-v1</x:v>
      </x:c>
      <x:c r="D31" s="62" t="str">
        <x:v>APPROVED_BUDGET</x:v>
      </x:c>
      <x:c r="E31" s="62" t="str">
        <x:v>FINAL_APPROVED</x:v>
      </x:c>
      <x:c r="F31" s="74" t="n">
        <x:v>45306</x:v>
      </x:c>
      <x:c r="G31" s="62" t="str">
        <x:v>SOURCE</x:v>
      </x:c>
      <x:c r="H31" s="62" t="str">
        <x:v>ADJ5054</x:v>
      </x:c>
      <x:c r="I31" s="62" t="n">
        <x:v>10</x:v>
      </x:c>
      <x:c r="J31" s="62" t="str">
        <x:v>2024</x:v>
      </x:c>
      <x:c r="K31" s="62" t="str">
        <x:v>年度下达</x:v>
      </x:c>
      <x:c r="L31" s="74" t="n">
        <x:v>45306</x:v>
      </x:c>
      <x:c r="M31" s="62" t="str">
        <x:v>安全运行部</x:v>
      </x:c>
      <x:c r="N31" s="62" t="str">
        <x:v>项目预算</x:v>
      </x:c>
      <x:c r="O31" s="62" t="str">
        <x:v>折旧</x:v>
      </x:c>
      <x:c r="P31" s="62" t="str">
        <x:v>折旧摊销</x:v>
      </x:c>
      <x:c r="Q31" s="81" t="n">
        <x:v>17.8</x:v>
      </x:c>
      <x:c r="R31" s="62" t="str">
        <x:v>15</x:v>
      </x:c>
      <x:c r="S31" s="62" t="str">
        <x:v>CNY</x:v>
      </x:c>
      <x:c r="T31" s="62" t="str">
        <x:v>万元</x:v>
      </x:c>
      <x:c r="U31" s="71" t="str">
        <x:v>费用不含税</x:v>
      </x:c>
      <x:c r="V31" s="71" t="str">
        <x:v>2024|ADJ5054|10</x:v>
      </x:c>
      <x:c r="W31" s="71" t="str">
        <x:v>2024年预算下达明细.xlsx</x:v>
      </x:c>
      <x:c r="X31" s="71" t="str">
        <x:v>Sheet</x:v>
      </x:c>
      <x:c r="Y31" s="71" t="n">
        <x:v>31</x:v>
      </x:c>
      <x:c r="Z31" s="71" t="str">
        <x:v>2024年预算下达明细.xlsx/Sheet!31:31</x:v>
      </x:c>
    </x:row>
    <x:row r="32">
      <x:c r="A32" s="62" t="str">
        <x:v>S002</x:v>
      </x:c>
      <x:c r="B32" s="62" t="n">
        <x:v>2025</x:v>
      </x:c>
      <x:c r="C32" s="62" t="str">
        <x:v>FY2025-APPROVED-FINAL-v1</x:v>
      </x:c>
      <x:c r="D32" s="62" t="str">
        <x:v>APPROVED_BUDGET</x:v>
      </x:c>
      <x:c r="E32" s="62" t="str">
        <x:v>FINAL_APPROVED</x:v>
      </x:c>
      <x:c r="F32" s="74" t="n">
        <x:v>45672</x:v>
      </x:c>
      <x:c r="G32" s="62" t="str">
        <x:v>SOURCE</x:v>
      </x:c>
      <x:c r="H32" s="62" t="str">
        <x:v>ADJ5025</x:v>
      </x:c>
      <x:c r="I32" s="62" t="n">
        <x:v>10</x:v>
      </x:c>
      <x:c r="J32" s="62" t="n">
        <x:v>2025</x:v>
      </x:c>
      <x:c r="K32" s="62" t="str">
        <x:v>年度下达</x:v>
      </x:c>
      <x:c r="L32" s="74" t="n">
        <x:v>45658</x:v>
      </x:c>
      <x:c r="M32" s="62" t="str">
        <x:v>设备管理部</x:v>
      </x:c>
      <x:c r="N32" s="62" t="str">
        <x:v>收入预算</x:v>
      </x:c>
      <x:c r="O32" s="62" t="str">
        <x:v>营业收入</x:v>
      </x:c>
      <x:c r="P32" s="62" t="str">
        <x:v>营业收入</x:v>
      </x:c>
      <x:c r="Q32" s="81" t="n">
        <x:v>500</x:v>
      </x:c>
      <x:c r="R32" s="62" t="str">
        <x:v>15</x:v>
      </x:c>
      <x:c r="S32" s="62" t="str">
        <x:v>CNY</x:v>
      </x:c>
      <x:c r="T32" s="62" t="str">
        <x:v>万元</x:v>
      </x:c>
      <x:c r="U32" s="71" t="str">
        <x:v>收入净额（演示口径）</x:v>
      </x:c>
      <x:c r="V32" s="71" t="str">
        <x:v>2025|ADJ5025|10</x:v>
      </x:c>
      <x:c r="W32" s="71" t="str">
        <x:v>2025年预算下达明细.xlsx</x:v>
      </x:c>
      <x:c r="X32" s="71" t="str">
        <x:v>Sheet</x:v>
      </x:c>
      <x:c r="Y32" s="71" t="n">
        <x:v>2</x:v>
      </x:c>
      <x:c r="Z32" s="71" t="str">
        <x:v>2025年预算下达明细.xlsx/Sheet!2:2</x:v>
      </x:c>
    </x:row>
    <x:row r="33">
      <x:c r="A33" s="62" t="str">
        <x:v>S002</x:v>
      </x:c>
      <x:c r="B33" s="62" t="n">
        <x:v>2025</x:v>
      </x:c>
      <x:c r="C33" s="62" t="str">
        <x:v>FY2025-APPROVED-FINAL-v1</x:v>
      </x:c>
      <x:c r="D33" s="62" t="str">
        <x:v>APPROVED_BUDGET</x:v>
      </x:c>
      <x:c r="E33" s="62" t="str">
        <x:v>FINAL_APPROVED</x:v>
      </x:c>
      <x:c r="F33" s="74" t="n">
        <x:v>45672</x:v>
      </x:c>
      <x:c r="G33" s="62" t="str">
        <x:v>SOURCE</x:v>
      </x:c>
      <x:c r="H33" s="62" t="str">
        <x:v>ADJ5026</x:v>
      </x:c>
      <x:c r="I33" s="62" t="n">
        <x:v>10</x:v>
      </x:c>
      <x:c r="J33" s="62" t="n">
        <x:v>2025</x:v>
      </x:c>
      <x:c r="K33" s="62" t="str">
        <x:v>年度下达</x:v>
      </x:c>
      <x:c r="L33" s="74" t="n">
        <x:v>45672</x:v>
      </x:c>
      <x:c r="M33" s="62" t="str">
        <x:v>设备管理部</x:v>
      </x:c>
      <x:c r="N33" s="62" t="str">
        <x:v>项目预算</x:v>
      </x:c>
      <x:c r="O33" s="62" t="str">
        <x:v>差旅费</x:v>
      </x:c>
      <x:c r="P33" s="62" t="str">
        <x:v>差旅费</x:v>
      </x:c>
      <x:c r="Q33" s="81" t="n">
        <x:v>50</x:v>
      </x:c>
      <x:c r="R33" s="62" t="str">
        <x:v>15</x:v>
      </x:c>
      <x:c r="S33" s="62" t="str">
        <x:v>CNY</x:v>
      </x:c>
      <x:c r="T33" s="62" t="str">
        <x:v>万元</x:v>
      </x:c>
      <x:c r="U33" s="71" t="str">
        <x:v>费用不含税</x:v>
      </x:c>
      <x:c r="V33" s="71" t="str">
        <x:v>2025|ADJ5026|10</x:v>
      </x:c>
      <x:c r="W33" s="71" t="str">
        <x:v>2025年预算下达明细.xlsx</x:v>
      </x:c>
      <x:c r="X33" s="71" t="str">
        <x:v>Sheet</x:v>
      </x:c>
      <x:c r="Y33" s="71" t="n">
        <x:v>3</x:v>
      </x:c>
      <x:c r="Z33" s="71" t="str">
        <x:v>2025年预算下达明细.xlsx/Sheet!3:3</x:v>
      </x:c>
    </x:row>
    <x:row r="34">
      <x:c r="A34" s="62" t="str">
        <x:v>S002</x:v>
      </x:c>
      <x:c r="B34" s="62" t="n">
        <x:v>2025</x:v>
      </x:c>
      <x:c r="C34" s="62" t="str">
        <x:v>FY2025-APPROVED-FINAL-v1</x:v>
      </x:c>
      <x:c r="D34" s="62" t="str">
        <x:v>APPROVED_BUDGET</x:v>
      </x:c>
      <x:c r="E34" s="62" t="str">
        <x:v>FINAL_APPROVED</x:v>
      </x:c>
      <x:c r="F34" s="74" t="n">
        <x:v>45672</x:v>
      </x:c>
      <x:c r="G34" s="62" t="str">
        <x:v>SOURCE</x:v>
      </x:c>
      <x:c r="H34" s="62" t="str">
        <x:v>ADJ5027</x:v>
      </x:c>
      <x:c r="I34" s="62" t="n">
        <x:v>10</x:v>
      </x:c>
      <x:c r="J34" s="62" t="n">
        <x:v>2025</x:v>
      </x:c>
      <x:c r="K34" s="62" t="str">
        <x:v>年度下达</x:v>
      </x:c>
      <x:c r="L34" s="74" t="n">
        <x:v>45672</x:v>
      </x:c>
      <x:c r="M34" s="62" t="str">
        <x:v>设备管理部</x:v>
      </x:c>
      <x:c r="N34" s="62" t="str">
        <x:v>项目预算</x:v>
      </x:c>
      <x:c r="O34" s="62" t="str">
        <x:v>生产物料费</x:v>
      </x:c>
      <x:c r="P34" s="62" t="str">
        <x:v>生产物料费</x:v>
      </x:c>
      <x:c r="Q34" s="81" t="n">
        <x:v>33</x:v>
      </x:c>
      <x:c r="R34" s="62" t="str">
        <x:v>15</x:v>
      </x:c>
      <x:c r="S34" s="62" t="str">
        <x:v>CNY</x:v>
      </x:c>
      <x:c r="T34" s="62" t="str">
        <x:v>万元</x:v>
      </x:c>
      <x:c r="U34" s="71" t="str">
        <x:v>费用不含税</x:v>
      </x:c>
      <x:c r="V34" s="71" t="str">
        <x:v>2025|ADJ5027|10</x:v>
      </x:c>
      <x:c r="W34" s="71" t="str">
        <x:v>2025年预算下达明细.xlsx</x:v>
      </x:c>
      <x:c r="X34" s="71" t="str">
        <x:v>Sheet</x:v>
      </x:c>
      <x:c r="Y34" s="71" t="n">
        <x:v>4</x:v>
      </x:c>
      <x:c r="Z34" s="71" t="str">
        <x:v>2025年预算下达明细.xlsx/Sheet!4:4</x:v>
      </x:c>
    </x:row>
    <x:row r="35">
      <x:c r="A35" s="62" t="str">
        <x:v>S002</x:v>
      </x:c>
      <x:c r="B35" s="62" t="n">
        <x:v>2025</x:v>
      </x:c>
      <x:c r="C35" s="62" t="str">
        <x:v>FY2025-APPROVED-FINAL-v1</x:v>
      </x:c>
      <x:c r="D35" s="62" t="str">
        <x:v>APPROVED_BUDGET</x:v>
      </x:c>
      <x:c r="E35" s="62" t="str">
        <x:v>FINAL_APPROVED</x:v>
      </x:c>
      <x:c r="F35" s="74" t="n">
        <x:v>45672</x:v>
      </x:c>
      <x:c r="G35" s="62" t="str">
        <x:v>SOURCE</x:v>
      </x:c>
      <x:c r="H35" s="62" t="str">
        <x:v>ADJ5028</x:v>
      </x:c>
      <x:c r="I35" s="62" t="n">
        <x:v>10</x:v>
      </x:c>
      <x:c r="J35" s="62" t="n">
        <x:v>2025</x:v>
      </x:c>
      <x:c r="K35" s="62" t="str">
        <x:v>年度下达</x:v>
      </x:c>
      <x:c r="L35" s="74" t="n">
        <x:v>45672</x:v>
      </x:c>
      <x:c r="M35" s="62" t="str">
        <x:v>设备管理部</x:v>
      </x:c>
      <x:c r="N35" s="62" t="str">
        <x:v>项目预算</x:v>
      </x:c>
      <x:c r="O35" s="62" t="str">
        <x:v>会议费</x:v>
      </x:c>
      <x:c r="P35" s="62" t="str">
        <x:v>会议费</x:v>
      </x:c>
      <x:c r="Q35" s="81" t="n">
        <x:v>20</x:v>
      </x:c>
      <x:c r="R35" s="62" t="str">
        <x:v>15</x:v>
      </x:c>
      <x:c r="S35" s="62" t="str">
        <x:v>CNY</x:v>
      </x:c>
      <x:c r="T35" s="62" t="str">
        <x:v>万元</x:v>
      </x:c>
      <x:c r="U35" s="71" t="str">
        <x:v>费用不含税</x:v>
      </x:c>
      <x:c r="V35" s="71" t="str">
        <x:v>2025|ADJ5028|10</x:v>
      </x:c>
      <x:c r="W35" s="71" t="str">
        <x:v>2025年预算下达明细.xlsx</x:v>
      </x:c>
      <x:c r="X35" s="71" t="str">
        <x:v>Sheet</x:v>
      </x:c>
      <x:c r="Y35" s="71" t="n">
        <x:v>5</x:v>
      </x:c>
      <x:c r="Z35" s="71" t="str">
        <x:v>2025年预算下达明细.xlsx/Sheet!5:5</x:v>
      </x:c>
    </x:row>
    <x:row r="36">
      <x:c r="A36" s="62" t="str">
        <x:v>S002</x:v>
      </x:c>
      <x:c r="B36" s="62" t="n">
        <x:v>2025</x:v>
      </x:c>
      <x:c r="C36" s="62" t="str">
        <x:v>FY2025-APPROVED-FINAL-v1</x:v>
      </x:c>
      <x:c r="D36" s="62" t="str">
        <x:v>APPROVED_BUDGET</x:v>
      </x:c>
      <x:c r="E36" s="62" t="str">
        <x:v>FINAL_APPROVED</x:v>
      </x:c>
      <x:c r="F36" s="74" t="n">
        <x:v>45672</x:v>
      </x:c>
      <x:c r="G36" s="62" t="str">
        <x:v>SOURCE</x:v>
      </x:c>
      <x:c r="H36" s="62" t="str">
        <x:v>ADJ5029</x:v>
      </x:c>
      <x:c r="I36" s="62" t="n">
        <x:v>10</x:v>
      </x:c>
      <x:c r="J36" s="62" t="n">
        <x:v>2025</x:v>
      </x:c>
      <x:c r="K36" s="62" t="str">
        <x:v>年度下达</x:v>
      </x:c>
      <x:c r="L36" s="74" t="n">
        <x:v>45672</x:v>
      </x:c>
      <x:c r="M36" s="62" t="str">
        <x:v>设备管理部</x:v>
      </x:c>
      <x:c r="N36" s="62" t="str">
        <x:v>项目预算</x:v>
      </x:c>
      <x:c r="O36" s="62" t="str">
        <x:v>业务支持费</x:v>
      </x:c>
      <x:c r="P36" s="62" t="str">
        <x:v>业务支持费-其他</x:v>
      </x:c>
      <x:c r="Q36" s="81" t="n">
        <x:v>80</x:v>
      </x:c>
      <x:c r="R36" s="62" t="str">
        <x:v>15</x:v>
      </x:c>
      <x:c r="S36" s="62" t="str">
        <x:v>CNY</x:v>
      </x:c>
      <x:c r="T36" s="62" t="str">
        <x:v>万元</x:v>
      </x:c>
      <x:c r="U36" s="71" t="str">
        <x:v>费用不含税</x:v>
      </x:c>
      <x:c r="V36" s="71" t="str">
        <x:v>2025|ADJ5029|10</x:v>
      </x:c>
      <x:c r="W36" s="71" t="str">
        <x:v>2025年预算下达明细.xlsx</x:v>
      </x:c>
      <x:c r="X36" s="71" t="str">
        <x:v>Sheet</x:v>
      </x:c>
      <x:c r="Y36" s="71" t="n">
        <x:v>6</x:v>
      </x:c>
      <x:c r="Z36" s="71" t="str">
        <x:v>2025年预算下达明细.xlsx/Sheet!6:6</x:v>
      </x:c>
    </x:row>
    <x:row r="37">
      <x:c r="A37" s="62" t="str">
        <x:v>S002</x:v>
      </x:c>
      <x:c r="B37" s="62" t="n">
        <x:v>2025</x:v>
      </x:c>
      <x:c r="C37" s="62" t="str">
        <x:v>FY2025-APPROVED-FINAL-v1</x:v>
      </x:c>
      <x:c r="D37" s="62" t="str">
        <x:v>APPROVED_BUDGET</x:v>
      </x:c>
      <x:c r="E37" s="62" t="str">
        <x:v>FINAL_APPROVED</x:v>
      </x:c>
      <x:c r="F37" s="74" t="n">
        <x:v>45672</x:v>
      </x:c>
      <x:c r="G37" s="62" t="str">
        <x:v>SOURCE</x:v>
      </x:c>
      <x:c r="H37" s="62" t="str">
        <x:v>ADJ5030</x:v>
      </x:c>
      <x:c r="I37" s="62" t="n">
        <x:v>10</x:v>
      </x:c>
      <x:c r="J37" s="62" t="n">
        <x:v>2025</x:v>
      </x:c>
      <x:c r="K37" s="62" t="str">
        <x:v>年度下达</x:v>
      </x:c>
      <x:c r="L37" s="74" t="n">
        <x:v>45672</x:v>
      </x:c>
      <x:c r="M37" s="62" t="str">
        <x:v>设备管理部</x:v>
      </x:c>
      <x:c r="N37" s="62" t="str">
        <x:v>项目预算</x:v>
      </x:c>
      <x:c r="O37" s="62" t="str">
        <x:v>交通运输费</x:v>
      </x:c>
      <x:c r="P37" s="62" t="str">
        <x:v>交通运输费</x:v>
      </x:c>
      <x:c r="Q37" s="81" t="n">
        <x:v>24</x:v>
      </x:c>
      <x:c r="R37" s="62" t="str">
        <x:v>15</x:v>
      </x:c>
      <x:c r="S37" s="62" t="str">
        <x:v>CNY</x:v>
      </x:c>
      <x:c r="T37" s="62" t="str">
        <x:v>万元</x:v>
      </x:c>
      <x:c r="U37" s="71" t="str">
        <x:v>费用不含税</x:v>
      </x:c>
      <x:c r="V37" s="71" t="str">
        <x:v>2025|ADJ5030|10</x:v>
      </x:c>
      <x:c r="W37" s="71" t="str">
        <x:v>2025年预算下达明细.xlsx</x:v>
      </x:c>
      <x:c r="X37" s="71" t="str">
        <x:v>Sheet</x:v>
      </x:c>
      <x:c r="Y37" s="71" t="n">
        <x:v>7</x:v>
      </x:c>
      <x:c r="Z37" s="71" t="str">
        <x:v>2025年预算下达明细.xlsx/Sheet!7:7</x:v>
      </x:c>
    </x:row>
    <x:row r="38">
      <x:c r="A38" s="62" t="str">
        <x:v>S002</x:v>
      </x:c>
      <x:c r="B38" s="62" t="n">
        <x:v>2025</x:v>
      </x:c>
      <x:c r="C38" s="62" t="str">
        <x:v>FY2025-APPROVED-FINAL-v1</x:v>
      </x:c>
      <x:c r="D38" s="62" t="str">
        <x:v>APPROVED_BUDGET</x:v>
      </x:c>
      <x:c r="E38" s="62" t="str">
        <x:v>FINAL_APPROVED</x:v>
      </x:c>
      <x:c r="F38" s="74" t="n">
        <x:v>45672</x:v>
      </x:c>
      <x:c r="G38" s="62" t="str">
        <x:v>SOURCE</x:v>
      </x:c>
      <x:c r="H38" s="62" t="str">
        <x:v>ADJ5031</x:v>
      </x:c>
      <x:c r="I38" s="62" t="n">
        <x:v>10</x:v>
      </x:c>
      <x:c r="J38" s="62" t="n">
        <x:v>2025</x:v>
      </x:c>
      <x:c r="K38" s="62" t="str">
        <x:v>年度下达</x:v>
      </x:c>
      <x:c r="L38" s="74" t="n">
        <x:v>45672</x:v>
      </x:c>
      <x:c r="M38" s="62" t="str">
        <x:v>设备管理部</x:v>
      </x:c>
      <x:c r="N38" s="62" t="str">
        <x:v>项目预算</x:v>
      </x:c>
      <x:c r="O38" s="62" t="str">
        <x:v>租赁费</x:v>
      </x:c>
      <x:c r="P38" s="62" t="str">
        <x:v>租赁费</x:v>
      </x:c>
      <x:c r="Q38" s="81" t="n">
        <x:v>10</x:v>
      </x:c>
      <x:c r="R38" s="62" t="str">
        <x:v>15</x:v>
      </x:c>
      <x:c r="S38" s="62" t="str">
        <x:v>CNY</x:v>
      </x:c>
      <x:c r="T38" s="62" t="str">
        <x:v>万元</x:v>
      </x:c>
      <x:c r="U38" s="71" t="str">
        <x:v>费用不含税</x:v>
      </x:c>
      <x:c r="V38" s="71" t="str">
        <x:v>2025|ADJ5031|10</x:v>
      </x:c>
      <x:c r="W38" s="71" t="str">
        <x:v>2025年预算下达明细.xlsx</x:v>
      </x:c>
      <x:c r="X38" s="71" t="str">
        <x:v>Sheet</x:v>
      </x:c>
      <x:c r="Y38" s="71" t="n">
        <x:v>8</x:v>
      </x:c>
      <x:c r="Z38" s="71" t="str">
        <x:v>2025年预算下达明细.xlsx/Sheet!8:8</x:v>
      </x:c>
    </x:row>
    <x:row r="39">
      <x:c r="A39" s="62" t="str">
        <x:v>S002</x:v>
      </x:c>
      <x:c r="B39" s="62" t="n">
        <x:v>2025</x:v>
      </x:c>
      <x:c r="C39" s="62" t="str">
        <x:v>FY2025-APPROVED-FINAL-v1</x:v>
      </x:c>
      <x:c r="D39" s="62" t="str">
        <x:v>APPROVED_BUDGET</x:v>
      </x:c>
      <x:c r="E39" s="62" t="str">
        <x:v>FINAL_APPROVED</x:v>
      </x:c>
      <x:c r="F39" s="74" t="n">
        <x:v>45672</x:v>
      </x:c>
      <x:c r="G39" s="62" t="str">
        <x:v>SOURCE</x:v>
      </x:c>
      <x:c r="H39" s="62" t="str">
        <x:v>ADJ5032</x:v>
      </x:c>
      <x:c r="I39" s="62" t="n">
        <x:v>10</x:v>
      </x:c>
      <x:c r="J39" s="62" t="n">
        <x:v>2025</x:v>
      </x:c>
      <x:c r="K39" s="62" t="str">
        <x:v>年度下达</x:v>
      </x:c>
      <x:c r="L39" s="74" t="n">
        <x:v>45672</x:v>
      </x:c>
      <x:c r="M39" s="62" t="str">
        <x:v>设备管理部</x:v>
      </x:c>
      <x:c r="N39" s="62" t="str">
        <x:v>项目预算</x:v>
      </x:c>
      <x:c r="O39" s="62" t="str">
        <x:v>业务支持费-技术配置</x:v>
      </x:c>
      <x:c r="P39" s="62" t="str">
        <x:v>业务支持费-技术配置</x:v>
      </x:c>
      <x:c r="Q39" s="81" t="n">
        <x:v>80.1</x:v>
      </x:c>
      <x:c r="R39" s="62" t="str">
        <x:v>15</x:v>
      </x:c>
      <x:c r="S39" s="62" t="str">
        <x:v>CNY</x:v>
      </x:c>
      <x:c r="T39" s="62" t="str">
        <x:v>万元</x:v>
      </x:c>
      <x:c r="U39" s="71" t="str">
        <x:v>费用不含税</x:v>
      </x:c>
      <x:c r="V39" s="71" t="str">
        <x:v>2025|ADJ5032|10</x:v>
      </x:c>
      <x:c r="W39" s="71" t="str">
        <x:v>2025年预算下达明细.xlsx</x:v>
      </x:c>
      <x:c r="X39" s="71" t="str">
        <x:v>Sheet</x:v>
      </x:c>
      <x:c r="Y39" s="71" t="n">
        <x:v>9</x:v>
      </x:c>
      <x:c r="Z39" s="71" t="str">
        <x:v>2025年预算下达明细.xlsx/Sheet!9:9</x:v>
      </x:c>
    </x:row>
    <x:row r="40">
      <x:c r="A40" s="62" t="str">
        <x:v>S002</x:v>
      </x:c>
      <x:c r="B40" s="62" t="n">
        <x:v>2025</x:v>
      </x:c>
      <x:c r="C40" s="62" t="str">
        <x:v>FY2025-APPROVED-FINAL-v1</x:v>
      </x:c>
      <x:c r="D40" s="62" t="str">
        <x:v>APPROVED_BUDGET</x:v>
      </x:c>
      <x:c r="E40" s="62" t="str">
        <x:v>FINAL_APPROVED</x:v>
      </x:c>
      <x:c r="F40" s="74" t="n">
        <x:v>45672</x:v>
      </x:c>
      <x:c r="G40" s="62" t="str">
        <x:v>SOURCE</x:v>
      </x:c>
      <x:c r="H40" s="62" t="str">
        <x:v>ADJ5033</x:v>
      </x:c>
      <x:c r="I40" s="62" t="n">
        <x:v>10</x:v>
      </x:c>
      <x:c r="J40" s="62" t="n">
        <x:v>2025</x:v>
      </x:c>
      <x:c r="K40" s="62" t="str">
        <x:v>年度下达</x:v>
      </x:c>
      <x:c r="L40" s="74" t="n">
        <x:v>45658</x:v>
      </x:c>
      <x:c r="M40" s="62" t="str">
        <x:v>技术部</x:v>
      </x:c>
      <x:c r="N40" s="62" t="str">
        <x:v>收入预算</x:v>
      </x:c>
      <x:c r="O40" s="62" t="str">
        <x:v>营业收入</x:v>
      </x:c>
      <x:c r="P40" s="62" t="str">
        <x:v>营业收入</x:v>
      </x:c>
      <x:c r="Q40" s="81" t="n">
        <x:v>400</x:v>
      </x:c>
      <x:c r="R40" s="62" t="str">
        <x:v>15</x:v>
      </x:c>
      <x:c r="S40" s="62" t="str">
        <x:v>CNY</x:v>
      </x:c>
      <x:c r="T40" s="62" t="str">
        <x:v>万元</x:v>
      </x:c>
      <x:c r="U40" s="71" t="str">
        <x:v>收入净额（演示口径）</x:v>
      </x:c>
      <x:c r="V40" s="71" t="str">
        <x:v>2025|ADJ5033|10</x:v>
      </x:c>
      <x:c r="W40" s="71" t="str">
        <x:v>2025年预算下达明细.xlsx</x:v>
      </x:c>
      <x:c r="X40" s="71" t="str">
        <x:v>Sheet</x:v>
      </x:c>
      <x:c r="Y40" s="71" t="n">
        <x:v>10</x:v>
      </x:c>
      <x:c r="Z40" s="71" t="str">
        <x:v>2025年预算下达明细.xlsx/Sheet!10:10</x:v>
      </x:c>
    </x:row>
    <x:row r="41">
      <x:c r="A41" s="62" t="str">
        <x:v>S002</x:v>
      </x:c>
      <x:c r="B41" s="62" t="n">
        <x:v>2025</x:v>
      </x:c>
      <x:c r="C41" s="62" t="str">
        <x:v>FY2025-APPROVED-FINAL-v1</x:v>
      </x:c>
      <x:c r="D41" s="62" t="str">
        <x:v>APPROVED_BUDGET</x:v>
      </x:c>
      <x:c r="E41" s="62" t="str">
        <x:v>FINAL_APPROVED</x:v>
      </x:c>
      <x:c r="F41" s="74" t="n">
        <x:v>45672</x:v>
      </x:c>
      <x:c r="G41" s="62" t="str">
        <x:v>SOURCE</x:v>
      </x:c>
      <x:c r="H41" s="62" t="str">
        <x:v>ADJ5034</x:v>
      </x:c>
      <x:c r="I41" s="62" t="n">
        <x:v>10</x:v>
      </x:c>
      <x:c r="J41" s="62" t="n">
        <x:v>2025</x:v>
      </x:c>
      <x:c r="K41" s="62" t="str">
        <x:v>年度下达</x:v>
      </x:c>
      <x:c r="L41" s="74" t="n">
        <x:v>45672</x:v>
      </x:c>
      <x:c r="M41" s="62" t="str">
        <x:v>技术部</x:v>
      </x:c>
      <x:c r="N41" s="62" t="str">
        <x:v>项目预算</x:v>
      </x:c>
      <x:c r="O41" s="62" t="str">
        <x:v>差旅费</x:v>
      </x:c>
      <x:c r="P41" s="62" t="str">
        <x:v>差旅费</x:v>
      </x:c>
      <x:c r="Q41" s="81" t="n">
        <x:v>30</x:v>
      </x:c>
      <x:c r="R41" s="62" t="str">
        <x:v>15</x:v>
      </x:c>
      <x:c r="S41" s="62" t="str">
        <x:v>CNY</x:v>
      </x:c>
      <x:c r="T41" s="62" t="str">
        <x:v>万元</x:v>
      </x:c>
      <x:c r="U41" s="71" t="str">
        <x:v>费用不含税</x:v>
      </x:c>
      <x:c r="V41" s="71" t="str">
        <x:v>2025|ADJ5034|10</x:v>
      </x:c>
      <x:c r="W41" s="71" t="str">
        <x:v>2025年预算下达明细.xlsx</x:v>
      </x:c>
      <x:c r="X41" s="71" t="str">
        <x:v>Sheet</x:v>
      </x:c>
      <x:c r="Y41" s="71" t="n">
        <x:v>11</x:v>
      </x:c>
      <x:c r="Z41" s="71" t="str">
        <x:v>2025年预算下达明细.xlsx/Sheet!11:11</x:v>
      </x:c>
    </x:row>
    <x:row r="42">
      <x:c r="A42" s="62" t="str">
        <x:v>S002</x:v>
      </x:c>
      <x:c r="B42" s="62" t="n">
        <x:v>2025</x:v>
      </x:c>
      <x:c r="C42" s="62" t="str">
        <x:v>FY2025-APPROVED-FINAL-v1</x:v>
      </x:c>
      <x:c r="D42" s="62" t="str">
        <x:v>APPROVED_BUDGET</x:v>
      </x:c>
      <x:c r="E42" s="62" t="str">
        <x:v>FINAL_APPROVED</x:v>
      </x:c>
      <x:c r="F42" s="74" t="n">
        <x:v>45672</x:v>
      </x:c>
      <x:c r="G42" s="62" t="str">
        <x:v>SOURCE</x:v>
      </x:c>
      <x:c r="H42" s="62" t="str">
        <x:v>ADJ5035</x:v>
      </x:c>
      <x:c r="I42" s="62" t="n">
        <x:v>10</x:v>
      </x:c>
      <x:c r="J42" s="62" t="n">
        <x:v>2025</x:v>
      </x:c>
      <x:c r="K42" s="62" t="str">
        <x:v>年度下达</x:v>
      </x:c>
      <x:c r="L42" s="74" t="n">
        <x:v>45672</x:v>
      </x:c>
      <x:c r="M42" s="62" t="str">
        <x:v>技术部</x:v>
      </x:c>
      <x:c r="N42" s="62" t="str">
        <x:v>项目预算</x:v>
      </x:c>
      <x:c r="O42" s="62" t="str">
        <x:v>生产物料费</x:v>
      </x:c>
      <x:c r="P42" s="62" t="str">
        <x:v>生产物料费</x:v>
      </x:c>
      <x:c r="Q42" s="81" t="n">
        <x:v>38.3</x:v>
      </x:c>
      <x:c r="R42" s="62" t="str">
        <x:v>15</x:v>
      </x:c>
      <x:c r="S42" s="62" t="str">
        <x:v>CNY</x:v>
      </x:c>
      <x:c r="T42" s="62" t="str">
        <x:v>万元</x:v>
      </x:c>
      <x:c r="U42" s="71" t="str">
        <x:v>费用不含税</x:v>
      </x:c>
      <x:c r="V42" s="71" t="str">
        <x:v>2025|ADJ5035|10</x:v>
      </x:c>
      <x:c r="W42" s="71" t="str">
        <x:v>2025年预算下达明细.xlsx</x:v>
      </x:c>
      <x:c r="X42" s="71" t="str">
        <x:v>Sheet</x:v>
      </x:c>
      <x:c r="Y42" s="71" t="n">
        <x:v>12</x:v>
      </x:c>
      <x:c r="Z42" s="71" t="str">
        <x:v>2025年预算下达明细.xlsx/Sheet!12:12</x:v>
      </x:c>
    </x:row>
    <x:row r="43">
      <x:c r="A43" s="62" t="str">
        <x:v>S002</x:v>
      </x:c>
      <x:c r="B43" s="62" t="n">
        <x:v>2025</x:v>
      </x:c>
      <x:c r="C43" s="62" t="str">
        <x:v>FY2025-APPROVED-FINAL-v1</x:v>
      </x:c>
      <x:c r="D43" s="62" t="str">
        <x:v>APPROVED_BUDGET</x:v>
      </x:c>
      <x:c r="E43" s="62" t="str">
        <x:v>FINAL_APPROVED</x:v>
      </x:c>
      <x:c r="F43" s="74" t="n">
        <x:v>45672</x:v>
      </x:c>
      <x:c r="G43" s="62" t="str">
        <x:v>SOURCE</x:v>
      </x:c>
      <x:c r="H43" s="62" t="str">
        <x:v>ADJ5036</x:v>
      </x:c>
      <x:c r="I43" s="62" t="n">
        <x:v>10</x:v>
      </x:c>
      <x:c r="J43" s="62" t="n">
        <x:v>2025</x:v>
      </x:c>
      <x:c r="K43" s="62" t="str">
        <x:v>年度下达</x:v>
      </x:c>
      <x:c r="L43" s="74" t="n">
        <x:v>45672</x:v>
      </x:c>
      <x:c r="M43" s="62" t="str">
        <x:v>技术部</x:v>
      </x:c>
      <x:c r="N43" s="62" t="str">
        <x:v>项目预算</x:v>
      </x:c>
      <x:c r="O43" s="62" t="str">
        <x:v>会议费</x:v>
      </x:c>
      <x:c r="P43" s="62" t="str">
        <x:v>会议费</x:v>
      </x:c>
      <x:c r="Q43" s="81" t="n">
        <x:v>16</x:v>
      </x:c>
      <x:c r="R43" s="62" t="str">
        <x:v>15</x:v>
      </x:c>
      <x:c r="S43" s="62" t="str">
        <x:v>CNY</x:v>
      </x:c>
      <x:c r="T43" s="62" t="str">
        <x:v>万元</x:v>
      </x:c>
      <x:c r="U43" s="71" t="str">
        <x:v>费用不含税</x:v>
      </x:c>
      <x:c r="V43" s="71" t="str">
        <x:v>2025|ADJ5036|10</x:v>
      </x:c>
      <x:c r="W43" s="71" t="str">
        <x:v>2025年预算下达明细.xlsx</x:v>
      </x:c>
      <x:c r="X43" s="71" t="str">
        <x:v>Sheet</x:v>
      </x:c>
      <x:c r="Y43" s="71" t="n">
        <x:v>13</x:v>
      </x:c>
      <x:c r="Z43" s="71" t="str">
        <x:v>2025年预算下达明细.xlsx/Sheet!13:13</x:v>
      </x:c>
    </x:row>
    <x:row r="44">
      <x:c r="A44" s="62" t="str">
        <x:v>S002</x:v>
      </x:c>
      <x:c r="B44" s="62" t="n">
        <x:v>2025</x:v>
      </x:c>
      <x:c r="C44" s="62" t="str">
        <x:v>FY2025-APPROVED-FINAL-v1</x:v>
      </x:c>
      <x:c r="D44" s="62" t="str">
        <x:v>APPROVED_BUDGET</x:v>
      </x:c>
      <x:c r="E44" s="62" t="str">
        <x:v>FINAL_APPROVED</x:v>
      </x:c>
      <x:c r="F44" s="74" t="n">
        <x:v>45672</x:v>
      </x:c>
      <x:c r="G44" s="62" t="str">
        <x:v>SOURCE</x:v>
      </x:c>
      <x:c r="H44" s="62" t="str">
        <x:v>ADJ5037</x:v>
      </x:c>
      <x:c r="I44" s="62" t="n">
        <x:v>10</x:v>
      </x:c>
      <x:c r="J44" s="62" t="n">
        <x:v>2025</x:v>
      </x:c>
      <x:c r="K44" s="62" t="str">
        <x:v>年度下达</x:v>
      </x:c>
      <x:c r="L44" s="74" t="n">
        <x:v>45672</x:v>
      </x:c>
      <x:c r="M44" s="62" t="str">
        <x:v>技术部</x:v>
      </x:c>
      <x:c r="N44" s="62" t="str">
        <x:v>项目预算</x:v>
      </x:c>
      <x:c r="O44" s="62" t="str">
        <x:v>业务支持费</x:v>
      </x:c>
      <x:c r="P44" s="62" t="str">
        <x:v>业务支持费-其他</x:v>
      </x:c>
      <x:c r="Q44" s="81" t="n">
        <x:v>98</x:v>
      </x:c>
      <x:c r="R44" s="62" t="str">
        <x:v>15</x:v>
      </x:c>
      <x:c r="S44" s="62" t="str">
        <x:v>CNY</x:v>
      </x:c>
      <x:c r="T44" s="62" t="str">
        <x:v>万元</x:v>
      </x:c>
      <x:c r="U44" s="71" t="str">
        <x:v>费用不含税</x:v>
      </x:c>
      <x:c r="V44" s="71" t="str">
        <x:v>2025|ADJ5037|10</x:v>
      </x:c>
      <x:c r="W44" s="71" t="str">
        <x:v>2025年预算下达明细.xlsx</x:v>
      </x:c>
      <x:c r="X44" s="71" t="str">
        <x:v>Sheet</x:v>
      </x:c>
      <x:c r="Y44" s="71" t="n">
        <x:v>14</x:v>
      </x:c>
      <x:c r="Z44" s="71" t="str">
        <x:v>2025年预算下达明细.xlsx/Sheet!14:14</x:v>
      </x:c>
    </x:row>
    <x:row r="45">
      <x:c r="A45" s="62" t="str">
        <x:v>S002</x:v>
      </x:c>
      <x:c r="B45" s="62" t="n">
        <x:v>2025</x:v>
      </x:c>
      <x:c r="C45" s="62" t="str">
        <x:v>FY2025-APPROVED-FINAL-v1</x:v>
      </x:c>
      <x:c r="D45" s="62" t="str">
        <x:v>APPROVED_BUDGET</x:v>
      </x:c>
      <x:c r="E45" s="62" t="str">
        <x:v>FINAL_APPROVED</x:v>
      </x:c>
      <x:c r="F45" s="74" t="n">
        <x:v>45672</x:v>
      </x:c>
      <x:c r="G45" s="62" t="str">
        <x:v>SOURCE</x:v>
      </x:c>
      <x:c r="H45" s="62" t="str">
        <x:v>ADJ5038</x:v>
      </x:c>
      <x:c r="I45" s="62" t="n">
        <x:v>10</x:v>
      </x:c>
      <x:c r="J45" s="62" t="n">
        <x:v>2025</x:v>
      </x:c>
      <x:c r="K45" s="62" t="str">
        <x:v>年度下达</x:v>
      </x:c>
      <x:c r="L45" s="74" t="n">
        <x:v>45672</x:v>
      </x:c>
      <x:c r="M45" s="62" t="str">
        <x:v>技术部</x:v>
      </x:c>
      <x:c r="N45" s="62" t="str">
        <x:v>项目预算</x:v>
      </x:c>
      <x:c r="O45" s="62" t="str">
        <x:v>交通运输费</x:v>
      </x:c>
      <x:c r="P45" s="62" t="str">
        <x:v>交通运输费</x:v>
      </x:c>
      <x:c r="Q45" s="81" t="n">
        <x:v>19.2</x:v>
      </x:c>
      <x:c r="R45" s="62" t="str">
        <x:v>15</x:v>
      </x:c>
      <x:c r="S45" s="62" t="str">
        <x:v>CNY</x:v>
      </x:c>
      <x:c r="T45" s="62" t="str">
        <x:v>万元</x:v>
      </x:c>
      <x:c r="U45" s="71" t="str">
        <x:v>费用不含税</x:v>
      </x:c>
      <x:c r="V45" s="71" t="str">
        <x:v>2025|ADJ5038|10</x:v>
      </x:c>
      <x:c r="W45" s="71" t="str">
        <x:v>2025年预算下达明细.xlsx</x:v>
      </x:c>
      <x:c r="X45" s="71" t="str">
        <x:v>Sheet</x:v>
      </x:c>
      <x:c r="Y45" s="71" t="n">
        <x:v>15</x:v>
      </x:c>
      <x:c r="Z45" s="71" t="str">
        <x:v>2025年预算下达明细.xlsx/Sheet!15:15</x:v>
      </x:c>
    </x:row>
    <x:row r="46">
      <x:c r="A46" s="62" t="str">
        <x:v>S002</x:v>
      </x:c>
      <x:c r="B46" s="62" t="n">
        <x:v>2025</x:v>
      </x:c>
      <x:c r="C46" s="62" t="str">
        <x:v>FY2025-APPROVED-FINAL-v1</x:v>
      </x:c>
      <x:c r="D46" s="62" t="str">
        <x:v>APPROVED_BUDGET</x:v>
      </x:c>
      <x:c r="E46" s="62" t="str">
        <x:v>FINAL_APPROVED</x:v>
      </x:c>
      <x:c r="F46" s="74" t="n">
        <x:v>45672</x:v>
      </x:c>
      <x:c r="G46" s="62" t="str">
        <x:v>SOURCE</x:v>
      </x:c>
      <x:c r="H46" s="62" t="str">
        <x:v>ADJ5039</x:v>
      </x:c>
      <x:c r="I46" s="62" t="n">
        <x:v>10</x:v>
      </x:c>
      <x:c r="J46" s="62" t="n">
        <x:v>2025</x:v>
      </x:c>
      <x:c r="K46" s="62" t="str">
        <x:v>年度下达</x:v>
      </x:c>
      <x:c r="L46" s="74" t="n">
        <x:v>45672</x:v>
      </x:c>
      <x:c r="M46" s="62" t="str">
        <x:v>技术部</x:v>
      </x:c>
      <x:c r="N46" s="62" t="str">
        <x:v>项目预算</x:v>
      </x:c>
      <x:c r="O46" s="62" t="str">
        <x:v>租赁费</x:v>
      </x:c>
      <x:c r="P46" s="62" t="str">
        <x:v>租赁费</x:v>
      </x:c>
      <x:c r="Q46" s="81" t="n">
        <x:v>20</x:v>
      </x:c>
      <x:c r="R46" s="62" t="str">
        <x:v>15</x:v>
      </x:c>
      <x:c r="S46" s="62" t="str">
        <x:v>CNY</x:v>
      </x:c>
      <x:c r="T46" s="62" t="str">
        <x:v>万元</x:v>
      </x:c>
      <x:c r="U46" s="71" t="str">
        <x:v>费用不含税</x:v>
      </x:c>
      <x:c r="V46" s="71" t="str">
        <x:v>2025|ADJ5039|10</x:v>
      </x:c>
      <x:c r="W46" s="71" t="str">
        <x:v>2025年预算下达明细.xlsx</x:v>
      </x:c>
      <x:c r="X46" s="71" t="str">
        <x:v>Sheet</x:v>
      </x:c>
      <x:c r="Y46" s="71" t="n">
        <x:v>16</x:v>
      </x:c>
      <x:c r="Z46" s="71" t="str">
        <x:v>2025年预算下达明细.xlsx/Sheet!16:16</x:v>
      </x:c>
    </x:row>
    <x:row r="47">
      <x:c r="A47" s="62" t="str">
        <x:v>S002</x:v>
      </x:c>
      <x:c r="B47" s="62" t="n">
        <x:v>2025</x:v>
      </x:c>
      <x:c r="C47" s="62" t="str">
        <x:v>FY2025-APPROVED-FINAL-v1</x:v>
      </x:c>
      <x:c r="D47" s="62" t="str">
        <x:v>APPROVED_BUDGET</x:v>
      </x:c>
      <x:c r="E47" s="62" t="str">
        <x:v>FINAL_APPROVED</x:v>
      </x:c>
      <x:c r="F47" s="74" t="n">
        <x:v>45672</x:v>
      </x:c>
      <x:c r="G47" s="62" t="str">
        <x:v>SOURCE</x:v>
      </x:c>
      <x:c r="H47" s="62" t="str">
        <x:v>ADJ5040</x:v>
      </x:c>
      <x:c r="I47" s="62" t="n">
        <x:v>10</x:v>
      </x:c>
      <x:c r="J47" s="62" t="n">
        <x:v>2025</x:v>
      </x:c>
      <x:c r="K47" s="62" t="str">
        <x:v>年度下达</x:v>
      </x:c>
      <x:c r="L47" s="74" t="n">
        <x:v>45672</x:v>
      </x:c>
      <x:c r="M47" s="62" t="str">
        <x:v>技术部</x:v>
      </x:c>
      <x:c r="N47" s="62" t="str">
        <x:v>项目预算</x:v>
      </x:c>
      <x:c r="O47" s="62" t="str">
        <x:v>业务支持费-技术配置</x:v>
      </x:c>
      <x:c r="P47" s="62" t="str">
        <x:v>业务支持费-技术配置</x:v>
      </x:c>
      <x:c r="Q47" s="81" t="n">
        <x:v>63.9</x:v>
      </x:c>
      <x:c r="R47" s="62" t="str">
        <x:v>15</x:v>
      </x:c>
      <x:c r="S47" s="62" t="str">
        <x:v>CNY</x:v>
      </x:c>
      <x:c r="T47" s="62" t="str">
        <x:v>万元</x:v>
      </x:c>
      <x:c r="U47" s="71" t="str">
        <x:v>费用不含税</x:v>
      </x:c>
      <x:c r="V47" s="71" t="str">
        <x:v>2025|ADJ5040|10</x:v>
      </x:c>
      <x:c r="W47" s="71" t="str">
        <x:v>2025年预算下达明细.xlsx</x:v>
      </x:c>
      <x:c r="X47" s="71" t="str">
        <x:v>Sheet</x:v>
      </x:c>
      <x:c r="Y47" s="71" t="n">
        <x:v>17</x:v>
      </x:c>
      <x:c r="Z47" s="71" t="str">
        <x:v>2025年预算下达明细.xlsx/Sheet!17:17</x:v>
      </x:c>
    </x:row>
    <x:row r="48">
      <x:c r="A48" s="62" t="str">
        <x:v>S002</x:v>
      </x:c>
      <x:c r="B48" s="62" t="n">
        <x:v>2025</x:v>
      </x:c>
      <x:c r="C48" s="62" t="str">
        <x:v>FY2025-APPROVED-FINAL-v1</x:v>
      </x:c>
      <x:c r="D48" s="62" t="str">
        <x:v>APPROVED_BUDGET</x:v>
      </x:c>
      <x:c r="E48" s="62" t="str">
        <x:v>FINAL_APPROVED</x:v>
      </x:c>
      <x:c r="F48" s="74" t="n">
        <x:v>45672</x:v>
      </x:c>
      <x:c r="G48" s="62" t="str">
        <x:v>SOURCE</x:v>
      </x:c>
      <x:c r="H48" s="62" t="str">
        <x:v>ADJ5041</x:v>
      </x:c>
      <x:c r="I48" s="62" t="n">
        <x:v>10</x:v>
      </x:c>
      <x:c r="J48" s="62" t="n">
        <x:v>2025</x:v>
      </x:c>
      <x:c r="K48" s="62" t="str">
        <x:v>年度下达</x:v>
      </x:c>
      <x:c r="L48" s="74" t="n">
        <x:v>45658</x:v>
      </x:c>
      <x:c r="M48" s="62" t="str">
        <x:v>安全运行部</x:v>
      </x:c>
      <x:c r="N48" s="62" t="str">
        <x:v>收入预算</x:v>
      </x:c>
      <x:c r="O48" s="62" t="str">
        <x:v>营业收入</x:v>
      </x:c>
      <x:c r="P48" s="62" t="str">
        <x:v>营业收入</x:v>
      </x:c>
      <x:c r="Q48" s="81" t="n">
        <x:v>300</x:v>
      </x:c>
      <x:c r="R48" s="62" t="str">
        <x:v>15</x:v>
      </x:c>
      <x:c r="S48" s="62" t="str">
        <x:v>CNY</x:v>
      </x:c>
      <x:c r="T48" s="62" t="str">
        <x:v>万元</x:v>
      </x:c>
      <x:c r="U48" s="71" t="str">
        <x:v>收入净额（演示口径）</x:v>
      </x:c>
      <x:c r="V48" s="71" t="str">
        <x:v>2025|ADJ5041|10</x:v>
      </x:c>
      <x:c r="W48" s="71" t="str">
        <x:v>2025年预算下达明细.xlsx</x:v>
      </x:c>
      <x:c r="X48" s="71" t="str">
        <x:v>Sheet</x:v>
      </x:c>
      <x:c r="Y48" s="71" t="n">
        <x:v>18</x:v>
      </x:c>
      <x:c r="Z48" s="71" t="str">
        <x:v>2025年预算下达明细.xlsx/Sheet!18:18</x:v>
      </x:c>
    </x:row>
    <x:row r="49">
      <x:c r="A49" s="62" t="str">
        <x:v>S002</x:v>
      </x:c>
      <x:c r="B49" s="62" t="n">
        <x:v>2025</x:v>
      </x:c>
      <x:c r="C49" s="62" t="str">
        <x:v>FY2025-APPROVED-FINAL-v1</x:v>
      </x:c>
      <x:c r="D49" s="62" t="str">
        <x:v>APPROVED_BUDGET</x:v>
      </x:c>
      <x:c r="E49" s="62" t="str">
        <x:v>FINAL_APPROVED</x:v>
      </x:c>
      <x:c r="F49" s="74" t="n">
        <x:v>45672</x:v>
      </x:c>
      <x:c r="G49" s="62" t="str">
        <x:v>SOURCE</x:v>
      </x:c>
      <x:c r="H49" s="62" t="str">
        <x:v>ADJ5042</x:v>
      </x:c>
      <x:c r="I49" s="62" t="n">
        <x:v>10</x:v>
      </x:c>
      <x:c r="J49" s="62" t="n">
        <x:v>2025</x:v>
      </x:c>
      <x:c r="K49" s="62" t="str">
        <x:v>年度下达</x:v>
      </x:c>
      <x:c r="L49" s="74" t="n">
        <x:v>45672</x:v>
      </x:c>
      <x:c r="M49" s="62" t="str">
        <x:v>安全运行部</x:v>
      </x:c>
      <x:c r="N49" s="62" t="str">
        <x:v>项目预算</x:v>
      </x:c>
      <x:c r="O49" s="62" t="str">
        <x:v>差旅费</x:v>
      </x:c>
      <x:c r="P49" s="62" t="str">
        <x:v>差旅费</x:v>
      </x:c>
      <x:c r="Q49" s="81" t="n">
        <x:v>30.8</x:v>
      </x:c>
      <x:c r="R49" s="62" t="str">
        <x:v>15</x:v>
      </x:c>
      <x:c r="S49" s="62" t="str">
        <x:v>CNY</x:v>
      </x:c>
      <x:c r="T49" s="62" t="str">
        <x:v>万元</x:v>
      </x:c>
      <x:c r="U49" s="71" t="str">
        <x:v>费用不含税</x:v>
      </x:c>
      <x:c r="V49" s="71" t="str">
        <x:v>2025|ADJ5042|10</x:v>
      </x:c>
      <x:c r="W49" s="71" t="str">
        <x:v>2025年预算下达明细.xlsx</x:v>
      </x:c>
      <x:c r="X49" s="71" t="str">
        <x:v>Sheet</x:v>
      </x:c>
      <x:c r="Y49" s="71" t="n">
        <x:v>19</x:v>
      </x:c>
      <x:c r="Z49" s="71" t="str">
        <x:v>2025年预算下达明细.xlsx/Sheet!19:19</x:v>
      </x:c>
    </x:row>
    <x:row r="50">
      <x:c r="A50" s="62" t="str">
        <x:v>S002</x:v>
      </x:c>
      <x:c r="B50" s="62" t="n">
        <x:v>2025</x:v>
      </x:c>
      <x:c r="C50" s="62" t="str">
        <x:v>FY2025-APPROVED-FINAL-v1</x:v>
      </x:c>
      <x:c r="D50" s="62" t="str">
        <x:v>APPROVED_BUDGET</x:v>
      </x:c>
      <x:c r="E50" s="62" t="str">
        <x:v>FINAL_APPROVED</x:v>
      </x:c>
      <x:c r="F50" s="74" t="n">
        <x:v>45672</x:v>
      </x:c>
      <x:c r="G50" s="62" t="str">
        <x:v>SOURCE</x:v>
      </x:c>
      <x:c r="H50" s="62" t="str">
        <x:v>ADJ5043</x:v>
      </x:c>
      <x:c r="I50" s="62" t="n">
        <x:v>10</x:v>
      </x:c>
      <x:c r="J50" s="62" t="n">
        <x:v>2025</x:v>
      </x:c>
      <x:c r="K50" s="62" t="str">
        <x:v>年度下达</x:v>
      </x:c>
      <x:c r="L50" s="74" t="n">
        <x:v>45672</x:v>
      </x:c>
      <x:c r="M50" s="62" t="str">
        <x:v>安全运行部</x:v>
      </x:c>
      <x:c r="N50" s="62" t="str">
        <x:v>项目预算</x:v>
      </x:c>
      <x:c r="O50" s="62" t="str">
        <x:v>生产物料费</x:v>
      </x:c>
      <x:c r="P50" s="62" t="str">
        <x:v>生产物料费</x:v>
      </x:c>
      <x:c r="Q50" s="81" t="n">
        <x:v>18</x:v>
      </x:c>
      <x:c r="R50" s="62" t="str">
        <x:v>15</x:v>
      </x:c>
      <x:c r="S50" s="62" t="str">
        <x:v>CNY</x:v>
      </x:c>
      <x:c r="T50" s="62" t="str">
        <x:v>万元</x:v>
      </x:c>
      <x:c r="U50" s="71" t="str">
        <x:v>费用不含税</x:v>
      </x:c>
      <x:c r="V50" s="71" t="str">
        <x:v>2025|ADJ5043|10</x:v>
      </x:c>
      <x:c r="W50" s="71" t="str">
        <x:v>2025年预算下达明细.xlsx</x:v>
      </x:c>
      <x:c r="X50" s="71" t="str">
        <x:v>Sheet</x:v>
      </x:c>
      <x:c r="Y50" s="71" t="n">
        <x:v>20</x:v>
      </x:c>
      <x:c r="Z50" s="71" t="str">
        <x:v>2025年预算下达明细.xlsx/Sheet!20:20</x:v>
      </x:c>
    </x:row>
    <x:row r="51">
      <x:c r="A51" s="62" t="str">
        <x:v>S002</x:v>
      </x:c>
      <x:c r="B51" s="62" t="n">
        <x:v>2025</x:v>
      </x:c>
      <x:c r="C51" s="62" t="str">
        <x:v>FY2025-APPROVED-FINAL-v1</x:v>
      </x:c>
      <x:c r="D51" s="62" t="str">
        <x:v>APPROVED_BUDGET</x:v>
      </x:c>
      <x:c r="E51" s="62" t="str">
        <x:v>FINAL_APPROVED</x:v>
      </x:c>
      <x:c r="F51" s="74" t="n">
        <x:v>45672</x:v>
      </x:c>
      <x:c r="G51" s="62" t="str">
        <x:v>SOURCE</x:v>
      </x:c>
      <x:c r="H51" s="62" t="str">
        <x:v>ADJ5044</x:v>
      </x:c>
      <x:c r="I51" s="62" t="n">
        <x:v>10</x:v>
      </x:c>
      <x:c r="J51" s="62" t="n">
        <x:v>2025</x:v>
      </x:c>
      <x:c r="K51" s="62" t="str">
        <x:v>年度下达</x:v>
      </x:c>
      <x:c r="L51" s="74" t="n">
        <x:v>45672</x:v>
      </x:c>
      <x:c r="M51" s="62" t="str">
        <x:v>安全运行部</x:v>
      </x:c>
      <x:c r="N51" s="62" t="str">
        <x:v>项目预算</x:v>
      </x:c>
      <x:c r="O51" s="62" t="str">
        <x:v>会议费</x:v>
      </x:c>
      <x:c r="P51" s="62" t="str">
        <x:v>会议费</x:v>
      </x:c>
      <x:c r="Q51" s="81" t="n">
        <x:v>11.9</x:v>
      </x:c>
      <x:c r="R51" s="62" t="str">
        <x:v>15</x:v>
      </x:c>
      <x:c r="S51" s="62" t="str">
        <x:v>CNY</x:v>
      </x:c>
      <x:c r="T51" s="62" t="str">
        <x:v>万元</x:v>
      </x:c>
      <x:c r="U51" s="71" t="str">
        <x:v>费用不含税</x:v>
      </x:c>
      <x:c r="V51" s="71" t="str">
        <x:v>2025|ADJ5044|10</x:v>
      </x:c>
      <x:c r="W51" s="71" t="str">
        <x:v>2025年预算下达明细.xlsx</x:v>
      </x:c>
      <x:c r="X51" s="71" t="str">
        <x:v>Sheet</x:v>
      </x:c>
      <x:c r="Y51" s="71" t="n">
        <x:v>21</x:v>
      </x:c>
      <x:c r="Z51" s="71" t="str">
        <x:v>2025年预算下达明细.xlsx/Sheet!21:21</x:v>
      </x:c>
    </x:row>
    <x:row r="52">
      <x:c r="A52" s="62" t="str">
        <x:v>S002</x:v>
      </x:c>
      <x:c r="B52" s="62" t="n">
        <x:v>2025</x:v>
      </x:c>
      <x:c r="C52" s="62" t="str">
        <x:v>FY2025-APPROVED-FINAL-v1</x:v>
      </x:c>
      <x:c r="D52" s="62" t="str">
        <x:v>APPROVED_BUDGET</x:v>
      </x:c>
      <x:c r="E52" s="62" t="str">
        <x:v>FINAL_APPROVED</x:v>
      </x:c>
      <x:c r="F52" s="74" t="n">
        <x:v>45672</x:v>
      </x:c>
      <x:c r="G52" s="62" t="str">
        <x:v>SOURCE</x:v>
      </x:c>
      <x:c r="H52" s="62" t="str">
        <x:v>ADJ5045</x:v>
      </x:c>
      <x:c r="I52" s="62" t="n">
        <x:v>10</x:v>
      </x:c>
      <x:c r="J52" s="62" t="n">
        <x:v>2025</x:v>
      </x:c>
      <x:c r="K52" s="62" t="str">
        <x:v>年度下达</x:v>
      </x:c>
      <x:c r="L52" s="74" t="n">
        <x:v>45672</x:v>
      </x:c>
      <x:c r="M52" s="62" t="str">
        <x:v>安全运行部</x:v>
      </x:c>
      <x:c r="N52" s="62" t="str">
        <x:v>项目预算</x:v>
      </x:c>
      <x:c r="O52" s="62" t="str">
        <x:v>业务支持费</x:v>
      </x:c>
      <x:c r="P52" s="62" t="str">
        <x:v>业务支持费-其他</x:v>
      </x:c>
      <x:c r="Q52" s="81" t="n">
        <x:v>83</x:v>
      </x:c>
      <x:c r="R52" s="62" t="str">
        <x:v>15</x:v>
      </x:c>
      <x:c r="S52" s="62" t="str">
        <x:v>CNY</x:v>
      </x:c>
      <x:c r="T52" s="62" t="str">
        <x:v>万元</x:v>
      </x:c>
      <x:c r="U52" s="71" t="str">
        <x:v>费用不含税</x:v>
      </x:c>
      <x:c r="V52" s="71" t="str">
        <x:v>2025|ADJ5045|10</x:v>
      </x:c>
      <x:c r="W52" s="71" t="str">
        <x:v>2025年预算下达明细.xlsx</x:v>
      </x:c>
      <x:c r="X52" s="71" t="str">
        <x:v>Sheet</x:v>
      </x:c>
      <x:c r="Y52" s="71" t="n">
        <x:v>22</x:v>
      </x:c>
      <x:c r="Z52" s="71" t="str">
        <x:v>2025年预算下达明细.xlsx/Sheet!22:22</x:v>
      </x:c>
    </x:row>
    <x:row r="53">
      <x:c r="A53" s="62" t="str">
        <x:v>S002</x:v>
      </x:c>
      <x:c r="B53" s="62" t="n">
        <x:v>2025</x:v>
      </x:c>
      <x:c r="C53" s="62" t="str">
        <x:v>FY2025-APPROVED-FINAL-v1</x:v>
      </x:c>
      <x:c r="D53" s="62" t="str">
        <x:v>APPROVED_BUDGET</x:v>
      </x:c>
      <x:c r="E53" s="62" t="str">
        <x:v>FINAL_APPROVED</x:v>
      </x:c>
      <x:c r="F53" s="74" t="n">
        <x:v>45672</x:v>
      </x:c>
      <x:c r="G53" s="62" t="str">
        <x:v>SOURCE</x:v>
      </x:c>
      <x:c r="H53" s="62" t="str">
        <x:v>ADJ5046</x:v>
      </x:c>
      <x:c r="I53" s="62" t="n">
        <x:v>10</x:v>
      </x:c>
      <x:c r="J53" s="62" t="n">
        <x:v>2025</x:v>
      </x:c>
      <x:c r="K53" s="62" t="str">
        <x:v>年度下达</x:v>
      </x:c>
      <x:c r="L53" s="74" t="n">
        <x:v>45672</x:v>
      </x:c>
      <x:c r="M53" s="62" t="str">
        <x:v>安全运行部</x:v>
      </x:c>
      <x:c r="N53" s="62" t="str">
        <x:v>项目预算</x:v>
      </x:c>
      <x:c r="O53" s="62" t="str">
        <x:v>交通运输费</x:v>
      </x:c>
      <x:c r="P53" s="62" t="str">
        <x:v>交通运输费</x:v>
      </x:c>
      <x:c r="Q53" s="81" t="n">
        <x:v>14.2</x:v>
      </x:c>
      <x:c r="R53" s="62" t="str">
        <x:v>15</x:v>
      </x:c>
      <x:c r="S53" s="62" t="str">
        <x:v>CNY</x:v>
      </x:c>
      <x:c r="T53" s="62" t="str">
        <x:v>万元</x:v>
      </x:c>
      <x:c r="U53" s="71" t="str">
        <x:v>费用不含税</x:v>
      </x:c>
      <x:c r="V53" s="71" t="str">
        <x:v>2025|ADJ5046|10</x:v>
      </x:c>
      <x:c r="W53" s="71" t="str">
        <x:v>2025年预算下达明细.xlsx</x:v>
      </x:c>
      <x:c r="X53" s="71" t="str">
        <x:v>Sheet</x:v>
      </x:c>
      <x:c r="Y53" s="71" t="n">
        <x:v>23</x:v>
      </x:c>
      <x:c r="Z53" s="71" t="str">
        <x:v>2025年预算下达明细.xlsx/Sheet!23:23</x:v>
      </x:c>
    </x:row>
    <x:row r="54">
      <x:c r="A54" s="62" t="str">
        <x:v>S002</x:v>
      </x:c>
      <x:c r="B54" s="62" t="n">
        <x:v>2025</x:v>
      </x:c>
      <x:c r="C54" s="62" t="str">
        <x:v>FY2025-APPROVED-FINAL-v1</x:v>
      </x:c>
      <x:c r="D54" s="62" t="str">
        <x:v>APPROVED_BUDGET</x:v>
      </x:c>
      <x:c r="E54" s="62" t="str">
        <x:v>FINAL_APPROVED</x:v>
      </x:c>
      <x:c r="F54" s="74" t="n">
        <x:v>45672</x:v>
      </x:c>
      <x:c r="G54" s="62" t="str">
        <x:v>SOURCE</x:v>
      </x:c>
      <x:c r="H54" s="62" t="str">
        <x:v>ADJ5047</x:v>
      </x:c>
      <x:c r="I54" s="62" t="n">
        <x:v>10</x:v>
      </x:c>
      <x:c r="J54" s="62" t="n">
        <x:v>2025</x:v>
      </x:c>
      <x:c r="K54" s="62" t="str">
        <x:v>年度下达</x:v>
      </x:c>
      <x:c r="L54" s="74" t="n">
        <x:v>45672</x:v>
      </x:c>
      <x:c r="M54" s="62" t="str">
        <x:v>安全运行部</x:v>
      </x:c>
      <x:c r="N54" s="62" t="str">
        <x:v>项目预算</x:v>
      </x:c>
      <x:c r="O54" s="62" t="str">
        <x:v>租赁费</x:v>
      </x:c>
      <x:c r="P54" s="62" t="str">
        <x:v>租赁费</x:v>
      </x:c>
      <x:c r="Q54" s="81" t="n">
        <x:v>19</x:v>
      </x:c>
      <x:c r="R54" s="62" t="str">
        <x:v>15</x:v>
      </x:c>
      <x:c r="S54" s="62" t="str">
        <x:v>CNY</x:v>
      </x:c>
      <x:c r="T54" s="62" t="str">
        <x:v>万元</x:v>
      </x:c>
      <x:c r="U54" s="71" t="str">
        <x:v>费用不含税</x:v>
      </x:c>
      <x:c r="V54" s="71" t="str">
        <x:v>2025|ADJ5047|10</x:v>
      </x:c>
      <x:c r="W54" s="71" t="str">
        <x:v>2025年预算下达明细.xlsx</x:v>
      </x:c>
      <x:c r="X54" s="71" t="str">
        <x:v>Sheet</x:v>
      </x:c>
      <x:c r="Y54" s="71" t="n">
        <x:v>24</x:v>
      </x:c>
      <x:c r="Z54" s="71" t="str">
        <x:v>2025年预算下达明细.xlsx/Sheet!24:24</x:v>
      </x:c>
    </x:row>
    <x:row r="55">
      <x:c r="A55" s="62" t="str">
        <x:v>S002</x:v>
      </x:c>
      <x:c r="B55" s="62" t="n">
        <x:v>2025</x:v>
      </x:c>
      <x:c r="C55" s="62" t="str">
        <x:v>FY2025-APPROVED-FINAL-v1</x:v>
      </x:c>
      <x:c r="D55" s="62" t="str">
        <x:v>APPROVED_BUDGET</x:v>
      </x:c>
      <x:c r="E55" s="62" t="str">
        <x:v>FINAL_APPROVED</x:v>
      </x:c>
      <x:c r="F55" s="74" t="n">
        <x:v>45672</x:v>
      </x:c>
      <x:c r="G55" s="62" t="str">
        <x:v>SOURCE</x:v>
      </x:c>
      <x:c r="H55" s="62" t="str">
        <x:v>ADJ5048</x:v>
      </x:c>
      <x:c r="I55" s="62" t="n">
        <x:v>10</x:v>
      </x:c>
      <x:c r="J55" s="62" t="n">
        <x:v>2025</x:v>
      </x:c>
      <x:c r="K55" s="62" t="str">
        <x:v>年度下达</x:v>
      </x:c>
      <x:c r="L55" s="74" t="n">
        <x:v>45672</x:v>
      </x:c>
      <x:c r="M55" s="62" t="str">
        <x:v>安全运行部</x:v>
      </x:c>
      <x:c r="N55" s="62" t="str">
        <x:v>项目预算</x:v>
      </x:c>
      <x:c r="O55" s="62" t="str">
        <x:v>业务支持费-技术配置</x:v>
      </x:c>
      <x:c r="P55" s="62" t="str">
        <x:v>业务支持费-技术配置</x:v>
      </x:c>
      <x:c r="Q55" s="81" t="n">
        <x:v>40</x:v>
      </x:c>
      <x:c r="R55" s="62" t="str">
        <x:v>15</x:v>
      </x:c>
      <x:c r="S55" s="62" t="str">
        <x:v>CNY</x:v>
      </x:c>
      <x:c r="T55" s="62" t="str">
        <x:v>万元</x:v>
      </x:c>
      <x:c r="U55" s="71" t="str">
        <x:v>费用不含税</x:v>
      </x:c>
      <x:c r="V55" s="71" t="str">
        <x:v>2025|ADJ5048|10</x:v>
      </x:c>
      <x:c r="W55" s="71" t="str">
        <x:v>2025年预算下达明细.xlsx</x:v>
      </x:c>
      <x:c r="X55" s="71" t="str">
        <x:v>Sheet</x:v>
      </x:c>
      <x:c r="Y55" s="71" t="n">
        <x:v>25</x:v>
      </x:c>
      <x:c r="Z55" s="71" t="str">
        <x:v>2025年预算下达明细.xlsx/Sheet!25:25</x:v>
      </x:c>
    </x:row>
    <x:row r="56">
      <x:c r="A56" s="62" t="str">
        <x:v>S002</x:v>
      </x:c>
      <x:c r="B56" s="62" t="n">
        <x:v>2025</x:v>
      </x:c>
      <x:c r="C56" s="62" t="str">
        <x:v>FY2025-APPROVED-FINAL-v1</x:v>
      </x:c>
      <x:c r="D56" s="62" t="str">
        <x:v>APPROVED_BUDGET</x:v>
      </x:c>
      <x:c r="E56" s="62" t="str">
        <x:v>FINAL_APPROVED</x:v>
      </x:c>
      <x:c r="F56" s="74" t="n">
        <x:v>45672</x:v>
      </x:c>
      <x:c r="G56" s="62" t="str">
        <x:v>SOURCE</x:v>
      </x:c>
      <x:c r="H56" s="62" t="str">
        <x:v>ADJ5049</x:v>
      </x:c>
      <x:c r="I56" s="62" t="n">
        <x:v>10</x:v>
      </x:c>
      <x:c r="J56" s="62" t="str">
        <x:v>2025</x:v>
      </x:c>
      <x:c r="K56" s="62" t="str">
        <x:v>年度下达</x:v>
      </x:c>
      <x:c r="L56" s="74" t="n">
        <x:v>45672</x:v>
      </x:c>
      <x:c r="M56" s="62" t="str">
        <x:v>设备管理部</x:v>
      </x:c>
      <x:c r="N56" s="62" t="str">
        <x:v>项目预算</x:v>
      </x:c>
      <x:c r="O56" s="62" t="str">
        <x:v>人工成本</x:v>
      </x:c>
      <x:c r="P56" s="62" t="str">
        <x:v>人工成本</x:v>
      </x:c>
      <x:c r="Q56" s="81" t="n">
        <x:v>80</x:v>
      </x:c>
      <x:c r="R56" s="62" t="str">
        <x:v>15</x:v>
      </x:c>
      <x:c r="S56" s="62" t="str">
        <x:v>CNY</x:v>
      </x:c>
      <x:c r="T56" s="62" t="str">
        <x:v>万元</x:v>
      </x:c>
      <x:c r="U56" s="71" t="str">
        <x:v>费用不含税</x:v>
      </x:c>
      <x:c r="V56" s="71" t="str">
        <x:v>2025|ADJ5049|10</x:v>
      </x:c>
      <x:c r="W56" s="71" t="str">
        <x:v>2025年预算下达明细.xlsx</x:v>
      </x:c>
      <x:c r="X56" s="71" t="str">
        <x:v>Sheet</x:v>
      </x:c>
      <x:c r="Y56" s="71" t="n">
        <x:v>26</x:v>
      </x:c>
      <x:c r="Z56" s="71" t="str">
        <x:v>2025年预算下达明细.xlsx/Sheet!26:26</x:v>
      </x:c>
    </x:row>
    <x:row r="57">
      <x:c r="A57" s="62" t="str">
        <x:v>S002</x:v>
      </x:c>
      <x:c r="B57" s="62" t="n">
        <x:v>2025</x:v>
      </x:c>
      <x:c r="C57" s="62" t="str">
        <x:v>FY2025-APPROVED-FINAL-v1</x:v>
      </x:c>
      <x:c r="D57" s="62" t="str">
        <x:v>APPROVED_BUDGET</x:v>
      </x:c>
      <x:c r="E57" s="62" t="str">
        <x:v>FINAL_APPROVED</x:v>
      </x:c>
      <x:c r="F57" s="74" t="n">
        <x:v>45672</x:v>
      </x:c>
      <x:c r="G57" s="62" t="str">
        <x:v>SOURCE</x:v>
      </x:c>
      <x:c r="H57" s="62" t="str">
        <x:v>ADJ5050</x:v>
      </x:c>
      <x:c r="I57" s="62" t="n">
        <x:v>10</x:v>
      </x:c>
      <x:c r="J57" s="62" t="str">
        <x:v>2025</x:v>
      </x:c>
      <x:c r="K57" s="62" t="str">
        <x:v>年度下达</x:v>
      </x:c>
      <x:c r="L57" s="74" t="n">
        <x:v>45672</x:v>
      </x:c>
      <x:c r="M57" s="62" t="str">
        <x:v>设备管理部</x:v>
      </x:c>
      <x:c r="N57" s="62" t="str">
        <x:v>项目预算</x:v>
      </x:c>
      <x:c r="O57" s="62" t="str">
        <x:v>折旧</x:v>
      </x:c>
      <x:c r="P57" s="62" t="str">
        <x:v>折旧摊销</x:v>
      </x:c>
      <x:c r="Q57" s="81" t="n">
        <x:v>27.4</x:v>
      </x:c>
      <x:c r="R57" s="62" t="str">
        <x:v>15</x:v>
      </x:c>
      <x:c r="S57" s="62" t="str">
        <x:v>CNY</x:v>
      </x:c>
      <x:c r="T57" s="62" t="str">
        <x:v>万元</x:v>
      </x:c>
      <x:c r="U57" s="71" t="str">
        <x:v>费用不含税</x:v>
      </x:c>
      <x:c r="V57" s="71" t="str">
        <x:v>2025|ADJ5050|10</x:v>
      </x:c>
      <x:c r="W57" s="71" t="str">
        <x:v>2025年预算下达明细.xlsx</x:v>
      </x:c>
      <x:c r="X57" s="71" t="str">
        <x:v>Sheet</x:v>
      </x:c>
      <x:c r="Y57" s="71" t="n">
        <x:v>27</x:v>
      </x:c>
      <x:c r="Z57" s="71" t="str">
        <x:v>2025年预算下达明细.xlsx/Sheet!27:27</x:v>
      </x:c>
    </x:row>
    <x:row r="58">
      <x:c r="A58" s="62" t="str">
        <x:v>S002</x:v>
      </x:c>
      <x:c r="B58" s="62" t="n">
        <x:v>2025</x:v>
      </x:c>
      <x:c r="C58" s="62" t="str">
        <x:v>FY2025-APPROVED-FINAL-v1</x:v>
      </x:c>
      <x:c r="D58" s="62" t="str">
        <x:v>APPROVED_BUDGET</x:v>
      </x:c>
      <x:c r="E58" s="62" t="str">
        <x:v>FINAL_APPROVED</x:v>
      </x:c>
      <x:c r="F58" s="74" t="n">
        <x:v>45672</x:v>
      </x:c>
      <x:c r="G58" s="62" t="str">
        <x:v>SOURCE</x:v>
      </x:c>
      <x:c r="H58" s="62" t="str">
        <x:v>ADJ5051</x:v>
      </x:c>
      <x:c r="I58" s="62" t="n">
        <x:v>10</x:v>
      </x:c>
      <x:c r="J58" s="62" t="str">
        <x:v>2025</x:v>
      </x:c>
      <x:c r="K58" s="62" t="str">
        <x:v>年度下达</x:v>
      </x:c>
      <x:c r="L58" s="74" t="n">
        <x:v>45672</x:v>
      </x:c>
      <x:c r="M58" s="62" t="str">
        <x:v>技术部</x:v>
      </x:c>
      <x:c r="N58" s="62" t="str">
        <x:v>项目预算</x:v>
      </x:c>
      <x:c r="O58" s="62" t="str">
        <x:v>人工成本</x:v>
      </x:c>
      <x:c r="P58" s="62" t="str">
        <x:v>人工成本</x:v>
      </x:c>
      <x:c r="Q58" s="81" t="n">
        <x:v>78</x:v>
      </x:c>
      <x:c r="R58" s="62" t="str">
        <x:v>15</x:v>
      </x:c>
      <x:c r="S58" s="62" t="str">
        <x:v>CNY</x:v>
      </x:c>
      <x:c r="T58" s="62" t="str">
        <x:v>万元</x:v>
      </x:c>
      <x:c r="U58" s="71" t="str">
        <x:v>费用不含税</x:v>
      </x:c>
      <x:c r="V58" s="71" t="str">
        <x:v>2025|ADJ5051|10</x:v>
      </x:c>
      <x:c r="W58" s="71" t="str">
        <x:v>2025年预算下达明细.xlsx</x:v>
      </x:c>
      <x:c r="X58" s="71" t="str">
        <x:v>Sheet</x:v>
      </x:c>
      <x:c r="Y58" s="71" t="n">
        <x:v>28</x:v>
      </x:c>
      <x:c r="Z58" s="71" t="str">
        <x:v>2025年预算下达明细.xlsx/Sheet!28:28</x:v>
      </x:c>
    </x:row>
    <x:row r="59">
      <x:c r="A59" s="62" t="str">
        <x:v>S002</x:v>
      </x:c>
      <x:c r="B59" s="62" t="n">
        <x:v>2025</x:v>
      </x:c>
      <x:c r="C59" s="62" t="str">
        <x:v>FY2025-APPROVED-FINAL-v1</x:v>
      </x:c>
      <x:c r="D59" s="62" t="str">
        <x:v>APPROVED_BUDGET</x:v>
      </x:c>
      <x:c r="E59" s="62" t="str">
        <x:v>FINAL_APPROVED</x:v>
      </x:c>
      <x:c r="F59" s="74" t="n">
        <x:v>45672</x:v>
      </x:c>
      <x:c r="G59" s="62" t="str">
        <x:v>SOURCE</x:v>
      </x:c>
      <x:c r="H59" s="62" t="str">
        <x:v>ADJ5052</x:v>
      </x:c>
      <x:c r="I59" s="62" t="n">
        <x:v>10</x:v>
      </x:c>
      <x:c r="J59" s="62" t="str">
        <x:v>2025</x:v>
      </x:c>
      <x:c r="K59" s="62" t="str">
        <x:v>年度下达</x:v>
      </x:c>
      <x:c r="L59" s="74" t="n">
        <x:v>45672</x:v>
      </x:c>
      <x:c r="M59" s="62" t="str">
        <x:v>技术部</x:v>
      </x:c>
      <x:c r="N59" s="62" t="str">
        <x:v>项目预算</x:v>
      </x:c>
      <x:c r="O59" s="62" t="str">
        <x:v>折旧</x:v>
      </x:c>
      <x:c r="P59" s="62" t="str">
        <x:v>折旧摊销</x:v>
      </x:c>
      <x:c r="Q59" s="81" t="n">
        <x:v>15.9</x:v>
      </x:c>
      <x:c r="R59" s="62" t="str">
        <x:v>15</x:v>
      </x:c>
      <x:c r="S59" s="62" t="str">
        <x:v>CNY</x:v>
      </x:c>
      <x:c r="T59" s="62" t="str">
        <x:v>万元</x:v>
      </x:c>
      <x:c r="U59" s="71" t="str">
        <x:v>费用不含税</x:v>
      </x:c>
      <x:c r="V59" s="71" t="str">
        <x:v>2025|ADJ5052|10</x:v>
      </x:c>
      <x:c r="W59" s="71" t="str">
        <x:v>2025年预算下达明细.xlsx</x:v>
      </x:c>
      <x:c r="X59" s="71" t="str">
        <x:v>Sheet</x:v>
      </x:c>
      <x:c r="Y59" s="71" t="n">
        <x:v>29</x:v>
      </x:c>
      <x:c r="Z59" s="71" t="str">
        <x:v>2025年预算下达明细.xlsx/Sheet!29:29</x:v>
      </x:c>
    </x:row>
    <x:row r="60">
      <x:c r="A60" s="62" t="str">
        <x:v>S002</x:v>
      </x:c>
      <x:c r="B60" s="62" t="n">
        <x:v>2025</x:v>
      </x:c>
      <x:c r="C60" s="62" t="str">
        <x:v>FY2025-APPROVED-FINAL-v1</x:v>
      </x:c>
      <x:c r="D60" s="62" t="str">
        <x:v>APPROVED_BUDGET</x:v>
      </x:c>
      <x:c r="E60" s="62" t="str">
        <x:v>FINAL_APPROVED</x:v>
      </x:c>
      <x:c r="F60" s="74" t="n">
        <x:v>45672</x:v>
      </x:c>
      <x:c r="G60" s="62" t="str">
        <x:v>SOURCE</x:v>
      </x:c>
      <x:c r="H60" s="62" t="str">
        <x:v>ADJ5053</x:v>
      </x:c>
      <x:c r="I60" s="62" t="n">
        <x:v>10</x:v>
      </x:c>
      <x:c r="J60" s="62" t="str">
        <x:v>2025</x:v>
      </x:c>
      <x:c r="K60" s="62" t="str">
        <x:v>年度下达</x:v>
      </x:c>
      <x:c r="L60" s="74" t="n">
        <x:v>45672</x:v>
      </x:c>
      <x:c r="M60" s="62" t="str">
        <x:v>安全运行部</x:v>
      </x:c>
      <x:c r="N60" s="62" t="str">
        <x:v>项目预算</x:v>
      </x:c>
      <x:c r="O60" s="62" t="str">
        <x:v>人工成本</x:v>
      </x:c>
      <x:c r="P60" s="62" t="str">
        <x:v>人工成本</x:v>
      </x:c>
      <x:c r="Q60" s="81" t="n">
        <x:v>79</x:v>
      </x:c>
      <x:c r="R60" s="62" t="str">
        <x:v>15</x:v>
      </x:c>
      <x:c r="S60" s="62" t="str">
        <x:v>CNY</x:v>
      </x:c>
      <x:c r="T60" s="62" t="str">
        <x:v>万元</x:v>
      </x:c>
      <x:c r="U60" s="71" t="str">
        <x:v>费用不含税</x:v>
      </x:c>
      <x:c r="V60" s="71" t="str">
        <x:v>2025|ADJ5053|10</x:v>
      </x:c>
      <x:c r="W60" s="71" t="str">
        <x:v>2025年预算下达明细.xlsx</x:v>
      </x:c>
      <x:c r="X60" s="71" t="str">
        <x:v>Sheet</x:v>
      </x:c>
      <x:c r="Y60" s="71" t="n">
        <x:v>30</x:v>
      </x:c>
      <x:c r="Z60" s="71" t="str">
        <x:v>2025年预算下达明细.xlsx/Sheet!30:30</x:v>
      </x:c>
    </x:row>
    <x:row r="61">
      <x:c r="A61" s="62" t="str">
        <x:v>S002</x:v>
      </x:c>
      <x:c r="B61" s="62" t="n">
        <x:v>2025</x:v>
      </x:c>
      <x:c r="C61" s="62" t="str">
        <x:v>FY2025-APPROVED-FINAL-v1</x:v>
      </x:c>
      <x:c r="D61" s="62" t="str">
        <x:v>APPROVED_BUDGET</x:v>
      </x:c>
      <x:c r="E61" s="62" t="str">
        <x:v>FINAL_APPROVED</x:v>
      </x:c>
      <x:c r="F61" s="74" t="n">
        <x:v>45672</x:v>
      </x:c>
      <x:c r="G61" s="62" t="str">
        <x:v>SOURCE</x:v>
      </x:c>
      <x:c r="H61" s="62" t="str">
        <x:v>ADJ5054</x:v>
      </x:c>
      <x:c r="I61" s="62" t="n">
        <x:v>10</x:v>
      </x:c>
      <x:c r="J61" s="62" t="str">
        <x:v>2025</x:v>
      </x:c>
      <x:c r="K61" s="62" t="str">
        <x:v>年度下达</x:v>
      </x:c>
      <x:c r="L61" s="74" t="n">
        <x:v>45672</x:v>
      </x:c>
      <x:c r="M61" s="62" t="str">
        <x:v>安全运行部</x:v>
      </x:c>
      <x:c r="N61" s="62" t="str">
        <x:v>项目预算</x:v>
      </x:c>
      <x:c r="O61" s="62" t="str">
        <x:v>折旧</x:v>
      </x:c>
      <x:c r="P61" s="62" t="str">
        <x:v>折旧摊销</x:v>
      </x:c>
      <x:c r="Q61" s="81" t="n">
        <x:v>18</x:v>
      </x:c>
      <x:c r="R61" s="62" t="str">
        <x:v>15</x:v>
      </x:c>
      <x:c r="S61" s="62" t="str">
        <x:v>CNY</x:v>
      </x:c>
      <x:c r="T61" s="62" t="str">
        <x:v>万元</x:v>
      </x:c>
      <x:c r="U61" s="71" t="str">
        <x:v>费用不含税</x:v>
      </x:c>
      <x:c r="V61" s="71" t="str">
        <x:v>2025|ADJ5054|10</x:v>
      </x:c>
      <x:c r="W61" s="71" t="str">
        <x:v>2025年预算下达明细.xlsx</x:v>
      </x:c>
      <x:c r="X61" s="71" t="str">
        <x:v>Sheet</x:v>
      </x:c>
      <x:c r="Y61" s="71" t="n">
        <x:v>31</x:v>
      </x:c>
      <x:c r="Z61" s="71" t="str">
        <x:v>2025年预算下达明细.xlsx/Sheet!31:31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4" hidden="0" customWidth="1"/>
    <x:col min="4" max="4" width="20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22" hidden="0" customWidth="1"/>
    <x:col min="10" max="10" width="28" hidden="0" customWidth="1"/>
    <x:col min="11" max="11" width="14" hidden="0" customWidth="1"/>
    <x:col min="12" max="12" width="18" hidden="0" customWidth="1"/>
    <x:col min="13" max="13" width="10" hidden="0" customWidth="1"/>
    <x:col min="14" max="14" width="14" hidden="0" customWidth="1"/>
    <x:col min="15" max="15" width="14" hidden="0" customWidth="1"/>
    <x:col min="16" max="16" width="16" hidden="0" customWidth="1"/>
    <x:col min="17" max="17" width="12" hidden="0" customWidth="1"/>
    <x:col min="18" max="18" width="11" hidden="0" customWidth="1"/>
    <x:col min="19" max="19" width="18" hidden="0" customWidth="1"/>
    <x:col min="20" max="20" width="12" hidden="0" customWidth="1"/>
    <x:col min="21" max="21" width="14" hidden="0" customWidth="1"/>
    <x:col min="22" max="22" width="14" hidden="0" customWidth="1"/>
    <x:col min="23" max="23" width="16" hidden="0" customWidth="1"/>
    <x:col min="24" max="24" width="12" hidden="0" customWidth="1"/>
    <x:col min="42" max="42" width="16" hidden="0" customWidth="1"/>
    <x:col min="43" max="43" width="19" hidden="0" customWidth="1"/>
    <x:col min="44" max="44" width="19" hidden="0" customWidth="1"/>
    <x:col min="45" max="45" width="18" hidden="0" customWidth="1"/>
    <x:col min="46" max="46" width="18" hidden="0" customWidth="1"/>
    <x:col min="47" max="47" width="22" hidden="0" customWidth="1"/>
    <x:col min="48" max="48" width="22" hidden="0" customWidth="1"/>
    <x:col min="49" max="49" width="18" hidden="0" customWidth="1"/>
    <x:col min="50" max="50" width="16" hidden="0" customWidth="1"/>
    <x:col min="51" max="51" width="10" hidden="0" customWidth="1"/>
    <x:col min="52" max="52" width="10" hidden="0" customWidth="1"/>
    <x:col min="53" max="53" width="24" hidden="0" customWidth="1"/>
    <x:col min="54" max="54" width="34" hidden="0" customWidth="1"/>
    <x:col min="55" max="55" width="18" hidden="0" customWidth="1"/>
    <x:col min="56" max="56" width="10" hidden="0" customWidth="1"/>
    <x:col min="57" max="57" width="30" hidden="0" customWidth="1"/>
    <x:col min="58" max="58" width="13" hidden="0" customWidth="1"/>
    <x:col min="59" max="59" width="14" hidden="0" customWidth="1"/>
  </x:cols>
  <x:sheetData>
    <x:row r="1" ht="34" customHeight="1">
      <x:c r="A1" s="68" t="str">
        <x:v>预算年度</x:v>
      </x:c>
      <x:c r="B1" s="69" t="str">
        <x:v>预算版本</x:v>
      </x:c>
      <x:c r="C1" s="69" t="str">
        <x:v>情景</x:v>
      </x:c>
      <x:c r="D1" s="69" t="str">
        <x:v>审批状态</x:v>
      </x:c>
      <x:c r="E1" s="69" t="str">
        <x:v>提交快照</x:v>
      </x:c>
      <x:c r="F1" s="69" t="str">
        <x:v>数据标记</x:v>
      </x:c>
      <x:c r="G1" s="69" t="str">
        <x:v>部门</x:v>
      </x:c>
      <x:c r="H1" s="69" t="str">
        <x:v>业务分类</x:v>
      </x:c>
      <x:c r="I1" s="69" t="str">
        <x:v>项目名称</x:v>
      </x:c>
      <x:c r="J1" s="69" t="str">
        <x:v>项目编号</x:v>
      </x:c>
      <x:c r="K1" s="69" t="str">
        <x:v>合同情况</x:v>
      </x:c>
      <x:c r="L1" s="69" t="str">
        <x:v>客户名称</x:v>
      </x:c>
      <x:c r="M1" s="69" t="str">
        <x:v>税率</x:v>
      </x:c>
      <x:c r="N1" s="69" t="str">
        <x:v>含税收入</x:v>
      </x:c>
      <x:c r="O1" s="69" t="str">
        <x:v>收入净额</x:v>
      </x:c>
      <x:c r="P1" s="69" t="str">
        <x:v>固定成本合计</x:v>
      </x:c>
      <x:c r="Q1" s="69" t="str">
        <x:v>其中说明1</x:v>
      </x:c>
      <x:c r="R1" s="69" t="str">
        <x:v>在职人数</x:v>
      </x:c>
      <x:c r="S1" s="69" t="str">
        <x:v>平均人工成本_万元月</x:v>
      </x:c>
      <x:c r="T1" s="69" t="str">
        <x:v>投入人月</x:v>
      </x:c>
      <x:c r="U1" s="69" t="str">
        <x:v>人工成本</x:v>
      </x:c>
      <x:c r="V1" s="69" t="str">
        <x:v>折旧成本</x:v>
      </x:c>
      <x:c r="W1" s="69" t="str">
        <x:v>可控成本合计</x:v>
      </x:c>
      <x:c r="X1" s="69" t="str">
        <x:v>其中说明2</x:v>
      </x:c>
      <x:c r="Y1" s="69" t="str">
        <x:v>差旅费</x:v>
      </x:c>
      <x:c r="Z1" s="69" t="str">
        <x:v>会议费</x:v>
      </x:c>
      <x:c r="AA1" s="69" t="str">
        <x:v>业务招待费</x:v>
      </x:c>
      <x:c r="AB1" s="69" t="str">
        <x:v>培训费</x:v>
      </x:c>
      <x:c r="AC1" s="69" t="str">
        <x:v>办公费</x:v>
      </x:c>
      <x:c r="AD1" s="69" t="str">
        <x:v>后勤服务费</x:v>
      </x:c>
      <x:c r="AE1" s="69" t="str">
        <x:v>交通运输费</x:v>
      </x:c>
      <x:c r="AF1" s="69" t="str">
        <x:v>生产物料费</x:v>
      </x:c>
      <x:c r="AG1" s="69" t="str">
        <x:v>业务支持费_其他</x:v>
      </x:c>
      <x:c r="AH1" s="69" t="str">
        <x:v>租赁费</x:v>
      </x:c>
      <x:c r="AI1" s="69" t="str">
        <x:v>物流费</x:v>
      </x:c>
      <x:c r="AJ1" s="69" t="str">
        <x:v>协会会员费</x:v>
      </x:c>
      <x:c r="AK1" s="69" t="str">
        <x:v>房屋装修及维修费</x:v>
      </x:c>
      <x:c r="AL1" s="69" t="str">
        <x:v>水费</x:v>
      </x:c>
      <x:c r="AM1" s="69" t="str">
        <x:v>电费</x:v>
      </x:c>
      <x:c r="AN1" s="69" t="str">
        <x:v>环境保护费</x:v>
      </x:c>
      <x:c r="AO1" s="69" t="str">
        <x:v>咨询费</x:v>
      </x:c>
      <x:c r="AP1" s="69" t="str">
        <x:v>技术配置人月</x:v>
      </x:c>
      <x:c r="AQ1" s="69" t="str">
        <x:v>技术配置含税_万元</x:v>
      </x:c>
      <x:c r="AR1" s="69" t="str">
        <x:v>技术配置净额_万元</x:v>
      </x:c>
      <x:c r="AS1" s="69" t="str">
        <x:v>项目成本合计_源</x:v>
      </x:c>
      <x:c r="AT1" s="69" t="str">
        <x:v>源列值_原毛利率</x:v>
      </x:c>
      <x:c r="AU1" s="69" t="str">
        <x:v>成本占收比_源项目成本口径</x:v>
      </x:c>
      <x:c r="AV1" s="69" t="str">
        <x:v>项目总成本_含技术配置</x:v>
      </x:c>
      <x:c r="AW1" s="69" t="str">
        <x:v>综合成本占收比</x:v>
      </x:c>
      <x:c r="AX1" s="69" t="str">
        <x:v>真正毛利率</x:v>
      </x:c>
      <x:c r="AY1" s="69" t="str">
        <x:v>币种</x:v>
      </x:c>
      <x:c r="AZ1" s="69" t="str">
        <x:v>金额单位</x:v>
      </x:c>
      <x:c r="BA1" s="69" t="str">
        <x:v>费用口径</x:v>
      </x:c>
      <x:c r="BB1" s="69" t="str">
        <x:v>来源文件</x:v>
      </x:c>
      <x:c r="BC1" s="69" t="str">
        <x:v>来源成员</x:v>
      </x:c>
      <x:c r="BD1" s="69" t="str">
        <x:v>源行</x:v>
      </x:c>
      <x:c r="BE1" s="69" t="str">
        <x:v>稳定键</x:v>
      </x:c>
      <x:c r="BF1" s="69" t="str">
        <x:v>源成本率QC</x:v>
      </x:c>
      <x:c r="BG1" s="70" t="str">
        <x:v>毛利恒等式QC</x:v>
      </x:c>
    </x:row>
    <x:row r="2">
      <x:c r="A2" s="83" t="n">
        <x:v>2025</x:v>
      </x:c>
      <x:c r="B2" s="83" t="str">
        <x:v>FY2025-INITIAL-SUBMISSION-v1</x:v>
      </x:c>
      <x:c r="C2" s="83" t="str">
        <x:v>PROPOSAL</x:v>
      </x:c>
      <x:c r="D2" s="83" t="str">
        <x:v>INITIAL_SUBMITTED</x:v>
      </x:c>
      <x:c r="E2" s="84" t="n">
        <x:v>45596</x:v>
      </x:c>
      <x:c r="F2" s="83" t="str">
        <x:v>SOURCE</x:v>
      </x:c>
      <x:c r="G2" s="83" t="str">
        <x:v>设备管理部</x:v>
      </x:c>
      <x:c r="H2" s="83" t="str">
        <x:v>设备维护</x:v>
      </x:c>
      <x:c r="I2" s="83" t="str">
        <x:v>设备维护</x:v>
      </x:c>
      <x:c r="J2" s="83" t="str">
        <x:v>PRJ-SB-设备-2024-001</x:v>
      </x:c>
      <x:c r="K2" s="83" t="str">
        <x:v>已签订</x:v>
      </x:c>
      <x:c r="L2" s="83" t="str">
        <x:v>XX能源集团</x:v>
      </x:c>
      <x:c r="M2" s="88" t="n">
        <x:v>0.06</x:v>
      </x:c>
      <x:c r="N2" s="81" t="n">
        <x:v>232.56</x:v>
      </x:c>
      <x:c r="O2" s="81" t="n">
        <x:v>219.4</x:v>
      </x:c>
      <x:c r="P2" s="81" t="n">
        <x:v>21.32</x:v>
      </x:c>
      <x:c r="Q2" s="83" t="str">
        <x:v>其中：</x:v>
      </x:c>
      <x:c r="R2" s="83" t="n">
        <x:v>5</x:v>
      </x:c>
      <x:c r="S2" s="81" t="n">
        <x:v>0.23</x:v>
      </x:c>
      <x:c r="T2" s="83" t="n">
        <x:v>60</x:v>
      </x:c>
      <x:c r="U2" s="81" t="n">
        <x:v>13.86</x:v>
      </x:c>
      <x:c r="V2" s="81" t="n">
        <x:v>7.46</x:v>
      </x:c>
      <x:c r="W2" s="81" t="n">
        <x:v>37.3</x:v>
      </x:c>
      <x:c r="X2" s="83" t="str">
        <x:v>其中：</x:v>
      </x:c>
      <x:c r="Y2" s="81" t="n">
        <x:v>0</x:v>
      </x:c>
      <x:c r="Z2" s="81" t="n">
        <x:v>0.71</x:v>
      </x:c>
      <x:c r="AA2" s="81" t="n">
        <x:v>0</x:v>
      </x:c>
      <x:c r="AB2" s="81" t="n">
        <x:v>0.36</x:v>
      </x:c>
      <x:c r="AC2" s="81" t="n">
        <x:v>0.36</x:v>
      </x:c>
      <x:c r="AD2" s="81" t="n">
        <x:v>0.28</x:v>
      </x:c>
      <x:c r="AE2" s="81" t="n">
        <x:v>1.07</x:v>
      </x:c>
      <x:c r="AF2" s="81" t="n">
        <x:v>2.13</x:v>
      </x:c>
      <x:c r="AG2" s="81" t="n">
        <x:v>17.77</x:v>
      </x:c>
      <x:c r="AH2" s="81" t="n">
        <x:v>0.71</x:v>
      </x:c>
      <x:c r="AI2" s="81" t="n">
        <x:v>0.21</x:v>
      </x:c>
      <x:c r="AJ2" s="81" t="n">
        <x:v>0</x:v>
      </x:c>
      <x:c r="AK2" s="81" t="n">
        <x:v>0</x:v>
      </x:c>
      <x:c r="AL2" s="81" t="n">
        <x:v>0</x:v>
      </x:c>
      <x:c r="AM2" s="81" t="n">
        <x:v>0</x:v>
      </x:c>
      <x:c r="AN2" s="81" t="n">
        <x:v>0</x:v>
      </x:c>
      <x:c r="AO2" s="81" t="n">
        <x:v>0</x:v>
      </x:c>
      <x:c r="AP2" s="89" t="n">
        <x:f>SUMIFS('09_初始申报_技术'!$O$2:$O$43,'09_初始申报_技术'!$A$2:$A$43,$A2,'09_初始申报_技术'!$L$2:$L$43,$J2)</x:f>
        <x:v>12</x:v>
      </x:c>
      <x:c r="AQ2" s="86" t="n">
        <x:f>SUMIFS('09_初始申报_技术'!$R$2:$R$43,'09_初始申报_技术'!$A$2:$A$43,$A2,'09_初始申报_技术'!$L$2:$L$43,$J2)</x:f>
        <x:v>14.52</x:v>
      </x:c>
      <x:c r="AR2" s="86" t="n">
        <x:f>SUMIFS('09_初始申报_技术'!$S$2:$S$43,'09_初始申报_技术'!$A$2:$A$43,$A2,'09_初始申报_技术'!$L$2:$L$43,$J2)</x:f>
        <x:v>13.7</x:v>
      </x:c>
      <x:c r="AS2" s="81" t="n">
        <x:v>58.62</x:v>
      </x:c>
      <x:c r="AT2" s="88" t="n">
        <x:v>0.26718322698268004</x:v>
      </x:c>
      <x:c r="AU2" s="90" t="n">
        <x:f>IF(O2=0,0,AS2/O2)</x:f>
        <x:v>0.26718322698268004</x:v>
      </x:c>
      <x:c r="AV2" s="86" t="n">
        <x:f>AS2+AR2</x:f>
        <x:v>72.32</x:v>
      </x:c>
      <x:c r="AW2" s="90" t="n">
        <x:f>IF(O2=0,0,AV2/O2)</x:f>
        <x:v>0.32962625341841384</x:v>
      </x:c>
      <x:c r="AX2" s="90" t="n">
        <x:f>IF(O2=0,0,(O2-AV2)/O2)</x:f>
        <x:v>0.6703737465815862</x:v>
      </x:c>
      <x:c r="AY2" s="62" t="str">
        <x:v>CNY</x:v>
      </x:c>
      <x:c r="AZ2" s="62" t="str">
        <x:v>万元</x:v>
      </x:c>
      <x:c r="BA2" s="62" t="str">
        <x:v>费用不含税；收入采用净额</x:v>
      </x:c>
      <x:c r="BB2" s="62" t="str">
        <x:v>2025年预算申报明细汇总.xlsx</x:v>
      </x:c>
      <x:c r="BC2" s="62" t="str">
        <x:v>市场项目预算明细</x:v>
      </x:c>
      <x:c r="BD2" s="62" t="n">
        <x:v>2</x:v>
      </x:c>
      <x:c r="BE2" s="62" t="str">
        <x:v>2025|PRJ-SB-设备-2024-001</x:v>
      </x:c>
      <x:c r="BF2" s="62" t="str">
        <x:f>IF(ABS(AT2-AU2)&lt;0.000001,"OK","FAIL")</x:f>
        <x:v>OK</x:v>
      </x:c>
      <x:c r="BG2" s="62" t="str">
        <x:f>IF(ABS(AW2+AX2-1)&lt;0.000001,"OK","FAIL")</x:f>
        <x:v>OK</x:v>
      </x:c>
    </x:row>
    <x:row r="3">
      <x:c r="A3" s="83" t="n">
        <x:v>2025</x:v>
      </x:c>
      <x:c r="B3" s="83" t="str">
        <x:v>FY2025-INITIAL-SUBMISSION-v1</x:v>
      </x:c>
      <x:c r="C3" s="83" t="str">
        <x:v>PROPOSAL</x:v>
      </x:c>
      <x:c r="D3" s="83" t="str">
        <x:v>INITIAL_SUBMITTED</x:v>
      </x:c>
      <x:c r="E3" s="84" t="n">
        <x:v>45596</x:v>
      </x:c>
      <x:c r="F3" s="83" t="str">
        <x:v>SOURCE</x:v>
      </x:c>
      <x:c r="G3" s="83" t="str">
        <x:v>设备管理部</x:v>
      </x:c>
      <x:c r="H3" s="83" t="str">
        <x:v>设备维护</x:v>
      </x:c>
      <x:c r="I3" s="83" t="str">
        <x:v>设备维护</x:v>
      </x:c>
      <x:c r="J3" s="83" t="str">
        <x:v>PRJ-SB-设备-2025-002</x:v>
      </x:c>
      <x:c r="K3" s="83" t="str">
        <x:v>已签订</x:v>
      </x:c>
      <x:c r="L3" s="83" t="str">
        <x:v>XX能源集团</x:v>
      </x:c>
      <x:c r="M3" s="88" t="n">
        <x:v>0.06</x:v>
      </x:c>
      <x:c r="N3" s="81" t="n">
        <x:v>244.97</x:v>
      </x:c>
      <x:c r="O3" s="81" t="n">
        <x:v>231.1</x:v>
      </x:c>
      <x:c r="P3" s="81" t="n">
        <x:v>22.46</x:v>
      </x:c>
      <x:c r="Q3" s="83" t="str">
        <x:v>其中：</x:v>
      </x:c>
      <x:c r="R3" s="83" t="n">
        <x:v>5</x:v>
      </x:c>
      <x:c r="S3" s="81" t="n">
        <x:v>0.24</x:v>
      </x:c>
      <x:c r="T3" s="83" t="n">
        <x:v>60</x:v>
      </x:c>
      <x:c r="U3" s="81" t="n">
        <x:v>14.6</x:v>
      </x:c>
      <x:c r="V3" s="81" t="n">
        <x:v>7.86</x:v>
      </x:c>
      <x:c r="W3" s="81" t="n">
        <x:v>38.21</x:v>
      </x:c>
      <x:c r="X3" s="83" t="str">
        <x:v>其中：</x:v>
      </x:c>
      <x:c r="Y3" s="81" t="n">
        <x:v>0</x:v>
      </x:c>
      <x:c r="Z3" s="81" t="n">
        <x:v>0.75</x:v>
      </x:c>
      <x:c r="AA3" s="81" t="n">
        <x:v>0</x:v>
      </x:c>
      <x:c r="AB3" s="81" t="n">
        <x:v>0.37</x:v>
      </x:c>
      <x:c r="AC3" s="81" t="n">
        <x:v>0.37</x:v>
      </x:c>
      <x:c r="AD3" s="81" t="n">
        <x:v>0.3</x:v>
      </x:c>
      <x:c r="AE3" s="81" t="n">
        <x:v>1.12</x:v>
      </x:c>
      <x:c r="AF3" s="81" t="n">
        <x:v>2.25</x:v>
      </x:c>
      <x:c r="AG3" s="81" t="n">
        <x:v>18.72</x:v>
      </x:c>
      <x:c r="AH3" s="81" t="n">
        <x:v>0.75</x:v>
      </x:c>
      <x:c r="AI3" s="81" t="n">
        <x:v>0.22</x:v>
      </x:c>
      <x:c r="AJ3" s="81" t="n">
        <x:v>0</x:v>
      </x:c>
      <x:c r="AK3" s="81" t="n">
        <x:v>0</x:v>
      </x:c>
      <x:c r="AL3" s="81" t="n">
        <x:v>0</x:v>
      </x:c>
      <x:c r="AM3" s="81" t="n">
        <x:v>0</x:v>
      </x:c>
      <x:c r="AN3" s="81" t="n">
        <x:v>0</x:v>
      </x:c>
      <x:c r="AO3" s="81" t="n">
        <x:v>0</x:v>
      </x:c>
      <x:c r="AP3" s="89" t="n">
        <x:f>SUMIFS('09_初始申报_技术'!$O$2:$O$43,'09_初始申报_技术'!$A$2:$A$43,$A3,'09_初始申报_技术'!$L$2:$L$43,$J3)</x:f>
        <x:v>12</x:v>
      </x:c>
      <x:c r="AQ3" s="86" t="n">
        <x:f>SUMIFS('09_初始申报_技术'!$R$2:$R$43,'09_初始申报_技术'!$A$2:$A$43,$A3,'09_初始申报_技术'!$L$2:$L$43,$J3)</x:f>
        <x:v>14.16</x:v>
      </x:c>
      <x:c r="AR3" s="86" t="n">
        <x:f>SUMIFS('09_初始申报_技术'!$S$2:$S$43,'09_初始申报_技术'!$A$2:$A$43,$A3,'09_初始申报_技术'!$L$2:$L$43,$J3)</x:f>
        <x:v>13.36</x:v>
      </x:c>
      <x:c r="AS3" s="81" t="n">
        <x:v>60.67</x:v>
      </x:c>
      <x:c r="AT3" s="88" t="n">
        <x:v>0.2625270445694505</x:v>
      </x:c>
      <x:c r="AU3" s="90" t="n">
        <x:f>IF(O3=0,0,AS3/O3)</x:f>
        <x:v>0.2625270445694505</x:v>
      </x:c>
      <x:c r="AV3" s="86" t="n">
        <x:f>AS3+AR3</x:f>
        <x:v>74.03</x:v>
      </x:c>
      <x:c r="AW3" s="90" t="n">
        <x:f>IF(O3=0,0,AV3/O3)</x:f>
        <x:v>0.32033751622674167</x:v>
      </x:c>
      <x:c r="AX3" s="90" t="n">
        <x:f>IF(O3=0,0,(O3-AV3)/O3)</x:f>
        <x:v>0.6796624837732583</x:v>
      </x:c>
      <x:c r="AY3" s="62" t="str">
        <x:v>CNY</x:v>
      </x:c>
      <x:c r="AZ3" s="62" t="str">
        <x:v>万元</x:v>
      </x:c>
      <x:c r="BA3" s="62" t="str">
        <x:v>费用不含税；收入采用净额</x:v>
      </x:c>
      <x:c r="BB3" s="62" t="str">
        <x:v>2025年预算申报明细汇总.xlsx</x:v>
      </x:c>
      <x:c r="BC3" s="62" t="str">
        <x:v>市场项目预算明细</x:v>
      </x:c>
      <x:c r="BD3" s="62" t="n">
        <x:v>3</x:v>
      </x:c>
      <x:c r="BE3" s="62" t="str">
        <x:v>2025|PRJ-SB-设备-2025-002</x:v>
      </x:c>
      <x:c r="BF3" s="62" t="str">
        <x:f>IF(ABS(AT3-AU3)&lt;0.000001,"OK","FAIL")</x:f>
        <x:v>OK</x:v>
      </x:c>
      <x:c r="BG3" s="62" t="str">
        <x:f>IF(ABS(AW3+AX3-1)&lt;0.000001,"OK","FAIL")</x:f>
        <x:v>OK</x:v>
      </x:c>
    </x:row>
    <x:row r="4">
      <x:c r="A4" s="83" t="n">
        <x:v>2025</x:v>
      </x:c>
      <x:c r="B4" s="83" t="str">
        <x:v>FY2025-INITIAL-SUBMISSION-v1</x:v>
      </x:c>
      <x:c r="C4" s="83" t="str">
        <x:v>PROPOSAL</x:v>
      </x:c>
      <x:c r="D4" s="83" t="str">
        <x:v>INITIAL_SUBMITTED</x:v>
      </x:c>
      <x:c r="E4" s="84" t="n">
        <x:v>45596</x:v>
      </x:c>
      <x:c r="F4" s="83" t="str">
        <x:v>SOURCE</x:v>
      </x:c>
      <x:c r="G4" s="83" t="str">
        <x:v>设备管理部</x:v>
      </x:c>
      <x:c r="H4" s="83" t="str">
        <x:v>设备维护</x:v>
      </x:c>
      <x:c r="I4" s="83" t="str">
        <x:v>设备维护</x:v>
      </x:c>
      <x:c r="J4" s="83" t="str">
        <x:v>PRJ-SB-设备-2025-003</x:v>
      </x:c>
      <x:c r="K4" s="83" t="str">
        <x:v>已签订</x:v>
      </x:c>
      <x:c r="L4" s="83" t="str">
        <x:v>XX能源集团</x:v>
      </x:c>
      <x:c r="M4" s="88" t="n">
        <x:v>0.06</x:v>
      </x:c>
      <x:c r="N4" s="81" t="n">
        <x:v>240.09</x:v>
      </x:c>
      <x:c r="O4" s="81" t="n">
        <x:v>226.5</x:v>
      </x:c>
      <x:c r="P4" s="81" t="n">
        <x:v>22.02</x:v>
      </x:c>
      <x:c r="Q4" s="83" t="str">
        <x:v>其中：</x:v>
      </x:c>
      <x:c r="R4" s="83" t="n">
        <x:v>5</x:v>
      </x:c>
      <x:c r="S4" s="81" t="n">
        <x:v>0.24</x:v>
      </x:c>
      <x:c r="T4" s="83" t="n">
        <x:v>60</x:v>
      </x:c>
      <x:c r="U4" s="81" t="n">
        <x:v>14.31</x:v>
      </x:c>
      <x:c r="V4" s="81" t="n">
        <x:v>7.71</x:v>
      </x:c>
      <x:c r="W4" s="81" t="n">
        <x:v>37.83</x:v>
      </x:c>
      <x:c r="X4" s="83" t="str">
        <x:v>其中：</x:v>
      </x:c>
      <x:c r="Y4" s="81" t="n">
        <x:v>0</x:v>
      </x:c>
      <x:c r="Z4" s="81" t="n">
        <x:v>0.73</x:v>
      </x:c>
      <x:c r="AA4" s="81" t="n">
        <x:v>0</x:v>
      </x:c>
      <x:c r="AB4" s="81" t="n">
        <x:v>0.37</x:v>
      </x:c>
      <x:c r="AC4" s="81" t="n">
        <x:v>0.37</x:v>
      </x:c>
      <x:c r="AD4" s="81" t="n">
        <x:v>0.29</x:v>
      </x:c>
      <x:c r="AE4" s="81" t="n">
        <x:v>1.1</x:v>
      </x:c>
      <x:c r="AF4" s="81" t="n">
        <x:v>2.2</x:v>
      </x:c>
      <x:c r="AG4" s="81" t="n">
        <x:v>18.35</x:v>
      </x:c>
      <x:c r="AH4" s="81" t="n">
        <x:v>0.73</x:v>
      </x:c>
      <x:c r="AI4" s="81" t="n">
        <x:v>0.22</x:v>
      </x:c>
      <x:c r="AJ4" s="81" t="n">
        <x:v>0</x:v>
      </x:c>
      <x:c r="AK4" s="81" t="n">
        <x:v>0</x:v>
      </x:c>
      <x:c r="AL4" s="81" t="n">
        <x:v>0</x:v>
      </x:c>
      <x:c r="AM4" s="81" t="n">
        <x:v>0</x:v>
      </x:c>
      <x:c r="AN4" s="81" t="n">
        <x:v>0</x:v>
      </x:c>
      <x:c r="AO4" s="81" t="n">
        <x:v>0</x:v>
      </x:c>
      <x:c r="AP4" s="89" t="n">
        <x:f>SUMIFS('09_初始申报_技术'!$O$2:$O$43,'09_初始申报_技术'!$A$2:$A$43,$A4,'09_初始申报_技术'!$L$2:$L$43,$J4)</x:f>
        <x:v>12</x:v>
      </x:c>
      <x:c r="AQ4" s="86" t="n">
        <x:f>SUMIFS('09_初始申报_技术'!$R$2:$R$43,'09_初始申报_技术'!$A$2:$A$43,$A4,'09_初始申报_技术'!$L$2:$L$43,$J4)</x:f>
        <x:v>14.28</x:v>
      </x:c>
      <x:c r="AR4" s="86" t="n">
        <x:f>SUMIFS('09_初始申报_技术'!$S$2:$S$43,'09_初始申报_技术'!$A$2:$A$43,$A4,'09_初始申报_技术'!$L$2:$L$43,$J4)</x:f>
        <x:v>13.47</x:v>
      </x:c>
      <x:c r="AS4" s="81" t="n">
        <x:v>59.85</x:v>
      </x:c>
      <x:c r="AT4" s="88" t="n">
        <x:v>0.264238410596027</x:v>
      </x:c>
      <x:c r="AU4" s="90" t="n">
        <x:f>IF(O4=0,0,AS4/O4)</x:f>
        <x:v>0.2642384105960265</x:v>
      </x:c>
      <x:c r="AV4" s="86" t="n">
        <x:f>AS4+AR4</x:f>
        <x:v>73.32000000000001</x:v>
      </x:c>
      <x:c r="AW4" s="90" t="n">
        <x:f>IF(O4=0,0,AV4/O4)</x:f>
        <x:v>0.32370860927152323</x:v>
      </x:c>
      <x:c r="AX4" s="90" t="n">
        <x:f>IF(O4=0,0,(O4-AV4)/O4)</x:f>
        <x:v>0.6762913907284769</x:v>
      </x:c>
      <x:c r="AY4" s="62" t="str">
        <x:v>CNY</x:v>
      </x:c>
      <x:c r="AZ4" s="62" t="str">
        <x:v>万元</x:v>
      </x:c>
      <x:c r="BA4" s="62" t="str">
        <x:v>费用不含税；收入采用净额</x:v>
      </x:c>
      <x:c r="BB4" s="62" t="str">
        <x:v>2025年预算申报明细汇总.xlsx</x:v>
      </x:c>
      <x:c r="BC4" s="62" t="str">
        <x:v>市场项目预算明细</x:v>
      </x:c>
      <x:c r="BD4" s="62" t="n">
        <x:v>4</x:v>
      </x:c>
      <x:c r="BE4" s="62" t="str">
        <x:v>2025|PRJ-SB-设备-2025-003</x:v>
      </x:c>
      <x:c r="BF4" s="62" t="str">
        <x:f>IF(ABS(AT4-AU4)&lt;0.000001,"OK","FAIL")</x:f>
        <x:v>OK</x:v>
      </x:c>
      <x:c r="BG4" s="62" t="str">
        <x:f>IF(ABS(AW4+AX4-1)&lt;0.000001,"OK","FAIL")</x:f>
        <x:v>OK</x:v>
      </x:c>
    </x:row>
    <x:row r="5">
      <x:c r="A5" s="83" t="n">
        <x:v>2025</x:v>
      </x:c>
      <x:c r="B5" s="83" t="str">
        <x:v>FY2025-INITIAL-SUBMISSION-v1</x:v>
      </x:c>
      <x:c r="C5" s="83" t="str">
        <x:v>PROPOSAL</x:v>
      </x:c>
      <x:c r="D5" s="83" t="str">
        <x:v>INITIAL_SUBMITTED</x:v>
      </x:c>
      <x:c r="E5" s="84" t="n">
        <x:v>45596</x:v>
      </x:c>
      <x:c r="F5" s="83" t="str">
        <x:v>SOURCE</x:v>
      </x:c>
      <x:c r="G5" s="83" t="str">
        <x:v>技术部</x:v>
      </x:c>
      <x:c r="H5" s="83" t="str">
        <x:v>热能动力研究</x:v>
      </x:c>
      <x:c r="I5" s="83" t="str">
        <x:v>热能动力研究</x:v>
      </x:c>
      <x:c r="J5" s="83" t="str">
        <x:v>PRJ-JS-热能-2024-001</x:v>
      </x:c>
      <x:c r="K5" s="83" t="str">
        <x:v>已签订</x:v>
      </x:c>
      <x:c r="L5" s="83" t="str">
        <x:v>XX能源集团</x:v>
      </x:c>
      <x:c r="M5" s="88" t="n">
        <x:v>0.06</x:v>
      </x:c>
      <x:c r="N5" s="81" t="n">
        <x:v>60.31</x:v>
      </x:c>
      <x:c r="O5" s="81" t="n">
        <x:v>56.9</x:v>
      </x:c>
      <x:c r="P5" s="81" t="n">
        <x:v>4.3</x:v>
      </x:c>
      <x:c r="Q5" s="83" t="str">
        <x:v>其中：</x:v>
      </x:c>
      <x:c r="R5" s="83" t="n">
        <x:v>5</x:v>
      </x:c>
      <x:c r="S5" s="81" t="n">
        <x:v>0.05</x:v>
      </x:c>
      <x:c r="T5" s="83" t="n">
        <x:v>60</x:v>
      </x:c>
      <x:c r="U5" s="81" t="n">
        <x:v>2.79</x:v>
      </x:c>
      <x:c r="V5" s="81" t="n">
        <x:v>1.5</x:v>
      </x:c>
      <x:c r="W5" s="81" t="n">
        <x:v>105.62</x:v>
      </x:c>
      <x:c r="X5" s="83" t="str">
        <x:v>其中：</x:v>
      </x:c>
      <x:c r="Y5" s="81" t="n">
        <x:v>0</x:v>
      </x:c>
      <x:c r="Z5" s="81" t="n">
        <x:v>0.14</x:v>
      </x:c>
      <x:c r="AA5" s="81" t="n">
        <x:v>0</x:v>
      </x:c>
      <x:c r="AB5" s="81" t="n">
        <x:v>0.07</x:v>
      </x:c>
      <x:c r="AC5" s="81" t="n">
        <x:v>0.07</x:v>
      </x:c>
      <x:c r="AD5" s="81" t="n">
        <x:v>0.06</x:v>
      </x:c>
      <x:c r="AE5" s="81" t="n">
        <x:v>0.22</x:v>
      </x:c>
      <x:c r="AF5" s="81" t="n">
        <x:v>0.43</x:v>
      </x:c>
      <x:c r="AG5" s="81" t="n">
        <x:v>3.58</x:v>
      </x:c>
      <x:c r="AH5" s="81" t="n">
        <x:v>0.14</x:v>
      </x:c>
      <x:c r="AI5" s="81" t="n">
        <x:v>0.04</x:v>
      </x:c>
      <x:c r="AJ5" s="81" t="n">
        <x:v>0</x:v>
      </x:c>
      <x:c r="AK5" s="81" t="n">
        <x:v>0</x:v>
      </x:c>
      <x:c r="AL5" s="81" t="n">
        <x:v>0</x:v>
      </x:c>
      <x:c r="AM5" s="81" t="n">
        <x:v>0</x:v>
      </x:c>
      <x:c r="AN5" s="81" t="n">
        <x:v>0</x:v>
      </x:c>
      <x:c r="AO5" s="81" t="n">
        <x:v>0</x:v>
      </x:c>
      <x:c r="AP5" s="89" t="n">
        <x:f>SUMIFS('09_初始申报_技术'!$O$2:$O$43,'09_初始申报_技术'!$A$2:$A$43,$A5,'09_初始申报_技术'!$L$2:$L$43,$J5)</x:f>
        <x:v>36</x:v>
      </x:c>
      <x:c r="AQ5" s="86" t="n">
        <x:f>SUMIFS('09_初始申报_技术'!$R$2:$R$43,'09_初始申报_技术'!$A$2:$A$43,$A5,'09_初始申报_技术'!$L$2:$L$43,$J5)</x:f>
        <x:v>106.92</x:v>
      </x:c>
      <x:c r="AR5" s="86" t="n">
        <x:f>SUMIFS('09_初始申报_技术'!$S$2:$S$43,'09_初始申报_技术'!$A$2:$A$43,$A5,'09_初始申报_技术'!$L$2:$L$43,$J5)</x:f>
        <x:v>100.87</x:v>
      </x:c>
      <x:c r="AS5" s="81" t="n">
        <x:v>109.92</x:v>
      </x:c>
      <x:c r="AT5" s="88" t="n">
        <x:v>1.93181019332162</x:v>
      </x:c>
      <x:c r="AU5" s="90" t="n">
        <x:f>IF(O5=0,0,AS5/O5)</x:f>
        <x:v>1.931810193321617</x:v>
      </x:c>
      <x:c r="AV5" s="86" t="n">
        <x:f>AS5+AR5</x:f>
        <x:v>210.79000000000002</x:v>
      </x:c>
      <x:c r="AW5" s="90" t="n">
        <x:f>IF(O5=0,0,AV5/O5)</x:f>
        <x:v>3.70456942003515</x:v>
      </x:c>
      <x:c r="AX5" s="90" t="n">
        <x:f>IF(O5=0,0,(O5-AV5)/O5)</x:f>
        <x:v>-2.7045694200351496</x:v>
      </x:c>
      <x:c r="AY5" s="62" t="str">
        <x:v>CNY</x:v>
      </x:c>
      <x:c r="AZ5" s="62" t="str">
        <x:v>万元</x:v>
      </x:c>
      <x:c r="BA5" s="62" t="str">
        <x:v>费用不含税；收入采用净额</x:v>
      </x:c>
      <x:c r="BB5" s="62" t="str">
        <x:v>2025年预算申报明细汇总.xlsx</x:v>
      </x:c>
      <x:c r="BC5" s="62" t="str">
        <x:v>市场项目预算明细</x:v>
      </x:c>
      <x:c r="BD5" s="62" t="n">
        <x:v>5</x:v>
      </x:c>
      <x:c r="BE5" s="62" t="str">
        <x:v>2025|PRJ-JS-热能-2024-001</x:v>
      </x:c>
      <x:c r="BF5" s="62" t="str">
        <x:f>IF(ABS(AT5-AU5)&lt;0.000001,"OK","FAIL")</x:f>
        <x:v>OK</x:v>
      </x:c>
      <x:c r="BG5" s="62" t="str">
        <x:f>IF(ABS(AW5+AX5-1)&lt;0.000001,"OK","FAIL")</x:f>
        <x:v>OK</x:v>
      </x:c>
    </x:row>
    <x:row r="6">
      <x:c r="A6" s="83" t="n">
        <x:v>2025</x:v>
      </x:c>
      <x:c r="B6" s="83" t="str">
        <x:v>FY2025-INITIAL-SUBMISSION-v1</x:v>
      </x:c>
      <x:c r="C6" s="83" t="str">
        <x:v>PROPOSAL</x:v>
      </x:c>
      <x:c r="D6" s="83" t="str">
        <x:v>INITIAL_SUBMITTED</x:v>
      </x:c>
      <x:c r="E6" s="84" t="n">
        <x:v>45596</x:v>
      </x:c>
      <x:c r="F6" s="83" t="str">
        <x:v>SOURCE</x:v>
      </x:c>
      <x:c r="G6" s="83" t="str">
        <x:v>技术部</x:v>
      </x:c>
      <x:c r="H6" s="83" t="str">
        <x:v>热能动力研究</x:v>
      </x:c>
      <x:c r="I6" s="83" t="str">
        <x:v>热能动力研究</x:v>
      </x:c>
      <x:c r="J6" s="83" t="str">
        <x:v>PRJ-JS-热能-2025-002</x:v>
      </x:c>
      <x:c r="K6" s="83" t="str">
        <x:v>已签订</x:v>
      </x:c>
      <x:c r="L6" s="83" t="str">
        <x:v>XX能源集团</x:v>
      </x:c>
      <x:c r="M6" s="88" t="n">
        <x:v>0.06</x:v>
      </x:c>
      <x:c r="N6" s="81" t="n">
        <x:v>64.02</x:v>
      </x:c>
      <x:c r="O6" s="81" t="n">
        <x:v>60.4</x:v>
      </x:c>
      <x:c r="P6" s="81" t="n">
        <x:v>4.57</x:v>
      </x:c>
      <x:c r="Q6" s="83" t="str">
        <x:v>其中：</x:v>
      </x:c>
      <x:c r="R6" s="83" t="n">
        <x:v>5</x:v>
      </x:c>
      <x:c r="S6" s="81" t="n">
        <x:v>0.05</x:v>
      </x:c>
      <x:c r="T6" s="83" t="n">
        <x:v>60</x:v>
      </x:c>
      <x:c r="U6" s="81" t="n">
        <x:v>2.97</x:v>
      </x:c>
      <x:c r="V6" s="81" t="n">
        <x:v>1.6</x:v>
      </x:c>
      <x:c r="W6" s="81" t="n">
        <x:v>98.81</x:v>
      </x:c>
      <x:c r="X6" s="83" t="str">
        <x:v>其中：</x:v>
      </x:c>
      <x:c r="Y6" s="81" t="n">
        <x:v>0</x:v>
      </x:c>
      <x:c r="Z6" s="81" t="n">
        <x:v>0.15</x:v>
      </x:c>
      <x:c r="AA6" s="81" t="n">
        <x:v>0</x:v>
      </x:c>
      <x:c r="AB6" s="81" t="n">
        <x:v>0.08</x:v>
      </x:c>
      <x:c r="AC6" s="81" t="n">
        <x:v>0.08</x:v>
      </x:c>
      <x:c r="AD6" s="81" t="n">
        <x:v>0.06</x:v>
      </x:c>
      <x:c r="AE6" s="81" t="n">
        <x:v>0.23</x:v>
      </x:c>
      <x:c r="AF6" s="81" t="n">
        <x:v>0.46</x:v>
      </x:c>
      <x:c r="AG6" s="81" t="n">
        <x:v>3.81</x:v>
      </x:c>
      <x:c r="AH6" s="81" t="n">
        <x:v>0.15</x:v>
      </x:c>
      <x:c r="AI6" s="81" t="n">
        <x:v>0.05</x:v>
      </x:c>
      <x:c r="AJ6" s="81" t="n">
        <x:v>0</x:v>
      </x:c>
      <x:c r="AK6" s="81" t="n">
        <x:v>0</x:v>
      </x:c>
      <x:c r="AL6" s="81" t="n">
        <x:v>0</x:v>
      </x:c>
      <x:c r="AM6" s="81" t="n">
        <x:v>0</x:v>
      </x:c>
      <x:c r="AN6" s="81" t="n">
        <x:v>0</x:v>
      </x:c>
      <x:c r="AO6" s="81" t="n">
        <x:v>0</x:v>
      </x:c>
      <x:c r="AP6" s="89" t="n">
        <x:f>SUMIFS('09_初始申报_技术'!$O$2:$O$43,'09_初始申报_技术'!$A$2:$A$43,$A6,'09_初始申报_技术'!$L$2:$L$43,$J6)</x:f>
        <x:v>36</x:v>
      </x:c>
      <x:c r="AQ6" s="86" t="n">
        <x:f>SUMIFS('09_初始申报_技术'!$R$2:$R$43,'09_初始申报_技术'!$A$2:$A$43,$A6,'09_初始申报_技术'!$L$2:$L$43,$J6)</x:f>
        <x:v>99.36</x:v>
      </x:c>
      <x:c r="AR6" s="86" t="n">
        <x:f>SUMIFS('09_初始申报_技术'!$S$2:$S$43,'09_初始申报_技术'!$A$2:$A$43,$A6,'09_初始申报_技术'!$L$2:$L$43,$J6)</x:f>
        <x:v>93.74</x:v>
      </x:c>
      <x:c r="AS6" s="81" t="n">
        <x:v>103.38</x:v>
      </x:c>
      <x:c r="AT6" s="88" t="n">
        <x:v>1.71158940397351</x:v>
      </x:c>
      <x:c r="AU6" s="90" t="n">
        <x:f>IF(O6=0,0,AS6/O6)</x:f>
        <x:v>1.71158940397351</x:v>
      </x:c>
      <x:c r="AV6" s="86" t="n">
        <x:f>AS6+AR6</x:f>
        <x:v>197.12</x:v>
      </x:c>
      <x:c r="AW6" s="90" t="n">
        <x:f>IF(O6=0,0,AV6/O6)</x:f>
        <x:v>3.2635761589403973</x:v>
      </x:c>
      <x:c r="AX6" s="90" t="n">
        <x:f>IF(O6=0,0,(O6-AV6)/O6)</x:f>
        <x:v>-2.2635761589403973</x:v>
      </x:c>
      <x:c r="AY6" s="62" t="str">
        <x:v>CNY</x:v>
      </x:c>
      <x:c r="AZ6" s="62" t="str">
        <x:v>万元</x:v>
      </x:c>
      <x:c r="BA6" s="62" t="str">
        <x:v>费用不含税；收入采用净额</x:v>
      </x:c>
      <x:c r="BB6" s="62" t="str">
        <x:v>2025年预算申报明细汇总.xlsx</x:v>
      </x:c>
      <x:c r="BC6" s="62" t="str">
        <x:v>市场项目预算明细</x:v>
      </x:c>
      <x:c r="BD6" s="62" t="n">
        <x:v>6</x:v>
      </x:c>
      <x:c r="BE6" s="62" t="str">
        <x:v>2025|PRJ-JS-热能-2025-002</x:v>
      </x:c>
      <x:c r="BF6" s="62" t="str">
        <x:f>IF(ABS(AT6-AU6)&lt;0.000001,"OK","FAIL")</x:f>
        <x:v>OK</x:v>
      </x:c>
      <x:c r="BG6" s="62" t="str">
        <x:f>IF(ABS(AW6+AX6-1)&lt;0.000001,"OK","FAIL")</x:f>
        <x:v>OK</x:v>
      </x:c>
    </x:row>
    <x:row r="7">
      <x:c r="A7" s="83" t="n">
        <x:v>2025</x:v>
      </x:c>
      <x:c r="B7" s="83" t="str">
        <x:v>FY2025-INITIAL-SUBMISSION-v1</x:v>
      </x:c>
      <x:c r="C7" s="83" t="str">
        <x:v>PROPOSAL</x:v>
      </x:c>
      <x:c r="D7" s="83" t="str">
        <x:v>INITIAL_SUBMITTED</x:v>
      </x:c>
      <x:c r="E7" s="84" t="n">
        <x:v>45596</x:v>
      </x:c>
      <x:c r="F7" s="83" t="str">
        <x:v>SOURCE</x:v>
      </x:c>
      <x:c r="G7" s="83" t="str">
        <x:v>技术部</x:v>
      </x:c>
      <x:c r="H7" s="83" t="str">
        <x:v>热能动力研究</x:v>
      </x:c>
      <x:c r="I7" s="83" t="str">
        <x:v>热能动力研究</x:v>
      </x:c>
      <x:c r="J7" s="83" t="str">
        <x:v>PRJ-JS-热能-2025-003</x:v>
      </x:c>
      <x:c r="K7" s="83" t="str">
        <x:v>已签订</x:v>
      </x:c>
      <x:c r="L7" s="83" t="str">
        <x:v>XX能源集团</x:v>
      </x:c>
      <x:c r="M7" s="88" t="n">
        <x:v>0.06</x:v>
      </x:c>
      <x:c r="N7" s="81" t="n">
        <x:v>62.12</x:v>
      </x:c>
      <x:c r="O7" s="81" t="n">
        <x:v>58.6</x:v>
      </x:c>
      <x:c r="P7" s="81" t="n">
        <x:v>4.43</x:v>
      </x:c>
      <x:c r="Q7" s="83" t="str">
        <x:v>其中：</x:v>
      </x:c>
      <x:c r="R7" s="83" t="n">
        <x:v>5</x:v>
      </x:c>
      <x:c r="S7" s="81" t="n">
        <x:v>0.05</x:v>
      </x:c>
      <x:c r="T7" s="83" t="n">
        <x:v>60</x:v>
      </x:c>
      <x:c r="U7" s="81" t="n">
        <x:v>2.88</x:v>
      </x:c>
      <x:c r="V7" s="81" t="n">
        <x:v>1.55</x:v>
      </x:c>
      <x:c r="W7" s="81" t="n">
        <x:v>116.97</x:v>
      </x:c>
      <x:c r="X7" s="83" t="str">
        <x:v>其中：</x:v>
      </x:c>
      <x:c r="Y7" s="81" t="n">
        <x:v>0</x:v>
      </x:c>
      <x:c r="Z7" s="81" t="n">
        <x:v>0.15</x:v>
      </x:c>
      <x:c r="AA7" s="81" t="n">
        <x:v>0</x:v>
      </x:c>
      <x:c r="AB7" s="81" t="n">
        <x:v>0.07</x:v>
      </x:c>
      <x:c r="AC7" s="81" t="n">
        <x:v>0.07</x:v>
      </x:c>
      <x:c r="AD7" s="81" t="n">
        <x:v>0.06</x:v>
      </x:c>
      <x:c r="AE7" s="81" t="n">
        <x:v>0.22</x:v>
      </x:c>
      <x:c r="AF7" s="81" t="n">
        <x:v>0.44</x:v>
      </x:c>
      <x:c r="AG7" s="81" t="n">
        <x:v>3.69</x:v>
      </x:c>
      <x:c r="AH7" s="81" t="n">
        <x:v>0.15</x:v>
      </x:c>
      <x:c r="AI7" s="81" t="n">
        <x:v>0.04</x:v>
      </x:c>
      <x:c r="AJ7" s="81" t="n">
        <x:v>0</x:v>
      </x:c>
      <x:c r="AK7" s="81" t="n">
        <x:v>0</x:v>
      </x:c>
      <x:c r="AL7" s="81" t="n">
        <x:v>0</x:v>
      </x:c>
      <x:c r="AM7" s="81" t="n">
        <x:v>0</x:v>
      </x:c>
      <x:c r="AN7" s="81" t="n">
        <x:v>0</x:v>
      </x:c>
      <x:c r="AO7" s="81" t="n">
        <x:v>0</x:v>
      </x:c>
      <x:c r="AP7" s="89" t="n">
        <x:f>SUMIFS('09_初始申报_技术'!$O$2:$O$43,'09_初始申报_技术'!$A$2:$A$43,$A7,'09_初始申报_技术'!$L$2:$L$43,$J7)</x:f>
        <x:v>36</x:v>
      </x:c>
      <x:c r="AQ7" s="86" t="n">
        <x:f>SUMIFS('09_初始申报_技术'!$R$2:$R$43,'09_初始申报_技术'!$A$2:$A$43,$A7,'09_初始申报_技术'!$L$2:$L$43,$J7)</x:f>
        <x:v>118.8</x:v>
      </x:c>
      <x:c r="AR7" s="86" t="n">
        <x:f>SUMIFS('09_初始申报_技术'!$S$2:$S$43,'09_初始申报_技术'!$A$2:$A$43,$A7,'09_初始申报_技术'!$L$2:$L$43,$J7)</x:f>
        <x:v>112.08</x:v>
      </x:c>
      <x:c r="AS7" s="81" t="n">
        <x:v>121.4</x:v>
      </x:c>
      <x:c r="AT7" s="88" t="n">
        <x:v>2.07167235494881</x:v>
      </x:c>
      <x:c r="AU7" s="90" t="n">
        <x:f>IF(O7=0,0,AS7/O7)</x:f>
        <x:v>2.0716723549488054</x:v>
      </x:c>
      <x:c r="AV7" s="86" t="n">
        <x:f>AS7+AR7</x:f>
        <x:v>233.48000000000002</x:v>
      </x:c>
      <x:c r="AW7" s="90" t="n">
        <x:f>IF(O7=0,0,AV7/O7)</x:f>
        <x:v>3.9843003412969287</x:v>
      </x:c>
      <x:c r="AX7" s="90" t="n">
        <x:f>IF(O7=0,0,(O7-AV7)/O7)</x:f>
        <x:v>-2.9843003412969287</x:v>
      </x:c>
      <x:c r="AY7" s="62" t="str">
        <x:v>CNY</x:v>
      </x:c>
      <x:c r="AZ7" s="62" t="str">
        <x:v>万元</x:v>
      </x:c>
      <x:c r="BA7" s="62" t="str">
        <x:v>费用不含税；收入采用净额</x:v>
      </x:c>
      <x:c r="BB7" s="62" t="str">
        <x:v>2025年预算申报明细汇总.xlsx</x:v>
      </x:c>
      <x:c r="BC7" s="62" t="str">
        <x:v>市场项目预算明细</x:v>
      </x:c>
      <x:c r="BD7" s="62" t="n">
        <x:v>7</x:v>
      </x:c>
      <x:c r="BE7" s="62" t="str">
        <x:v>2025|PRJ-JS-热能-2025-003</x:v>
      </x:c>
      <x:c r="BF7" s="62" t="str">
        <x:f>IF(ABS(AT7-AU7)&lt;0.000001,"OK","FAIL")</x:f>
        <x:v>OK</x:v>
      </x:c>
      <x:c r="BG7" s="62" t="str">
        <x:f>IF(ABS(AW7+AX7-1)&lt;0.000001,"OK","FAIL")</x:f>
        <x:v>OK</x:v>
      </x:c>
    </x:row>
    <x:row r="8">
      <x:c r="A8" s="83" t="n">
        <x:v>2025</x:v>
      </x:c>
      <x:c r="B8" s="83" t="str">
        <x:v>FY2025-INITIAL-SUBMISSION-v1</x:v>
      </x:c>
      <x:c r="C8" s="83" t="str">
        <x:v>PROPOSAL</x:v>
      </x:c>
      <x:c r="D8" s="83" t="str">
        <x:v>INITIAL_SUBMITTED</x:v>
      </x:c>
      <x:c r="E8" s="84" t="n">
        <x:v>45596</x:v>
      </x:c>
      <x:c r="F8" s="83" t="str">
        <x:v>SOURCE</x:v>
      </x:c>
      <x:c r="G8" s="83" t="str">
        <x:v>技术部</x:v>
      </x:c>
      <x:c r="H8" s="83" t="str">
        <x:v>经验反馈改进</x:v>
      </x:c>
      <x:c r="I8" s="83" t="str">
        <x:v>经验反馈改进</x:v>
      </x:c>
      <x:c r="J8" s="83" t="str">
        <x:v>PRJ-JS-经验-2024-001</x:v>
      </x:c>
      <x:c r="K8" s="83" t="str">
        <x:v>已签订</x:v>
      </x:c>
      <x:c r="L8" s="83" t="str">
        <x:v>XX能源集团</x:v>
      </x:c>
      <x:c r="M8" s="88" t="n">
        <x:v>0.06</x:v>
      </x:c>
      <x:c r="N8" s="81" t="n">
        <x:v>70.49</x:v>
      </x:c>
      <x:c r="O8" s="81" t="n">
        <x:v>66.5</x:v>
      </x:c>
      <x:c r="P8" s="81" t="n">
        <x:v>5.03</x:v>
      </x:c>
      <x:c r="Q8" s="83" t="str">
        <x:v>其中：</x:v>
      </x:c>
      <x:c r="R8" s="83" t="n">
        <x:v>5</x:v>
      </x:c>
      <x:c r="S8" s="81" t="n">
        <x:v>0.05</x:v>
      </x:c>
      <x:c r="T8" s="83" t="n">
        <x:v>60</x:v>
      </x:c>
      <x:c r="U8" s="81" t="n">
        <x:v>3.27</x:v>
      </x:c>
      <x:c r="V8" s="81" t="n">
        <x:v>1.76</x:v>
      </x:c>
      <x:c r="W8" s="81" t="n">
        <x:v>73.77</x:v>
      </x:c>
      <x:c r="X8" s="83" t="str">
        <x:v>其中：</x:v>
      </x:c>
      <x:c r="Y8" s="81" t="n">
        <x:v>0</x:v>
      </x:c>
      <x:c r="Z8" s="81" t="n">
        <x:v>0.17</x:v>
      </x:c>
      <x:c r="AA8" s="81" t="n">
        <x:v>0</x:v>
      </x:c>
      <x:c r="AB8" s="81" t="n">
        <x:v>0.08</x:v>
      </x:c>
      <x:c r="AC8" s="81" t="n">
        <x:v>0.08</x:v>
      </x:c>
      <x:c r="AD8" s="81" t="n">
        <x:v>0.07</x:v>
      </x:c>
      <x:c r="AE8" s="81" t="n">
        <x:v>0.25</x:v>
      </x:c>
      <x:c r="AF8" s="81" t="n">
        <x:v>0.5</x:v>
      </x:c>
      <x:c r="AG8" s="81" t="n">
        <x:v>4.19</x:v>
      </x:c>
      <x:c r="AH8" s="81" t="n">
        <x:v>0.17</x:v>
      </x:c>
      <x:c r="AI8" s="81" t="n">
        <x:v>0.05</x:v>
      </x:c>
      <x:c r="AJ8" s="81" t="n">
        <x:v>0</x:v>
      </x:c>
      <x:c r="AK8" s="81" t="n">
        <x:v>0</x:v>
      </x:c>
      <x:c r="AL8" s="81" t="n">
        <x:v>0</x:v>
      </x:c>
      <x:c r="AM8" s="81" t="n">
        <x:v>0</x:v>
      </x:c>
      <x:c r="AN8" s="81" t="n">
        <x:v>0</x:v>
      </x:c>
      <x:c r="AO8" s="81" t="n">
        <x:v>0</x:v>
      </x:c>
      <x:c r="AP8" s="89" t="n">
        <x:f>SUMIFS('09_初始申报_技术'!$O$2:$O$43,'09_初始申报_技术'!$A$2:$A$43,$A8,'09_初始申报_技术'!$L$2:$L$43,$J8)</x:f>
        <x:v>30</x:v>
      </x:c>
      <x:c r="AQ8" s="86" t="n">
        <x:f>SUMIFS('09_初始申报_技术'!$R$2:$R$43,'09_初始申报_技术'!$A$2:$A$43,$A8,'09_初始申报_技术'!$L$2:$L$43,$J8)</x:f>
        <x:v>72.3</x:v>
      </x:c>
      <x:c r="AR8" s="86" t="n">
        <x:f>SUMIFS('09_初始申报_技术'!$S$2:$S$43,'09_初始申报_技术'!$A$2:$A$43,$A8,'09_初始申报_技术'!$L$2:$L$43,$J8)</x:f>
        <x:v>68.21</x:v>
      </x:c>
      <x:c r="AS8" s="81" t="n">
        <x:v>78.8</x:v>
      </x:c>
      <x:c r="AT8" s="88" t="n">
        <x:v>1.18496240601504</x:v>
      </x:c>
      <x:c r="AU8" s="90" t="n">
        <x:f>IF(O8=0,0,AS8/O8)</x:f>
        <x:v>1.1849624060150377</x:v>
      </x:c>
      <x:c r="AV8" s="86" t="n">
        <x:f>AS8+AR8</x:f>
        <x:v>147.01</x:v>
      </x:c>
      <x:c r="AW8" s="90" t="n">
        <x:f>IF(O8=0,0,AV8/O8)</x:f>
        <x:v>2.210676691729323</x:v>
      </x:c>
      <x:c r="AX8" s="90" t="n">
        <x:f>IF(O8=0,0,(O8-AV8)/O8)</x:f>
        <x:v>-1.2106766917293232</x:v>
      </x:c>
      <x:c r="AY8" s="62" t="str">
        <x:v>CNY</x:v>
      </x:c>
      <x:c r="AZ8" s="62" t="str">
        <x:v>万元</x:v>
      </x:c>
      <x:c r="BA8" s="62" t="str">
        <x:v>费用不含税；收入采用净额</x:v>
      </x:c>
      <x:c r="BB8" s="62" t="str">
        <x:v>2025年预算申报明细汇总.xlsx</x:v>
      </x:c>
      <x:c r="BC8" s="62" t="str">
        <x:v>市场项目预算明细</x:v>
      </x:c>
      <x:c r="BD8" s="62" t="n">
        <x:v>8</x:v>
      </x:c>
      <x:c r="BE8" s="62" t="str">
        <x:v>2025|PRJ-JS-经验-2024-001</x:v>
      </x:c>
      <x:c r="BF8" s="62" t="str">
        <x:f>IF(ABS(AT8-AU8)&lt;0.000001,"OK","FAIL")</x:f>
        <x:v>OK</x:v>
      </x:c>
      <x:c r="BG8" s="62" t="str">
        <x:f>IF(ABS(AW8+AX8-1)&lt;0.000001,"OK","FAIL")</x:f>
        <x:v>OK</x:v>
      </x:c>
    </x:row>
    <x:row r="9">
      <x:c r="A9" s="83" t="n">
        <x:v>2025</x:v>
      </x:c>
      <x:c r="B9" s="83" t="str">
        <x:v>FY2025-INITIAL-SUBMISSION-v1</x:v>
      </x:c>
      <x:c r="C9" s="83" t="str">
        <x:v>PROPOSAL</x:v>
      </x:c>
      <x:c r="D9" s="83" t="str">
        <x:v>INITIAL_SUBMITTED</x:v>
      </x:c>
      <x:c r="E9" s="84" t="n">
        <x:v>45596</x:v>
      </x:c>
      <x:c r="F9" s="83" t="str">
        <x:v>SOURCE</x:v>
      </x:c>
      <x:c r="G9" s="83" t="str">
        <x:v>技术部</x:v>
      </x:c>
      <x:c r="H9" s="83" t="str">
        <x:v>经验反馈改进</x:v>
      </x:c>
      <x:c r="I9" s="83" t="str">
        <x:v>经验反馈改进</x:v>
      </x:c>
      <x:c r="J9" s="83" t="str">
        <x:v>PRJ-JS-经验-2025-002</x:v>
      </x:c>
      <x:c r="K9" s="83" t="str">
        <x:v>已签订</x:v>
      </x:c>
      <x:c r="L9" s="83" t="str">
        <x:v>XX能源集团</x:v>
      </x:c>
      <x:c r="M9" s="88" t="n">
        <x:v>0.06</x:v>
      </x:c>
      <x:c r="N9" s="81" t="n">
        <x:v>68.26</x:v>
      </x:c>
      <x:c r="O9" s="81" t="n">
        <x:v>64.4</x:v>
      </x:c>
      <x:c r="P9" s="81" t="n">
        <x:v>4.87</x:v>
      </x:c>
      <x:c r="Q9" s="83" t="str">
        <x:v>其中：</x:v>
      </x:c>
      <x:c r="R9" s="83" t="n">
        <x:v>5</x:v>
      </x:c>
      <x:c r="S9" s="81" t="n">
        <x:v>0.05</x:v>
      </x:c>
      <x:c r="T9" s="83" t="n">
        <x:v>60</x:v>
      </x:c>
      <x:c r="U9" s="81" t="n">
        <x:v>3.17</x:v>
      </x:c>
      <x:c r="V9" s="81" t="n">
        <x:v>1.7</x:v>
      </x:c>
      <x:c r="W9" s="81" t="n">
        <x:v>63.4</x:v>
      </x:c>
      <x:c r="X9" s="83" t="str">
        <x:v>其中：</x:v>
      </x:c>
      <x:c r="Y9" s="81" t="n">
        <x:v>0</x:v>
      </x:c>
      <x:c r="Z9" s="81" t="n">
        <x:v>0.16</x:v>
      </x:c>
      <x:c r="AA9" s="81" t="n">
        <x:v>0</x:v>
      </x:c>
      <x:c r="AB9" s="81" t="n">
        <x:v>0.08</x:v>
      </x:c>
      <x:c r="AC9" s="81" t="n">
        <x:v>0.08</x:v>
      </x:c>
      <x:c r="AD9" s="81" t="n">
        <x:v>0.06</x:v>
      </x:c>
      <x:c r="AE9" s="81" t="n">
        <x:v>0.24</x:v>
      </x:c>
      <x:c r="AF9" s="81" t="n">
        <x:v>0.49</x:v>
      </x:c>
      <x:c r="AG9" s="81" t="n">
        <x:v>4.06</x:v>
      </x:c>
      <x:c r="AH9" s="81" t="n">
        <x:v>0.16</x:v>
      </x:c>
      <x:c r="AI9" s="81" t="n">
        <x:v>0.05</x:v>
      </x:c>
      <x:c r="AJ9" s="81" t="n">
        <x:v>0</x:v>
      </x:c>
      <x:c r="AK9" s="81" t="n">
        <x:v>0</x:v>
      </x:c>
      <x:c r="AL9" s="81" t="n">
        <x:v>0</x:v>
      </x:c>
      <x:c r="AM9" s="81" t="n">
        <x:v>0</x:v>
      </x:c>
      <x:c r="AN9" s="81" t="n">
        <x:v>0</x:v>
      </x:c>
      <x:c r="AO9" s="81" t="n">
        <x:v>0</x:v>
      </x:c>
      <x:c r="AP9" s="89" t="n">
        <x:f>SUMIFS('09_初始申报_技术'!$O$2:$O$43,'09_初始申报_技术'!$A$2:$A$43,$A9,'09_初始申报_技术'!$L$2:$L$43,$J9)</x:f>
        <x:v>30</x:v>
      </x:c>
      <x:c r="AQ9" s="86" t="n">
        <x:f>SUMIFS('09_初始申报_技术'!$R$2:$R$43,'09_初始申报_技术'!$A$2:$A$43,$A9,'09_初始申报_技术'!$L$2:$L$43,$J9)</x:f>
        <x:v>61.5</x:v>
      </x:c>
      <x:c r="AR9" s="86" t="n">
        <x:f>SUMIFS('09_初始申报_技术'!$S$2:$S$43,'09_初始申报_技术'!$A$2:$A$43,$A9,'09_初始申报_技术'!$L$2:$L$43,$J9)</x:f>
        <x:v>58.02</x:v>
      </x:c>
      <x:c r="AS9" s="81" t="n">
        <x:v>68.27</x:v>
      </x:c>
      <x:c r="AT9" s="88" t="n">
        <x:v>1.06009316770186</x:v>
      </x:c>
      <x:c r="AU9" s="90" t="n">
        <x:f>IF(O9=0,0,AS9/O9)</x:f>
        <x:v>1.0600931677018632</x:v>
      </x:c>
      <x:c r="AV9" s="86" t="n">
        <x:f>AS9+AR9</x:f>
        <x:v>126.28999999999999</x:v>
      </x:c>
      <x:c r="AW9" s="90" t="n">
        <x:f>IF(O9=0,0,AV9/O9)</x:f>
        <x:v>1.9610248447204965</x:v>
      </x:c>
      <x:c r="AX9" s="90" t="n">
        <x:f>IF(O9=0,0,(O9-AV9)/O9)</x:f>
        <x:v>-0.9610248447204967</x:v>
      </x:c>
      <x:c r="AY9" s="62" t="str">
        <x:v>CNY</x:v>
      </x:c>
      <x:c r="AZ9" s="62" t="str">
        <x:v>万元</x:v>
      </x:c>
      <x:c r="BA9" s="62" t="str">
        <x:v>费用不含税；收入采用净额</x:v>
      </x:c>
      <x:c r="BB9" s="62" t="str">
        <x:v>2025年预算申报明细汇总.xlsx</x:v>
      </x:c>
      <x:c r="BC9" s="62" t="str">
        <x:v>市场项目预算明细</x:v>
      </x:c>
      <x:c r="BD9" s="62" t="n">
        <x:v>9</x:v>
      </x:c>
      <x:c r="BE9" s="62" t="str">
        <x:v>2025|PRJ-JS-经验-2025-002</x:v>
      </x:c>
      <x:c r="BF9" s="62" t="str">
        <x:f>IF(ABS(AT9-AU9)&lt;0.000001,"OK","FAIL")</x:f>
        <x:v>OK</x:v>
      </x:c>
      <x:c r="BG9" s="62" t="str">
        <x:f>IF(ABS(AW9+AX9-1)&lt;0.000001,"OK","FAIL")</x:f>
        <x:v>OK</x:v>
      </x:c>
    </x:row>
    <x:row r="10">
      <x:c r="A10" s="83" t="n">
        <x:v>2025</x:v>
      </x:c>
      <x:c r="B10" s="83" t="str">
        <x:v>FY2025-INITIAL-SUBMISSION-v1</x:v>
      </x:c>
      <x:c r="C10" s="83" t="str">
        <x:v>PROPOSAL</x:v>
      </x:c>
      <x:c r="D10" s="83" t="str">
        <x:v>INITIAL_SUBMITTED</x:v>
      </x:c>
      <x:c r="E10" s="84" t="n">
        <x:v>45596</x:v>
      </x:c>
      <x:c r="F10" s="83" t="str">
        <x:v>SOURCE</x:v>
      </x:c>
      <x:c r="G10" s="83" t="str">
        <x:v>技术部</x:v>
      </x:c>
      <x:c r="H10" s="83" t="str">
        <x:v>经验反馈改进</x:v>
      </x:c>
      <x:c r="I10" s="83" t="str">
        <x:v>经验反馈改进</x:v>
      </x:c>
      <x:c r="J10" s="83" t="str">
        <x:v>PRJ-JS-经验-2025-003</x:v>
      </x:c>
      <x:c r="K10" s="83" t="str">
        <x:v>已签订</x:v>
      </x:c>
      <x:c r="L10" s="83" t="str">
        <x:v>XX能源集团</x:v>
      </x:c>
      <x:c r="M10" s="88" t="n">
        <x:v>0.06</x:v>
      </x:c>
      <x:c r="N10" s="81" t="n">
        <x:v>63.92</x:v>
      </x:c>
      <x:c r="O10" s="81" t="n">
        <x:v>60.3</x:v>
      </x:c>
      <x:c r="P10" s="81" t="n">
        <x:v>4.56</x:v>
      </x:c>
      <x:c r="Q10" s="83" t="str">
        <x:v>其中：</x:v>
      </x:c>
      <x:c r="R10" s="83" t="n">
        <x:v>5</x:v>
      </x:c>
      <x:c r="S10" s="81" t="n">
        <x:v>0.05</x:v>
      </x:c>
      <x:c r="T10" s="83" t="n">
        <x:v>60</x:v>
      </x:c>
      <x:c r="U10" s="81" t="n">
        <x:v>2.96</x:v>
      </x:c>
      <x:c r="V10" s="81" t="n">
        <x:v>1.6</x:v>
      </x:c>
      <x:c r="W10" s="81" t="n">
        <x:v>67.04</x:v>
      </x:c>
      <x:c r="X10" s="83" t="str">
        <x:v>其中：</x:v>
      </x:c>
      <x:c r="Y10" s="81" t="n">
        <x:v>0</x:v>
      </x:c>
      <x:c r="Z10" s="81" t="n">
        <x:v>0.15</x:v>
      </x:c>
      <x:c r="AA10" s="81" t="n">
        <x:v>0</x:v>
      </x:c>
      <x:c r="AB10" s="81" t="n">
        <x:v>0.08</x:v>
      </x:c>
      <x:c r="AC10" s="81" t="n">
        <x:v>0.08</x:v>
      </x:c>
      <x:c r="AD10" s="81" t="n">
        <x:v>0.06</x:v>
      </x:c>
      <x:c r="AE10" s="81" t="n">
        <x:v>0.23</x:v>
      </x:c>
      <x:c r="AF10" s="81" t="n">
        <x:v>0.46</x:v>
      </x:c>
      <x:c r="AG10" s="81" t="n">
        <x:v>3.8</x:v>
      </x:c>
      <x:c r="AH10" s="81" t="n">
        <x:v>0.15</x:v>
      </x:c>
      <x:c r="AI10" s="81" t="n">
        <x:v>0.05</x:v>
      </x:c>
      <x:c r="AJ10" s="81" t="n">
        <x:v>0</x:v>
      </x:c>
      <x:c r="AK10" s="81" t="n">
        <x:v>0</x:v>
      </x:c>
      <x:c r="AL10" s="81" t="n">
        <x:v>0</x:v>
      </x:c>
      <x:c r="AM10" s="81" t="n">
        <x:v>0</x:v>
      </x:c>
      <x:c r="AN10" s="81" t="n">
        <x:v>0</x:v>
      </x:c>
      <x:c r="AO10" s="81" t="n">
        <x:v>0</x:v>
      </x:c>
      <x:c r="AP10" s="89" t="n">
        <x:f>SUMIFS('09_初始申报_技术'!$O$2:$O$43,'09_初始申报_技术'!$A$2:$A$43,$A10,'09_初始申报_技术'!$L$2:$L$43,$J10)</x:f>
        <x:v>30</x:v>
      </x:c>
      <x:c r="AQ10" s="86" t="n">
        <x:f>SUMIFS('09_初始申报_技术'!$R$2:$R$43,'09_初始申报_技术'!$A$2:$A$43,$A10,'09_初始申报_技术'!$L$2:$L$43,$J10)</x:f>
        <x:v>65.7</x:v>
      </x:c>
      <x:c r="AR10" s="86" t="n">
        <x:f>SUMIFS('09_初始申报_技术'!$S$2:$S$43,'09_初始申报_技术'!$A$2:$A$43,$A10,'09_初始申报_技术'!$L$2:$L$43,$J10)</x:f>
        <x:v>61.98</x:v>
      </x:c>
      <x:c r="AS10" s="81" t="n">
        <x:v>71.6</x:v>
      </x:c>
      <x:c r="AT10" s="88" t="n">
        <x:v>1.18739635157546</x:v>
      </x:c>
      <x:c r="AU10" s="90" t="n">
        <x:f>IF(O10=0,0,AS10/O10)</x:f>
        <x:v>1.187396351575456</x:v>
      </x:c>
      <x:c r="AV10" s="86" t="n">
        <x:f>AS10+AR10</x:f>
        <x:v>133.57999999999998</x:v>
      </x:c>
      <x:c r="AW10" s="90" t="n">
        <x:f>IF(O10=0,0,AV10/O10)</x:f>
        <x:v>2.2152570480928686</x:v>
      </x:c>
      <x:c r="AX10" s="90" t="n">
        <x:f>IF(O10=0,0,(O10-AV10)/O10)</x:f>
        <x:v>-1.2152570480928688</x:v>
      </x:c>
      <x:c r="AY10" s="62" t="str">
        <x:v>CNY</x:v>
      </x:c>
      <x:c r="AZ10" s="62" t="str">
        <x:v>万元</x:v>
      </x:c>
      <x:c r="BA10" s="62" t="str">
        <x:v>费用不含税；收入采用净额</x:v>
      </x:c>
      <x:c r="BB10" s="62" t="str">
        <x:v>2025年预算申报明细汇总.xlsx</x:v>
      </x:c>
      <x:c r="BC10" s="62" t="str">
        <x:v>市场项目预算明细</x:v>
      </x:c>
      <x:c r="BD10" s="62" t="n">
        <x:v>10</x:v>
      </x:c>
      <x:c r="BE10" s="62" t="str">
        <x:v>2025|PRJ-JS-经验-2025-003</x:v>
      </x:c>
      <x:c r="BF10" s="62" t="str">
        <x:f>IF(ABS(AT10-AU10)&lt;0.000001,"OK","FAIL")</x:f>
        <x:v>OK</x:v>
      </x:c>
      <x:c r="BG10" s="62" t="str">
        <x:f>IF(ABS(AW10+AX10-1)&lt;0.000001,"OK","FAIL")</x:f>
        <x:v>OK</x:v>
      </x:c>
    </x:row>
    <x:row r="11">
      <x:c r="A11" s="83" t="n">
        <x:v>2025</x:v>
      </x:c>
      <x:c r="B11" s="83" t="str">
        <x:v>FY2025-INITIAL-SUBMISSION-v1</x:v>
      </x:c>
      <x:c r="C11" s="83" t="str">
        <x:v>PROPOSAL</x:v>
      </x:c>
      <x:c r="D11" s="83" t="str">
        <x:v>INITIAL_SUBMITTED</x:v>
      </x:c>
      <x:c r="E11" s="84" t="n">
        <x:v>45596</x:v>
      </x:c>
      <x:c r="F11" s="83" t="str">
        <x:v>SOURCE</x:v>
      </x:c>
      <x:c r="G11" s="83" t="str">
        <x:v>技术部</x:v>
      </x:c>
      <x:c r="H11" s="83" t="str">
        <x:v>新技术应用</x:v>
      </x:c>
      <x:c r="I11" s="83" t="str">
        <x:v>新技术应用</x:v>
      </x:c>
      <x:c r="J11" s="83" t="str">
        <x:v>PRJ-JS-新技-2024-001</x:v>
      </x:c>
      <x:c r="K11" s="83" t="str">
        <x:v>已签订</x:v>
      </x:c>
      <x:c r="L11" s="83" t="str">
        <x:v>XX能源集团</x:v>
      </x:c>
      <x:c r="M11" s="88" t="n">
        <x:v>0.06</x:v>
      </x:c>
      <x:c r="N11" s="81" t="n">
        <x:v>60.84</x:v>
      </x:c>
      <x:c r="O11" s="81" t="n">
        <x:v>57.4</x:v>
      </x:c>
      <x:c r="P11" s="81" t="n">
        <x:v>4.34</x:v>
      </x:c>
      <x:c r="Q11" s="83" t="str">
        <x:v>其中：</x:v>
      </x:c>
      <x:c r="R11" s="83" t="n">
        <x:v>5</x:v>
      </x:c>
      <x:c r="S11" s="81" t="n">
        <x:v>0.05</x:v>
      </x:c>
      <x:c r="T11" s="83" t="n">
        <x:v>60</x:v>
      </x:c>
      <x:c r="U11" s="81" t="n">
        <x:v>2.82</x:v>
      </x:c>
      <x:c r="V11" s="81" t="n">
        <x:v>1.52</x:v>
      </x:c>
      <x:c r="W11" s="81" t="n">
        <x:v>114.83</x:v>
      </x:c>
      <x:c r="X11" s="83" t="str">
        <x:v>其中：</x:v>
      </x:c>
      <x:c r="Y11" s="81" t="n">
        <x:v>0</x:v>
      </x:c>
      <x:c r="Z11" s="81" t="n">
        <x:v>0.14</x:v>
      </x:c>
      <x:c r="AA11" s="81" t="n">
        <x:v>0</x:v>
      </x:c>
      <x:c r="AB11" s="81" t="n">
        <x:v>0.07</x:v>
      </x:c>
      <x:c r="AC11" s="81" t="n">
        <x:v>0.07</x:v>
      </x:c>
      <x:c r="AD11" s="81" t="n">
        <x:v>0.06</x:v>
      </x:c>
      <x:c r="AE11" s="81" t="n">
        <x:v>0.22</x:v>
      </x:c>
      <x:c r="AF11" s="81" t="n">
        <x:v>0.43</x:v>
      </x:c>
      <x:c r="AG11" s="81" t="n">
        <x:v>3.62</x:v>
      </x:c>
      <x:c r="AH11" s="81" t="n">
        <x:v>0.14</x:v>
      </x:c>
      <x:c r="AI11" s="81" t="n">
        <x:v>0.04</x:v>
      </x:c>
      <x:c r="AJ11" s="81" t="n">
        <x:v>0</x:v>
      </x:c>
      <x:c r="AK11" s="81" t="n">
        <x:v>0</x:v>
      </x:c>
      <x:c r="AL11" s="81" t="n">
        <x:v>0</x:v>
      </x:c>
      <x:c r="AM11" s="81" t="n">
        <x:v>0</x:v>
      </x:c>
      <x:c r="AN11" s="81" t="n">
        <x:v>0</x:v>
      </x:c>
      <x:c r="AO11" s="81" t="n">
        <x:v>0</x:v>
      </x:c>
      <x:c r="AP11" s="89" t="n">
        <x:f>SUMIFS('09_初始申报_技术'!$O$2:$O$43,'09_初始申报_技术'!$A$2:$A$43,$A11,'09_初始申报_技术'!$L$2:$L$43,$J11)</x:f>
        <x:v>36</x:v>
      </x:c>
      <x:c r="AQ11" s="86" t="n">
        <x:f>SUMIFS('09_初始申报_技术'!$R$2:$R$43,'09_初始申报_技术'!$A$2:$A$43,$A11,'09_初始申报_技术'!$L$2:$L$43,$J11)</x:f>
        <x:v>116.64</x:v>
      </x:c>
      <x:c r="AR11" s="86" t="n">
        <x:f>SUMIFS('09_初始申报_技术'!$S$2:$S$43,'09_初始申报_技术'!$A$2:$A$43,$A11,'09_初始申报_技术'!$L$2:$L$43,$J11)</x:f>
        <x:v>110.04</x:v>
      </x:c>
      <x:c r="AS11" s="81" t="n">
        <x:v>119.17</x:v>
      </x:c>
      <x:c r="AT11" s="88" t="n">
        <x:v>2.07613240418118</x:v>
      </x:c>
      <x:c r="AU11" s="90" t="n">
        <x:f>IF(O11=0,0,AS11/O11)</x:f>
        <x:v>2.076132404181185</x:v>
      </x:c>
      <x:c r="AV11" s="86" t="n">
        <x:f>AS11+AR11</x:f>
        <x:v>229.21</x:v>
      </x:c>
      <x:c r="AW11" s="90" t="n">
        <x:f>IF(O11=0,0,AV11/O11)</x:f>
        <x:v>3.993205574912892</x:v>
      </x:c>
      <x:c r="AX11" s="90" t="n">
        <x:f>IF(O11=0,0,(O11-AV11)/O11)</x:f>
        <x:v>-2.993205574912892</x:v>
      </x:c>
      <x:c r="AY11" s="62" t="str">
        <x:v>CNY</x:v>
      </x:c>
      <x:c r="AZ11" s="62" t="str">
        <x:v>万元</x:v>
      </x:c>
      <x:c r="BA11" s="62" t="str">
        <x:v>费用不含税；收入采用净额</x:v>
      </x:c>
      <x:c r="BB11" s="62" t="str">
        <x:v>2025年预算申报明细汇总.xlsx</x:v>
      </x:c>
      <x:c r="BC11" s="62" t="str">
        <x:v>市场项目预算明细</x:v>
      </x:c>
      <x:c r="BD11" s="62" t="n">
        <x:v>11</x:v>
      </x:c>
      <x:c r="BE11" s="62" t="str">
        <x:v>2025|PRJ-JS-新技-2024-001</x:v>
      </x:c>
      <x:c r="BF11" s="62" t="str">
        <x:f>IF(ABS(AT11-AU11)&lt;0.000001,"OK","FAIL")</x:f>
        <x:v>OK</x:v>
      </x:c>
      <x:c r="BG11" s="62" t="str">
        <x:f>IF(ABS(AW11+AX11-1)&lt;0.000001,"OK","FAIL")</x:f>
        <x:v>OK</x:v>
      </x:c>
    </x:row>
    <x:row r="12">
      <x:c r="A12" s="83" t="n">
        <x:v>2025</x:v>
      </x:c>
      <x:c r="B12" s="83" t="str">
        <x:v>FY2025-INITIAL-SUBMISSION-v1</x:v>
      </x:c>
      <x:c r="C12" s="83" t="str">
        <x:v>PROPOSAL</x:v>
      </x:c>
      <x:c r="D12" s="83" t="str">
        <x:v>INITIAL_SUBMITTED</x:v>
      </x:c>
      <x:c r="E12" s="84" t="n">
        <x:v>45596</x:v>
      </x:c>
      <x:c r="F12" s="83" t="str">
        <x:v>SOURCE</x:v>
      </x:c>
      <x:c r="G12" s="83" t="str">
        <x:v>技术部</x:v>
      </x:c>
      <x:c r="H12" s="83" t="str">
        <x:v>新技术应用</x:v>
      </x:c>
      <x:c r="I12" s="83" t="str">
        <x:v>新技术应用</x:v>
      </x:c>
      <x:c r="J12" s="83" t="str">
        <x:v>PRJ-JS-新技-2025-002</x:v>
      </x:c>
      <x:c r="K12" s="83" t="str">
        <x:v>已签订</x:v>
      </x:c>
      <x:c r="L12" s="83" t="str">
        <x:v>XX能源集团</x:v>
      </x:c>
      <x:c r="M12" s="88" t="n">
        <x:v>0.06</x:v>
      </x:c>
      <x:c r="N12" s="81" t="n">
        <x:v>72.93</x:v>
      </x:c>
      <x:c r="O12" s="81" t="n">
        <x:v>68.8</x:v>
      </x:c>
      <x:c r="P12" s="81" t="n">
        <x:v>5.2</x:v>
      </x:c>
      <x:c r="Q12" s="83" t="str">
        <x:v>其中：</x:v>
      </x:c>
      <x:c r="R12" s="83" t="n">
        <x:v>5</x:v>
      </x:c>
      <x:c r="S12" s="81" t="n">
        <x:v>0.06</x:v>
      </x:c>
      <x:c r="T12" s="83" t="n">
        <x:v>60</x:v>
      </x:c>
      <x:c r="U12" s="81" t="n">
        <x:v>3.38</x:v>
      </x:c>
      <x:c r="V12" s="81" t="n">
        <x:v>1.82</x:v>
      </x:c>
      <x:c r="W12" s="81" t="n">
        <x:v>105.26</x:v>
      </x:c>
      <x:c r="X12" s="83" t="str">
        <x:v>其中：</x:v>
      </x:c>
      <x:c r="Y12" s="81" t="n">
        <x:v>0</x:v>
      </x:c>
      <x:c r="Z12" s="81" t="n">
        <x:v>0.17</x:v>
      </x:c>
      <x:c r="AA12" s="81" t="n">
        <x:v>0</x:v>
      </x:c>
      <x:c r="AB12" s="81" t="n">
        <x:v>0.09</x:v>
      </x:c>
      <x:c r="AC12" s="81" t="n">
        <x:v>0.09</x:v>
      </x:c>
      <x:c r="AD12" s="81" t="n">
        <x:v>0.07</x:v>
      </x:c>
      <x:c r="AE12" s="81" t="n">
        <x:v>0.26</x:v>
      </x:c>
      <x:c r="AF12" s="81" t="n">
        <x:v>0.52</x:v>
      </x:c>
      <x:c r="AG12" s="81" t="n">
        <x:v>4.33</x:v>
      </x:c>
      <x:c r="AH12" s="81" t="n">
        <x:v>0.17</x:v>
      </x:c>
      <x:c r="AI12" s="81" t="n">
        <x:v>0.05</x:v>
      </x:c>
      <x:c r="AJ12" s="81" t="n">
        <x:v>0</x:v>
      </x:c>
      <x:c r="AK12" s="81" t="n">
        <x:v>0</x:v>
      </x:c>
      <x:c r="AL12" s="81" t="n">
        <x:v>0</x:v>
      </x:c>
      <x:c r="AM12" s="81" t="n">
        <x:v>0</x:v>
      </x:c>
      <x:c r="AN12" s="81" t="n">
        <x:v>0</x:v>
      </x:c>
      <x:c r="AO12" s="81" t="n">
        <x:v>0</x:v>
      </x:c>
      <x:c r="AP12" s="89" t="n">
        <x:f>SUMIFS('09_初始申报_技术'!$O$2:$O$43,'09_初始申报_技术'!$A$2:$A$43,$A12,'09_初始申报_技术'!$L$2:$L$43,$J12)</x:f>
        <x:v>36</x:v>
      </x:c>
      <x:c r="AQ12" s="86" t="n">
        <x:f>SUMIFS('09_初始申报_技术'!$R$2:$R$43,'09_初始申报_技术'!$A$2:$A$43,$A12,'09_初始申报_技术'!$L$2:$L$43,$J12)</x:f>
        <x:v>105.48</x:v>
      </x:c>
      <x:c r="AR12" s="86" t="n">
        <x:f>SUMIFS('09_初始申报_技术'!$S$2:$S$43,'09_初始申报_技术'!$A$2:$A$43,$A12,'09_初始申报_技术'!$L$2:$L$43,$J12)</x:f>
        <x:v>99.51</x:v>
      </x:c>
      <x:c r="AS12" s="81" t="n">
        <x:v>110.46</x:v>
      </x:c>
      <x:c r="AT12" s="88" t="n">
        <x:v>1.60552325581395</x:v>
      </x:c>
      <x:c r="AU12" s="90" t="n">
        <x:f>IF(O12=0,0,AS12/O12)</x:f>
        <x:v>1.6055232558139534</x:v>
      </x:c>
      <x:c r="AV12" s="86" t="n">
        <x:f>AS12+AR12</x:f>
        <x:v>209.97</x:v>
      </x:c>
      <x:c r="AW12" s="90" t="n">
        <x:f>IF(O12=0,0,AV12/O12)</x:f>
        <x:v>3.051889534883721</x:v>
      </x:c>
      <x:c r="AX12" s="90" t="n">
        <x:f>IF(O12=0,0,(O12-AV12)/O12)</x:f>
        <x:v>-2.0518895348837214</x:v>
      </x:c>
      <x:c r="AY12" s="62" t="str">
        <x:v>CNY</x:v>
      </x:c>
      <x:c r="AZ12" s="62" t="str">
        <x:v>万元</x:v>
      </x:c>
      <x:c r="BA12" s="62" t="str">
        <x:v>费用不含税；收入采用净额</x:v>
      </x:c>
      <x:c r="BB12" s="62" t="str">
        <x:v>2025年预算申报明细汇总.xlsx</x:v>
      </x:c>
      <x:c r="BC12" s="62" t="str">
        <x:v>市场项目预算明细</x:v>
      </x:c>
      <x:c r="BD12" s="62" t="n">
        <x:v>12</x:v>
      </x:c>
      <x:c r="BE12" s="62" t="str">
        <x:v>2025|PRJ-JS-新技-2025-002</x:v>
      </x:c>
      <x:c r="BF12" s="62" t="str">
        <x:f>IF(ABS(AT12-AU12)&lt;0.000001,"OK","FAIL")</x:f>
        <x:v>OK</x:v>
      </x:c>
      <x:c r="BG12" s="62" t="str">
        <x:f>IF(ABS(AW12+AX12-1)&lt;0.000001,"OK","FAIL")</x:f>
        <x:v>OK</x:v>
      </x:c>
    </x:row>
    <x:row r="13">
      <x:c r="A13" s="83" t="n">
        <x:v>2025</x:v>
      </x:c>
      <x:c r="B13" s="83" t="str">
        <x:v>FY2025-INITIAL-SUBMISSION-v1</x:v>
      </x:c>
      <x:c r="C13" s="83" t="str">
        <x:v>PROPOSAL</x:v>
      </x:c>
      <x:c r="D13" s="83" t="str">
        <x:v>INITIAL_SUBMITTED</x:v>
      </x:c>
      <x:c r="E13" s="84" t="n">
        <x:v>45596</x:v>
      </x:c>
      <x:c r="F13" s="83" t="str">
        <x:v>SOURCE</x:v>
      </x:c>
      <x:c r="G13" s="83" t="str">
        <x:v>技术部</x:v>
      </x:c>
      <x:c r="H13" s="83" t="str">
        <x:v>新技术应用</x:v>
      </x:c>
      <x:c r="I13" s="83" t="str">
        <x:v>新技术应用</x:v>
      </x:c>
      <x:c r="J13" s="83" t="str">
        <x:v>PRJ-JS-新技-2025-003</x:v>
      </x:c>
      <x:c r="K13" s="83" t="str">
        <x:v>已签订</x:v>
      </x:c>
      <x:c r="L13" s="83" t="str">
        <x:v>XX能源集团</x:v>
      </x:c>
      <x:c r="M13" s="88" t="n">
        <x:v>0.06</x:v>
      </x:c>
      <x:c r="N13" s="81" t="n">
        <x:v>56.18</x:v>
      </x:c>
      <x:c r="O13" s="81" t="n">
        <x:v>53</x:v>
      </x:c>
      <x:c r="P13" s="81" t="n">
        <x:v>4.01</x:v>
      </x:c>
      <x:c r="Q13" s="83" t="str">
        <x:v>其中：</x:v>
      </x:c>
      <x:c r="R13" s="83" t="n">
        <x:v>5</x:v>
      </x:c>
      <x:c r="S13" s="81" t="n">
        <x:v>0.04</x:v>
      </x:c>
      <x:c r="T13" s="83" t="n">
        <x:v>60</x:v>
      </x:c>
      <x:c r="U13" s="81" t="n">
        <x:v>2.61</x:v>
      </x:c>
      <x:c r="V13" s="81" t="n">
        <x:v>1.4</x:v>
      </x:c>
      <x:c r="W13" s="81" t="n">
        <x:v>101.56</x:v>
      </x:c>
      <x:c r="X13" s="83" t="str">
        <x:v>其中：</x:v>
      </x:c>
      <x:c r="Y13" s="81" t="n">
        <x:v>0</x:v>
      </x:c>
      <x:c r="Z13" s="81" t="n">
        <x:v>0.13</x:v>
      </x:c>
      <x:c r="AA13" s="81" t="n">
        <x:v>0</x:v>
      </x:c>
      <x:c r="AB13" s="81" t="n">
        <x:v>0.07</x:v>
      </x:c>
      <x:c r="AC13" s="81" t="n">
        <x:v>0.07</x:v>
      </x:c>
      <x:c r="AD13" s="81" t="n">
        <x:v>0.05</x:v>
      </x:c>
      <x:c r="AE13" s="81" t="n">
        <x:v>0.2</x:v>
      </x:c>
      <x:c r="AF13" s="81" t="n">
        <x:v>0.4</x:v>
      </x:c>
      <x:c r="AG13" s="81" t="n">
        <x:v>3.34</x:v>
      </x:c>
      <x:c r="AH13" s="81" t="n">
        <x:v>0.13</x:v>
      </x:c>
      <x:c r="AI13" s="81" t="n">
        <x:v>0.04</x:v>
      </x:c>
      <x:c r="AJ13" s="81" t="n">
        <x:v>0</x:v>
      </x:c>
      <x:c r="AK13" s="81" t="n">
        <x:v>0</x:v>
      </x:c>
      <x:c r="AL13" s="81" t="n">
        <x:v>0</x:v>
      </x:c>
      <x:c r="AM13" s="81" t="n">
        <x:v>0</x:v>
      </x:c>
      <x:c r="AN13" s="81" t="n">
        <x:v>0</x:v>
      </x:c>
      <x:c r="AO13" s="81" t="n">
        <x:v>0</x:v>
      </x:c>
      <x:c r="AP13" s="89" t="n">
        <x:f>SUMIFS('09_初始申报_技术'!$O$2:$O$43,'09_初始申报_技术'!$A$2:$A$43,$A13,'09_初始申报_技术'!$L$2:$L$43,$J13)</x:f>
        <x:v>36</x:v>
      </x:c>
      <x:c r="AQ13" s="86" t="n">
        <x:f>SUMIFS('09_初始申报_技术'!$R$2:$R$43,'09_初始申报_技术'!$A$2:$A$43,$A13,'09_初始申报_技术'!$L$2:$L$43,$J13)</x:f>
        <x:v>102.96</x:v>
      </x:c>
      <x:c r="AR13" s="86" t="n">
        <x:f>SUMIFS('09_初始申报_技术'!$S$2:$S$43,'09_初始申报_技术'!$A$2:$A$43,$A13,'09_初始申报_技术'!$L$2:$L$43,$J13)</x:f>
        <x:v>97.13</x:v>
      </x:c>
      <x:c r="AS13" s="81" t="n">
        <x:v>105.57</x:v>
      </x:c>
      <x:c r="AT13" s="88" t="n">
        <x:v>1.99188679245283</x:v>
      </x:c>
      <x:c r="AU13" s="90" t="n">
        <x:f>IF(O13=0,0,AS13/O13)</x:f>
        <x:v>1.99188679245283</x:v>
      </x:c>
      <x:c r="AV13" s="86" t="n">
        <x:f>AS13+AR13</x:f>
        <x:v>202.7</x:v>
      </x:c>
      <x:c r="AW13" s="90" t="n">
        <x:f>IF(O13=0,0,AV13/O13)</x:f>
        <x:v>3.8245283018867924</x:v>
      </x:c>
      <x:c r="AX13" s="90" t="n">
        <x:f>IF(O13=0,0,(O13-AV13)/O13)</x:f>
        <x:v>-2.8245283018867924</x:v>
      </x:c>
      <x:c r="AY13" s="62" t="str">
        <x:v>CNY</x:v>
      </x:c>
      <x:c r="AZ13" s="62" t="str">
        <x:v>万元</x:v>
      </x:c>
      <x:c r="BA13" s="62" t="str">
        <x:v>费用不含税；收入采用净额</x:v>
      </x:c>
      <x:c r="BB13" s="62" t="str">
        <x:v>2025年预算申报明细汇总.xlsx</x:v>
      </x:c>
      <x:c r="BC13" s="62" t="str">
        <x:v>市场项目预算明细</x:v>
      </x:c>
      <x:c r="BD13" s="62" t="n">
        <x:v>13</x:v>
      </x:c>
      <x:c r="BE13" s="62" t="str">
        <x:v>2025|PRJ-JS-新技-2025-003</x:v>
      </x:c>
      <x:c r="BF13" s="62" t="str">
        <x:f>IF(ABS(AT13-AU13)&lt;0.000001,"OK","FAIL")</x:f>
        <x:v>OK</x:v>
      </x:c>
      <x:c r="BG13" s="62" t="str">
        <x:f>IF(ABS(AW13+AX13-1)&lt;0.000001,"OK","FAIL")</x:f>
        <x:v>OK</x:v>
      </x:c>
    </x:row>
    <x:row r="14">
      <x:c r="A14" s="83" t="n">
        <x:v>2025</x:v>
      </x:c>
      <x:c r="B14" s="83" t="str">
        <x:v>FY2025-INITIAL-SUBMISSION-v1</x:v>
      </x:c>
      <x:c r="C14" s="83" t="str">
        <x:v>PROPOSAL</x:v>
      </x:c>
      <x:c r="D14" s="83" t="str">
        <x:v>INITIAL_SUBMITTED</x:v>
      </x:c>
      <x:c r="E14" s="84" t="n">
        <x:v>45596</x:v>
      </x:c>
      <x:c r="F14" s="83" t="str">
        <x:v>SOURCE</x:v>
      </x:c>
      <x:c r="G14" s="83" t="str">
        <x:v>安全运行部</x:v>
      </x:c>
      <x:c r="H14" s="83" t="str">
        <x:v>概率安全分析</x:v>
      </x:c>
      <x:c r="I14" s="83" t="str">
        <x:v>概率安全分析</x:v>
      </x:c>
      <x:c r="J14" s="83" t="str">
        <x:v>PRJ-AQ-概率-2024-001</x:v>
      </x:c>
      <x:c r="K14" s="83" t="str">
        <x:v>已签订</x:v>
      </x:c>
      <x:c r="L14" s="83" t="str">
        <x:v>XX能源集团</x:v>
      </x:c>
      <x:c r="M14" s="88" t="n">
        <x:v>0.06</x:v>
      </x:c>
      <x:c r="N14" s="81" t="n">
        <x:v>43.99</x:v>
      </x:c>
      <x:c r="O14" s="81" t="n">
        <x:v>41.5</x:v>
      </x:c>
      <x:c r="P14" s="81" t="n">
        <x:v>4.79</x:v>
      </x:c>
      <x:c r="Q14" s="83" t="str">
        <x:v>其中：</x:v>
      </x:c>
      <x:c r="R14" s="83" t="n">
        <x:v>5</x:v>
      </x:c>
      <x:c r="S14" s="81" t="n">
        <x:v>0.05</x:v>
      </x:c>
      <x:c r="T14" s="83" t="n">
        <x:v>60</x:v>
      </x:c>
      <x:c r="U14" s="81" t="n">
        <x:v>3.11</x:v>
      </x:c>
      <x:c r="V14" s="81" t="n">
        <x:v>1.68</x:v>
      </x:c>
      <x:c r="W14" s="81" t="n">
        <x:v>44.25</x:v>
      </x:c>
      <x:c r="X14" s="83" t="str">
        <x:v>其中：</x:v>
      </x:c>
      <x:c r="Y14" s="81" t="n">
        <x:v>0</x:v>
      </x:c>
      <x:c r="Z14" s="81" t="n">
        <x:v>0.16</x:v>
      </x:c>
      <x:c r="AA14" s="81" t="n">
        <x:v>0</x:v>
      </x:c>
      <x:c r="AB14" s="81" t="n">
        <x:v>0.08</x:v>
      </x:c>
      <x:c r="AC14" s="81" t="n">
        <x:v>0.08</x:v>
      </x:c>
      <x:c r="AD14" s="81" t="n">
        <x:v>0.06</x:v>
      </x:c>
      <x:c r="AE14" s="81" t="n">
        <x:v>0.24</x:v>
      </x:c>
      <x:c r="AF14" s="81" t="n">
        <x:v>0.48</x:v>
      </x:c>
      <x:c r="AG14" s="81" t="n">
        <x:v>4</x:v>
      </x:c>
      <x:c r="AH14" s="81" t="n">
        <x:v>0.16</x:v>
      </x:c>
      <x:c r="AI14" s="81" t="n">
        <x:v>0.05</x:v>
      </x:c>
      <x:c r="AJ14" s="81" t="n">
        <x:v>0</x:v>
      </x:c>
      <x:c r="AK14" s="81" t="n">
        <x:v>0</x:v>
      </x:c>
      <x:c r="AL14" s="81" t="n">
        <x:v>0</x:v>
      </x:c>
      <x:c r="AM14" s="81" t="n">
        <x:v>0</x:v>
      </x:c>
      <x:c r="AN14" s="81" t="n">
        <x:v>0</x:v>
      </x:c>
      <x:c r="AO14" s="81" t="n">
        <x:v>0</x:v>
      </x:c>
      <x:c r="AP14" s="89" t="n">
        <x:f>SUMIFS('09_初始申报_技术'!$O$2:$O$43,'09_初始申报_技术'!$A$2:$A$43,$A14,'09_初始申报_技术'!$L$2:$L$43,$J14)</x:f>
        <x:v>24</x:v>
      </x:c>
      <x:c r="AQ14" s="86" t="n">
        <x:f>SUMIFS('09_初始申报_技术'!$R$2:$R$43,'09_初始申报_技术'!$A$2:$A$43,$A14,'09_初始申报_技术'!$L$2:$L$43,$J14)</x:f>
        <x:v>41.28</x:v>
      </x:c>
      <x:c r="AR14" s="86" t="n">
        <x:f>SUMIFS('09_初始申报_技术'!$S$2:$S$43,'09_初始申报_技术'!$A$2:$A$43,$A14,'09_初始申报_技术'!$L$2:$L$43,$J14)</x:f>
        <x:v>38.94</x:v>
      </x:c>
      <x:c r="AS14" s="81" t="n">
        <x:v>49.04</x:v>
      </x:c>
      <x:c r="AT14" s="88" t="n">
        <x:v>1.18168674698795</x:v>
      </x:c>
      <x:c r="AU14" s="90" t="n">
        <x:f>IF(O14=0,0,AS14/O14)</x:f>
        <x:v>1.1816867469879517</x:v>
      </x:c>
      <x:c r="AV14" s="86" t="n">
        <x:f>AS14+AR14</x:f>
        <x:v>87.97999999999999</x:v>
      </x:c>
      <x:c r="AW14" s="90" t="n">
        <x:f>IF(O14=0,0,AV14/O14)</x:f>
        <x:v>2.1199999999999997</x:v>
      </x:c>
      <x:c r="AX14" s="90" t="n">
        <x:f>IF(O14=0,0,(O14-AV14)/O14)</x:f>
        <x:v>-1.1199999999999997</x:v>
      </x:c>
      <x:c r="AY14" s="62" t="str">
        <x:v>CNY</x:v>
      </x:c>
      <x:c r="AZ14" s="62" t="str">
        <x:v>万元</x:v>
      </x:c>
      <x:c r="BA14" s="62" t="str">
        <x:v>费用不含税；收入采用净额</x:v>
      </x:c>
      <x:c r="BB14" s="62" t="str">
        <x:v>2025年预算申报明细汇总.xlsx</x:v>
      </x:c>
      <x:c r="BC14" s="62" t="str">
        <x:v>市场项目预算明细</x:v>
      </x:c>
      <x:c r="BD14" s="62" t="n">
        <x:v>14</x:v>
      </x:c>
      <x:c r="BE14" s="62" t="str">
        <x:v>2025|PRJ-AQ-概率-2024-001</x:v>
      </x:c>
      <x:c r="BF14" s="62" t="str">
        <x:f>IF(ABS(AT14-AU14)&lt;0.000001,"OK","FAIL")</x:f>
        <x:v>OK</x:v>
      </x:c>
      <x:c r="BG14" s="62" t="str">
        <x:f>IF(ABS(AW14+AX14-1)&lt;0.000001,"OK","FAIL")</x:f>
        <x:v>OK</x:v>
      </x:c>
    </x:row>
    <x:row r="15">
      <x:c r="A15" s="83" t="n">
        <x:v>2025</x:v>
      </x:c>
      <x:c r="B15" s="83" t="str">
        <x:v>FY2025-INITIAL-SUBMISSION-v1</x:v>
      </x:c>
      <x:c r="C15" s="83" t="str">
        <x:v>PROPOSAL</x:v>
      </x:c>
      <x:c r="D15" s="83" t="str">
        <x:v>INITIAL_SUBMITTED</x:v>
      </x:c>
      <x:c r="E15" s="84" t="n">
        <x:v>45596</x:v>
      </x:c>
      <x:c r="F15" s="83" t="str">
        <x:v>SOURCE</x:v>
      </x:c>
      <x:c r="G15" s="83" t="str">
        <x:v>安全运行部</x:v>
      </x:c>
      <x:c r="H15" s="83" t="str">
        <x:v>概率安全分析</x:v>
      </x:c>
      <x:c r="I15" s="83" t="str">
        <x:v>概率安全分析</x:v>
      </x:c>
      <x:c r="J15" s="83" t="str">
        <x:v>PRJ-AQ-概率-2025-002</x:v>
      </x:c>
      <x:c r="K15" s="83" t="str">
        <x:v>已签订</x:v>
      </x:c>
      <x:c r="L15" s="83" t="str">
        <x:v>XX能源集团</x:v>
      </x:c>
      <x:c r="M15" s="88" t="n">
        <x:v>0.06</x:v>
      </x:c>
      <x:c r="N15" s="81" t="n">
        <x:v>53.21</x:v>
      </x:c>
      <x:c r="O15" s="81" t="n">
        <x:v>50.2</x:v>
      </x:c>
      <x:c r="P15" s="81" t="n">
        <x:v>5.8</x:v>
      </x:c>
      <x:c r="Q15" s="83" t="str">
        <x:v>其中：</x:v>
      </x:c>
      <x:c r="R15" s="83" t="n">
        <x:v>5</x:v>
      </x:c>
      <x:c r="S15" s="81" t="n">
        <x:v>0.06</x:v>
      </x:c>
      <x:c r="T15" s="83" t="n">
        <x:v>60</x:v>
      </x:c>
      <x:c r="U15" s="81" t="n">
        <x:v>3.77</x:v>
      </x:c>
      <x:c r="V15" s="81" t="n">
        <x:v>2.03</x:v>
      </x:c>
      <x:c r="W15" s="81" t="n">
        <x:v>50.8</x:v>
      </x:c>
      <x:c r="X15" s="83" t="str">
        <x:v>其中：</x:v>
      </x:c>
      <x:c r="Y15" s="81" t="n">
        <x:v>0</x:v>
      </x:c>
      <x:c r="Z15" s="81" t="n">
        <x:v>0.19</x:v>
      </x:c>
      <x:c r="AA15" s="81" t="n">
        <x:v>0</x:v>
      </x:c>
      <x:c r="AB15" s="81" t="n">
        <x:v>0.1</x:v>
      </x:c>
      <x:c r="AC15" s="81" t="n">
        <x:v>0.1</x:v>
      </x:c>
      <x:c r="AD15" s="81" t="n">
        <x:v>0.08</x:v>
      </x:c>
      <x:c r="AE15" s="81" t="n">
        <x:v>0.29</x:v>
      </x:c>
      <x:c r="AF15" s="81" t="n">
        <x:v>0.58</x:v>
      </x:c>
      <x:c r="AG15" s="81" t="n">
        <x:v>4.83</x:v>
      </x:c>
      <x:c r="AH15" s="81" t="n">
        <x:v>0.19</x:v>
      </x:c>
      <x:c r="AI15" s="81" t="n">
        <x:v>0.06</x:v>
      </x:c>
      <x:c r="AJ15" s="81" t="n">
        <x:v>0</x:v>
      </x:c>
      <x:c r="AK15" s="81" t="n">
        <x:v>0</x:v>
      </x:c>
      <x:c r="AL15" s="81" t="n">
        <x:v>0</x:v>
      </x:c>
      <x:c r="AM15" s="81" t="n">
        <x:v>0</x:v>
      </x:c>
      <x:c r="AN15" s="81" t="n">
        <x:v>0</x:v>
      </x:c>
      <x:c r="AO15" s="81" t="n">
        <x:v>0</x:v>
      </x:c>
      <x:c r="AP15" s="89" t="n">
        <x:f>SUMIFS('09_初始申报_技术'!$O$2:$O$43,'09_初始申报_技术'!$A$2:$A$43,$A15,'09_初始申报_技术'!$L$2:$L$43,$J15)</x:f>
        <x:v>24</x:v>
      </x:c>
      <x:c r="AQ15" s="86" t="n">
        <x:f>SUMIFS('09_初始申报_技术'!$R$2:$R$43,'09_初始申报_技术'!$A$2:$A$43,$A15,'09_初始申报_技术'!$L$2:$L$43,$J15)</x:f>
        <x:v>47.04</x:v>
      </x:c>
      <x:c r="AR15" s="86" t="n">
        <x:f>SUMIFS('09_初始申报_技术'!$S$2:$S$43,'09_初始申报_技术'!$A$2:$A$43,$A15,'09_初始申报_技术'!$L$2:$L$43,$J15)</x:f>
        <x:v>44.38</x:v>
      </x:c>
      <x:c r="AS15" s="81" t="n">
        <x:v>56.6</x:v>
      </x:c>
      <x:c r="AT15" s="88" t="n">
        <x:v>1.12749003984064</x:v>
      </x:c>
      <x:c r="AU15" s="90" t="n">
        <x:f>IF(O15=0,0,AS15/O15)</x:f>
        <x:v>1.1274900398406373</x:v>
      </x:c>
      <x:c r="AV15" s="86" t="n">
        <x:f>AS15+AR15</x:f>
        <x:v>100.98</x:v>
      </x:c>
      <x:c r="AW15" s="90" t="n">
        <x:f>IF(O15=0,0,AV15/O15)</x:f>
        <x:v>2.0115537848605576</x:v>
      </x:c>
      <x:c r="AX15" s="90" t="n">
        <x:f>IF(O15=0,0,(O15-AV15)/O15)</x:f>
        <x:v>-1.0115537848605578</x:v>
      </x:c>
      <x:c r="AY15" s="62" t="str">
        <x:v>CNY</x:v>
      </x:c>
      <x:c r="AZ15" s="62" t="str">
        <x:v>万元</x:v>
      </x:c>
      <x:c r="BA15" s="62" t="str">
        <x:v>费用不含税；收入采用净额</x:v>
      </x:c>
      <x:c r="BB15" s="62" t="str">
        <x:v>2025年预算申报明细汇总.xlsx</x:v>
      </x:c>
      <x:c r="BC15" s="62" t="str">
        <x:v>市场项目预算明细</x:v>
      </x:c>
      <x:c r="BD15" s="62" t="n">
        <x:v>15</x:v>
      </x:c>
      <x:c r="BE15" s="62" t="str">
        <x:v>2025|PRJ-AQ-概率-2025-002</x:v>
      </x:c>
      <x:c r="BF15" s="62" t="str">
        <x:f>IF(ABS(AT15-AU15)&lt;0.000001,"OK","FAIL")</x:f>
        <x:v>OK</x:v>
      </x:c>
      <x:c r="BG15" s="62" t="str">
        <x:f>IF(ABS(AW15+AX15-1)&lt;0.000001,"OK","FAIL")</x:f>
        <x:v>OK</x:v>
      </x:c>
    </x:row>
    <x:row r="16">
      <x:c r="A16" s="83" t="n">
        <x:v>2025</x:v>
      </x:c>
      <x:c r="B16" s="83" t="str">
        <x:v>FY2025-INITIAL-SUBMISSION-v1</x:v>
      </x:c>
      <x:c r="C16" s="83" t="str">
        <x:v>PROPOSAL</x:v>
      </x:c>
      <x:c r="D16" s="83" t="str">
        <x:v>INITIAL_SUBMITTED</x:v>
      </x:c>
      <x:c r="E16" s="84" t="n">
        <x:v>45596</x:v>
      </x:c>
      <x:c r="F16" s="83" t="str">
        <x:v>SOURCE</x:v>
      </x:c>
      <x:c r="G16" s="83" t="str">
        <x:v>安全运行部</x:v>
      </x:c>
      <x:c r="H16" s="83" t="str">
        <x:v>概率安全分析</x:v>
      </x:c>
      <x:c r="I16" s="83" t="str">
        <x:v>概率安全分析</x:v>
      </x:c>
      <x:c r="J16" s="83" t="str">
        <x:v>PRJ-AQ-概率-2025-003</x:v>
      </x:c>
      <x:c r="K16" s="83" t="str">
        <x:v>已签订</x:v>
      </x:c>
      <x:c r="L16" s="83" t="str">
        <x:v>XX能源集团</x:v>
      </x:c>
      <x:c r="M16" s="88" t="n">
        <x:v>0.06</x:v>
      </x:c>
      <x:c r="N16" s="81" t="n">
        <x:v>43.88</x:v>
      </x:c>
      <x:c r="O16" s="81" t="n">
        <x:v>41.4</x:v>
      </x:c>
      <x:c r="P16" s="81" t="n">
        <x:v>4.78</x:v>
      </x:c>
      <x:c r="Q16" s="83" t="str">
        <x:v>其中：</x:v>
      </x:c>
      <x:c r="R16" s="83" t="n">
        <x:v>5</x:v>
      </x:c>
      <x:c r="S16" s="81" t="n">
        <x:v>0.05</x:v>
      </x:c>
      <x:c r="T16" s="83" t="n">
        <x:v>60</x:v>
      </x:c>
      <x:c r="U16" s="81" t="n">
        <x:v>3.11</x:v>
      </x:c>
      <x:c r="V16" s="81" t="n">
        <x:v>1.67</x:v>
      </x:c>
      <x:c r="W16" s="81" t="n">
        <x:v>47.4</x:v>
      </x:c>
      <x:c r="X16" s="83" t="str">
        <x:v>其中：</x:v>
      </x:c>
      <x:c r="Y16" s="81" t="n">
        <x:v>0</x:v>
      </x:c>
      <x:c r="Z16" s="81" t="n">
        <x:v>0.16</x:v>
      </x:c>
      <x:c r="AA16" s="81" t="n">
        <x:v>0</x:v>
      </x:c>
      <x:c r="AB16" s="81" t="n">
        <x:v>0.08</x:v>
      </x:c>
      <x:c r="AC16" s="81" t="n">
        <x:v>0.08</x:v>
      </x:c>
      <x:c r="AD16" s="81" t="n">
        <x:v>0.06</x:v>
      </x:c>
      <x:c r="AE16" s="81" t="n">
        <x:v>0.24</x:v>
      </x:c>
      <x:c r="AF16" s="81" t="n">
        <x:v>0.48</x:v>
      </x:c>
      <x:c r="AG16" s="81" t="n">
        <x:v>3.98</x:v>
      </x:c>
      <x:c r="AH16" s="81" t="n">
        <x:v>0.16</x:v>
      </x:c>
      <x:c r="AI16" s="81" t="n">
        <x:v>0.05</x:v>
      </x:c>
      <x:c r="AJ16" s="81" t="n">
        <x:v>0</x:v>
      </x:c>
      <x:c r="AK16" s="81" t="n">
        <x:v>0</x:v>
      </x:c>
      <x:c r="AL16" s="81" t="n">
        <x:v>0</x:v>
      </x:c>
      <x:c r="AM16" s="81" t="n">
        <x:v>0</x:v>
      </x:c>
      <x:c r="AN16" s="81" t="n">
        <x:v>0</x:v>
      </x:c>
      <x:c r="AO16" s="81" t="n">
        <x:v>0</x:v>
      </x:c>
      <x:c r="AP16" s="89" t="n">
        <x:f>SUMIFS('09_初始申报_技术'!$O$2:$O$43,'09_初始申报_技术'!$A$2:$A$43,$A16,'09_初始申报_技术'!$L$2:$L$43,$J16)</x:f>
        <x:v>24</x:v>
      </x:c>
      <x:c r="AQ16" s="86" t="n">
        <x:f>SUMIFS('09_初始申报_技术'!$R$2:$R$43,'09_初始申报_技术'!$A$2:$A$43,$A16,'09_初始申报_技术'!$L$2:$L$43,$J16)</x:f>
        <x:v>44.64</x:v>
      </x:c>
      <x:c r="AR16" s="86" t="n">
        <x:f>SUMIFS('09_初始申报_技术'!$S$2:$S$43,'09_初始申报_技术'!$A$2:$A$43,$A16,'09_初始申报_技术'!$L$2:$L$43,$J16)</x:f>
        <x:v>42.11</x:v>
      </x:c>
      <x:c r="AS16" s="81" t="n">
        <x:v>52.18</x:v>
      </x:c>
      <x:c r="AT16" s="88" t="n">
        <x:v>1.26038647342995</x:v>
      </x:c>
      <x:c r="AU16" s="90" t="n">
        <x:f>IF(O16=0,0,AS16/O16)</x:f>
        <x:v>1.2603864734299517</x:v>
      </x:c>
      <x:c r="AV16" s="86" t="n">
        <x:f>AS16+AR16</x:f>
        <x:v>94.28999999999999</x:v>
      </x:c>
      <x:c r="AW16" s="90" t="n">
        <x:f>IF(O16=0,0,AV16/O16)</x:f>
        <x:v>2.2775362318840577</x:v>
      </x:c>
      <x:c r="AX16" s="90" t="n">
        <x:f>IF(O16=0,0,(O16-AV16)/O16)</x:f>
        <x:v>-1.277536231884058</x:v>
      </x:c>
      <x:c r="AY16" s="62" t="str">
        <x:v>CNY</x:v>
      </x:c>
      <x:c r="AZ16" s="62" t="str">
        <x:v>万元</x:v>
      </x:c>
      <x:c r="BA16" s="62" t="str">
        <x:v>费用不含税；收入采用净额</x:v>
      </x:c>
      <x:c r="BB16" s="62" t="str">
        <x:v>2025年预算申报明细汇总.xlsx</x:v>
      </x:c>
      <x:c r="BC16" s="62" t="str">
        <x:v>市场项目预算明细</x:v>
      </x:c>
      <x:c r="BD16" s="62" t="n">
        <x:v>16</x:v>
      </x:c>
      <x:c r="BE16" s="62" t="str">
        <x:v>2025|PRJ-AQ-概率-2025-003</x:v>
      </x:c>
      <x:c r="BF16" s="62" t="str">
        <x:f>IF(ABS(AT16-AU16)&lt;0.000001,"OK","FAIL")</x:f>
        <x:v>OK</x:v>
      </x:c>
      <x:c r="BG16" s="62" t="str">
        <x:f>IF(ABS(AW16+AX16-1)&lt;0.000001,"OK","FAIL")</x:f>
        <x:v>OK</x:v>
      </x:c>
    </x:row>
    <x:row r="17">
      <x:c r="A17" s="83" t="n">
        <x:v>2025</x:v>
      </x:c>
      <x:c r="B17" s="83" t="str">
        <x:v>FY2025-INITIAL-SUBMISSION-v1</x:v>
      </x:c>
      <x:c r="C17" s="83" t="str">
        <x:v>PROPOSAL</x:v>
      </x:c>
      <x:c r="D17" s="83" t="str">
        <x:v>INITIAL_SUBMITTED</x:v>
      </x:c>
      <x:c r="E17" s="84" t="n">
        <x:v>45596</x:v>
      </x:c>
      <x:c r="F17" s="83" t="str">
        <x:v>SOURCE</x:v>
      </x:c>
      <x:c r="G17" s="83" t="str">
        <x:v>安全运行部</x:v>
      </x:c>
      <x:c r="H17" s="83" t="str">
        <x:v>灾害防护</x:v>
      </x:c>
      <x:c r="I17" s="83" t="str">
        <x:v>灾害防护</x:v>
      </x:c>
      <x:c r="J17" s="83" t="str">
        <x:v>PRJ-AQ-灾害-2024-001</x:v>
      </x:c>
      <x:c r="K17" s="83" t="str">
        <x:v>已签订</x:v>
      </x:c>
      <x:c r="L17" s="83" t="str">
        <x:v>XX能源集团</x:v>
      </x:c>
      <x:c r="M17" s="88" t="n">
        <x:v>0.06</x:v>
      </x:c>
      <x:c r="N17" s="81" t="n">
        <x:v>42.93</x:v>
      </x:c>
      <x:c r="O17" s="81" t="n">
        <x:v>40.5</x:v>
      </x:c>
      <x:c r="P17" s="81" t="n">
        <x:v>4.68</x:v>
      </x:c>
      <x:c r="Q17" s="83" t="str">
        <x:v>其中：</x:v>
      </x:c>
      <x:c r="R17" s="83" t="n">
        <x:v>5</x:v>
      </x:c>
      <x:c r="S17" s="81" t="n">
        <x:v>0.05</x:v>
      </x:c>
      <x:c r="T17" s="83" t="n">
        <x:v>60</x:v>
      </x:c>
      <x:c r="U17" s="81" t="n">
        <x:v>3.04</x:v>
      </x:c>
      <x:c r="V17" s="81" t="n">
        <x:v>1.64</x:v>
      </x:c>
      <x:c r="W17" s="81" t="n">
        <x:v>17.87</x:v>
      </x:c>
      <x:c r="X17" s="83" t="str">
        <x:v>其中：</x:v>
      </x:c>
      <x:c r="Y17" s="81" t="n">
        <x:v>0</x:v>
      </x:c>
      <x:c r="Z17" s="81" t="n">
        <x:v>0.16</x:v>
      </x:c>
      <x:c r="AA17" s="81" t="n">
        <x:v>0</x:v>
      </x:c>
      <x:c r="AB17" s="81" t="n">
        <x:v>0.08</x:v>
      </x:c>
      <x:c r="AC17" s="81" t="n">
        <x:v>0.08</x:v>
      </x:c>
      <x:c r="AD17" s="81" t="n">
        <x:v>0.06</x:v>
      </x:c>
      <x:c r="AE17" s="81" t="n">
        <x:v>0.23</x:v>
      </x:c>
      <x:c r="AF17" s="81" t="n">
        <x:v>0.47</x:v>
      </x:c>
      <x:c r="AG17" s="81" t="n">
        <x:v>3.9</x:v>
      </x:c>
      <x:c r="AH17" s="81" t="n">
        <x:v>0.16</x:v>
      </x:c>
      <x:c r="AI17" s="81" t="n">
        <x:v>0.05</x:v>
      </x:c>
      <x:c r="AJ17" s="81" t="n">
        <x:v>0</x:v>
      </x:c>
      <x:c r="AK17" s="81" t="n">
        <x:v>0</x:v>
      </x:c>
      <x:c r="AL17" s="81" t="n">
        <x:v>0</x:v>
      </x:c>
      <x:c r="AM17" s="81" t="n">
        <x:v>0</x:v>
      </x:c>
      <x:c r="AN17" s="81" t="n">
        <x:v>0</x:v>
      </x:c>
      <x:c r="AO17" s="81" t="n">
        <x:v>0</x:v>
      </x:c>
      <x:c r="AP17" s="89" t="n">
        <x:f>SUMIFS('09_初始申报_技术'!$O$2:$O$43,'09_初始申报_技术'!$A$2:$A$43,$A17,'09_初始申报_技术'!$L$2:$L$43,$J17)</x:f>
        <x:v>12</x:v>
      </x:c>
      <x:c r="AQ17" s="86" t="n">
        <x:f>SUMIFS('09_初始申报_技术'!$R$2:$R$43,'09_初始申报_技术'!$A$2:$A$43,$A17,'09_初始申报_技术'!$L$2:$L$43,$J17)</x:f>
        <x:v>13.44</x:v>
      </x:c>
      <x:c r="AR17" s="86" t="n">
        <x:f>SUMIFS('09_初始申报_技术'!$S$2:$S$43,'09_初始申报_技术'!$A$2:$A$43,$A17,'09_初始申报_技术'!$L$2:$L$43,$J17)</x:f>
        <x:v>12.68</x:v>
      </x:c>
      <x:c r="AS17" s="81" t="n">
        <x:v>22.55</x:v>
      </x:c>
      <x:c r="AT17" s="88" t="n">
        <x:v>0.55679012345679</x:v>
      </x:c>
      <x:c r="AU17" s="90" t="n">
        <x:f>IF(O17=0,0,AS17/O17)</x:f>
        <x:v>0.5567901234567901</x:v>
      </x:c>
      <x:c r="AV17" s="86" t="n">
        <x:f>AS17+AR17</x:f>
        <x:v>35.230000000000004</x:v>
      </x:c>
      <x:c r="AW17" s="90" t="n">
        <x:f>IF(O17=0,0,AV17/O17)</x:f>
        <x:v>0.8698765432098766</x:v>
      </x:c>
      <x:c r="AX17" s="90" t="n">
        <x:f>IF(O17=0,0,(O17-AV17)/O17)</x:f>
        <x:v>0.13012345679012335</x:v>
      </x:c>
      <x:c r="AY17" s="62" t="str">
        <x:v>CNY</x:v>
      </x:c>
      <x:c r="AZ17" s="62" t="str">
        <x:v>万元</x:v>
      </x:c>
      <x:c r="BA17" s="62" t="str">
        <x:v>费用不含税；收入采用净额</x:v>
      </x:c>
      <x:c r="BB17" s="62" t="str">
        <x:v>2025年预算申报明细汇总.xlsx</x:v>
      </x:c>
      <x:c r="BC17" s="62" t="str">
        <x:v>市场项目预算明细</x:v>
      </x:c>
      <x:c r="BD17" s="62" t="n">
        <x:v>17</x:v>
      </x:c>
      <x:c r="BE17" s="62" t="str">
        <x:v>2025|PRJ-AQ-灾害-2024-001</x:v>
      </x:c>
      <x:c r="BF17" s="62" t="str">
        <x:f>IF(ABS(AT17-AU17)&lt;0.000001,"OK","FAIL")</x:f>
        <x:v>OK</x:v>
      </x:c>
      <x:c r="BG17" s="62" t="str">
        <x:f>IF(ABS(AW17+AX17-1)&lt;0.000001,"OK","FAIL")</x:f>
        <x:v>OK</x:v>
      </x:c>
    </x:row>
    <x:row r="18">
      <x:c r="A18" s="83" t="n">
        <x:v>2025</x:v>
      </x:c>
      <x:c r="B18" s="83" t="str">
        <x:v>FY2025-INITIAL-SUBMISSION-v1</x:v>
      </x:c>
      <x:c r="C18" s="83" t="str">
        <x:v>PROPOSAL</x:v>
      </x:c>
      <x:c r="D18" s="83" t="str">
        <x:v>INITIAL_SUBMITTED</x:v>
      </x:c>
      <x:c r="E18" s="84" t="n">
        <x:v>45596</x:v>
      </x:c>
      <x:c r="F18" s="83" t="str">
        <x:v>SOURCE</x:v>
      </x:c>
      <x:c r="G18" s="83" t="str">
        <x:v>安全运行部</x:v>
      </x:c>
      <x:c r="H18" s="83" t="str">
        <x:v>灾害防护</x:v>
      </x:c>
      <x:c r="I18" s="83" t="str">
        <x:v>灾害防护</x:v>
      </x:c>
      <x:c r="J18" s="83" t="str">
        <x:v>PRJ-AQ-灾害-2025-002</x:v>
      </x:c>
      <x:c r="K18" s="83" t="str">
        <x:v>已签订</x:v>
      </x:c>
      <x:c r="L18" s="83" t="str">
        <x:v>XX能源集团</x:v>
      </x:c>
      <x:c r="M18" s="88" t="n">
        <x:v>0.06</x:v>
      </x:c>
      <x:c r="N18" s="81" t="n">
        <x:v>43.99</x:v>
      </x:c>
      <x:c r="O18" s="81" t="n">
        <x:v>41.5</x:v>
      </x:c>
      <x:c r="P18" s="81" t="n">
        <x:v>4.79</x:v>
      </x:c>
      <x:c r="Q18" s="83" t="str">
        <x:v>其中：</x:v>
      </x:c>
      <x:c r="R18" s="83" t="n">
        <x:v>5</x:v>
      </x:c>
      <x:c r="S18" s="81" t="n">
        <x:v>0.05</x:v>
      </x:c>
      <x:c r="T18" s="83" t="n">
        <x:v>60</x:v>
      </x:c>
      <x:c r="U18" s="81" t="n">
        <x:v>3.11</x:v>
      </x:c>
      <x:c r="V18" s="81" t="n">
        <x:v>1.68</x:v>
      </x:c>
      <x:c r="W18" s="81" t="n">
        <x:v>18.1</x:v>
      </x:c>
      <x:c r="X18" s="83" t="str">
        <x:v>其中：</x:v>
      </x:c>
      <x:c r="Y18" s="81" t="n">
        <x:v>0</x:v>
      </x:c>
      <x:c r="Z18" s="81" t="n">
        <x:v>0.16</x:v>
      </x:c>
      <x:c r="AA18" s="81" t="n">
        <x:v>0</x:v>
      </x:c>
      <x:c r="AB18" s="81" t="n">
        <x:v>0.08</x:v>
      </x:c>
      <x:c r="AC18" s="81" t="n">
        <x:v>0.08</x:v>
      </x:c>
      <x:c r="AD18" s="81" t="n">
        <x:v>0.06</x:v>
      </x:c>
      <x:c r="AE18" s="81" t="n">
        <x:v>0.24</x:v>
      </x:c>
      <x:c r="AF18" s="81" t="n">
        <x:v>0.48</x:v>
      </x:c>
      <x:c r="AG18" s="81" t="n">
        <x:v>4</x:v>
      </x:c>
      <x:c r="AH18" s="81" t="n">
        <x:v>0.16</x:v>
      </x:c>
      <x:c r="AI18" s="81" t="n">
        <x:v>0.05</x:v>
      </x:c>
      <x:c r="AJ18" s="81" t="n">
        <x:v>0</x:v>
      </x:c>
      <x:c r="AK18" s="81" t="n">
        <x:v>0</x:v>
      </x:c>
      <x:c r="AL18" s="81" t="n">
        <x:v>0</x:v>
      </x:c>
      <x:c r="AM18" s="81" t="n">
        <x:v>0</x:v>
      </x:c>
      <x:c r="AN18" s="81" t="n">
        <x:v>0</x:v>
      </x:c>
      <x:c r="AO18" s="81" t="n">
        <x:v>0</x:v>
      </x:c>
      <x:c r="AP18" s="89" t="n">
        <x:f>SUMIFS('09_初始申报_技术'!$O$2:$O$43,'09_初始申报_技术'!$A$2:$A$43,$A18,'09_初始申报_技术'!$L$2:$L$43,$J18)</x:f>
        <x:v>12</x:v>
      </x:c>
      <x:c r="AQ18" s="86" t="n">
        <x:f>SUMIFS('09_初始申报_技术'!$R$2:$R$43,'09_初始申报_技术'!$A$2:$A$43,$A18,'09_初始申报_技术'!$L$2:$L$43,$J18)</x:f>
        <x:v>13.56</x:v>
      </x:c>
      <x:c r="AR18" s="86" t="n">
        <x:f>SUMIFS('09_初始申报_技术'!$S$2:$S$43,'09_初始申报_技术'!$A$2:$A$43,$A18,'09_初始申报_技术'!$L$2:$L$43,$J18)</x:f>
        <x:v>12.79</x:v>
      </x:c>
      <x:c r="AS18" s="81" t="n">
        <x:v>22.89</x:v>
      </x:c>
      <x:c r="AT18" s="88" t="n">
        <x:v>0.551566265060241</x:v>
      </x:c>
      <x:c r="AU18" s="90" t="n">
        <x:f>IF(O18=0,0,AS18/O18)</x:f>
        <x:v>0.551566265060241</x:v>
      </x:c>
      <x:c r="AV18" s="86" t="n">
        <x:f>AS18+AR18</x:f>
        <x:v>35.68</x:v>
      </x:c>
      <x:c r="AW18" s="90" t="n">
        <x:f>IF(O18=0,0,AV18/O18)</x:f>
        <x:v>0.8597590361445783</x:v>
      </x:c>
      <x:c r="AX18" s="90" t="n">
        <x:f>IF(O18=0,0,(O18-AV18)/O18)</x:f>
        <x:v>0.1402409638554217</x:v>
      </x:c>
      <x:c r="AY18" s="62" t="str">
        <x:v>CNY</x:v>
      </x:c>
      <x:c r="AZ18" s="62" t="str">
        <x:v>万元</x:v>
      </x:c>
      <x:c r="BA18" s="62" t="str">
        <x:v>费用不含税；收入采用净额</x:v>
      </x:c>
      <x:c r="BB18" s="62" t="str">
        <x:v>2025年预算申报明细汇总.xlsx</x:v>
      </x:c>
      <x:c r="BC18" s="62" t="str">
        <x:v>市场项目预算明细</x:v>
      </x:c>
      <x:c r="BD18" s="62" t="n">
        <x:v>18</x:v>
      </x:c>
      <x:c r="BE18" s="62" t="str">
        <x:v>2025|PRJ-AQ-灾害-2025-002</x:v>
      </x:c>
      <x:c r="BF18" s="62" t="str">
        <x:f>IF(ABS(AT18-AU18)&lt;0.000001,"OK","FAIL")</x:f>
        <x:v>OK</x:v>
      </x:c>
      <x:c r="BG18" s="62" t="str">
        <x:f>IF(ABS(AW18+AX18-1)&lt;0.000001,"OK","FAIL")</x:f>
        <x:v>OK</x:v>
      </x:c>
    </x:row>
    <x:row r="19">
      <x:c r="A19" s="83" t="n">
        <x:v>2025</x:v>
      </x:c>
      <x:c r="B19" s="83" t="str">
        <x:v>FY2025-INITIAL-SUBMISSION-v1</x:v>
      </x:c>
      <x:c r="C19" s="83" t="str">
        <x:v>PROPOSAL</x:v>
      </x:c>
      <x:c r="D19" s="83" t="str">
        <x:v>INITIAL_SUBMITTED</x:v>
      </x:c>
      <x:c r="E19" s="84" t="n">
        <x:v>45596</x:v>
      </x:c>
      <x:c r="F19" s="83" t="str">
        <x:v>SOURCE</x:v>
      </x:c>
      <x:c r="G19" s="83" t="str">
        <x:v>安全运行部</x:v>
      </x:c>
      <x:c r="H19" s="83" t="str">
        <x:v>灾害防护</x:v>
      </x:c>
      <x:c r="I19" s="83" t="str">
        <x:v>灾害防护</x:v>
      </x:c>
      <x:c r="J19" s="83" t="str">
        <x:v>PRJ-AQ-灾害-2025-003</x:v>
      </x:c>
      <x:c r="K19" s="83" t="str">
        <x:v>已签订</x:v>
      </x:c>
      <x:c r="L19" s="83" t="str">
        <x:v>XX能源集团</x:v>
      </x:c>
      <x:c r="M19" s="88" t="n">
        <x:v>0.06</x:v>
      </x:c>
      <x:c r="N19" s="81" t="n">
        <x:v>51.83</x:v>
      </x:c>
      <x:c r="O19" s="81" t="n">
        <x:v>48.9</x:v>
      </x:c>
      <x:c r="P19" s="81" t="n">
        <x:v>5.65</x:v>
      </x:c>
      <x:c r="Q19" s="83" t="str">
        <x:v>其中：</x:v>
      </x:c>
      <x:c r="R19" s="83" t="n">
        <x:v>5</x:v>
      </x:c>
      <x:c r="S19" s="81" t="n">
        <x:v>0.06</x:v>
      </x:c>
      <x:c r="T19" s="83" t="n">
        <x:v>60</x:v>
      </x:c>
      <x:c r="U19" s="81" t="n">
        <x:v>3.67</x:v>
      </x:c>
      <x:c r="V19" s="81" t="n">
        <x:v>1.98</x:v>
      </x:c>
      <x:c r="W19" s="81" t="n">
        <x:v>20.06</x:v>
      </x:c>
      <x:c r="X19" s="83" t="str">
        <x:v>其中：</x:v>
      </x:c>
      <x:c r="Y19" s="81" t="n">
        <x:v>0</x:v>
      </x:c>
      <x:c r="Z19" s="81" t="n">
        <x:v>0.19</x:v>
      </x:c>
      <x:c r="AA19" s="81" t="n">
        <x:v>0</x:v>
      </x:c>
      <x:c r="AB19" s="81" t="n">
        <x:v>0.09</x:v>
      </x:c>
      <x:c r="AC19" s="81" t="n">
        <x:v>0.09</x:v>
      </x:c>
      <x:c r="AD19" s="81" t="n">
        <x:v>0.08</x:v>
      </x:c>
      <x:c r="AE19" s="81" t="n">
        <x:v>0.28</x:v>
      </x:c>
      <x:c r="AF19" s="81" t="n">
        <x:v>0.56</x:v>
      </x:c>
      <x:c r="AG19" s="81" t="n">
        <x:v>4.71</x:v>
      </x:c>
      <x:c r="AH19" s="81" t="n">
        <x:v>0.19</x:v>
      </x:c>
      <x:c r="AI19" s="81" t="n">
        <x:v>0.06</x:v>
      </x:c>
      <x:c r="AJ19" s="81" t="n">
        <x:v>0</x:v>
      </x:c>
      <x:c r="AK19" s="81" t="n">
        <x:v>0</x:v>
      </x:c>
      <x:c r="AL19" s="81" t="n">
        <x:v>0</x:v>
      </x:c>
      <x:c r="AM19" s="81" t="n">
        <x:v>0</x:v>
      </x:c>
      <x:c r="AN19" s="81" t="n">
        <x:v>0</x:v>
      </x:c>
      <x:c r="AO19" s="81" t="n">
        <x:v>0</x:v>
      </x:c>
      <x:c r="AP19" s="89" t="n">
        <x:f>SUMIFS('09_初始申报_技术'!$O$2:$O$43,'09_初始申报_技术'!$A$2:$A$43,$A19,'09_初始申报_技术'!$L$2:$L$43,$J19)</x:f>
        <x:v>12</x:v>
      </x:c>
      <x:c r="AQ19" s="86" t="n">
        <x:f>SUMIFS('09_初始申报_技术'!$R$2:$R$43,'09_初始申报_技术'!$A$2:$A$43,$A19,'09_初始申报_技术'!$L$2:$L$43,$J19)</x:f>
        <x:v>14.64</x:v>
      </x:c>
      <x:c r="AR19" s="86" t="n">
        <x:f>SUMIFS('09_初始申报_技术'!$S$2:$S$43,'09_初始申报_技术'!$A$2:$A$43,$A19,'09_初始申报_技术'!$L$2:$L$43,$J19)</x:f>
        <x:v>13.81</x:v>
      </x:c>
      <x:c r="AS19" s="81" t="n">
        <x:v>25.71</x:v>
      </x:c>
      <x:c r="AT19" s="88" t="n">
        <x:v>0.525766871165644</x:v>
      </x:c>
      <x:c r="AU19" s="90" t="n">
        <x:f>IF(O19=0,0,AS19/O19)</x:f>
        <x:v>0.5257668711656442</x:v>
      </x:c>
      <x:c r="AV19" s="86" t="n">
        <x:f>AS19+AR19</x:f>
        <x:v>39.52</x:v>
      </x:c>
      <x:c r="AW19" s="90" t="n">
        <x:f>IF(O19=0,0,AV19/O19)</x:f>
        <x:v>0.8081799591002046</x:v>
      </x:c>
      <x:c r="AX19" s="90" t="n">
        <x:f>IF(O19=0,0,(O19-AV19)/O19)</x:f>
        <x:v>0.1918200408997954</x:v>
      </x:c>
      <x:c r="AY19" s="62" t="str">
        <x:v>CNY</x:v>
      </x:c>
      <x:c r="AZ19" s="62" t="str">
        <x:v>万元</x:v>
      </x:c>
      <x:c r="BA19" s="62" t="str">
        <x:v>费用不含税；收入采用净额</x:v>
      </x:c>
      <x:c r="BB19" s="62" t="str">
        <x:v>2025年预算申报明细汇总.xlsx</x:v>
      </x:c>
      <x:c r="BC19" s="62" t="str">
        <x:v>市场项目预算明细</x:v>
      </x:c>
      <x:c r="BD19" s="62" t="n">
        <x:v>19</x:v>
      </x:c>
      <x:c r="BE19" s="62" t="str">
        <x:v>2025|PRJ-AQ-灾害-2025-003</x:v>
      </x:c>
      <x:c r="BF19" s="62" t="str">
        <x:f>IF(ABS(AT19-AU19)&lt;0.000001,"OK","FAIL")</x:f>
        <x:v>OK</x:v>
      </x:c>
      <x:c r="BG19" s="62" t="str">
        <x:f>IF(ABS(AW19+AX19-1)&lt;0.000001,"OK","FAIL")</x:f>
        <x:v>OK</x:v>
      </x:c>
    </x:row>
    <x:row r="20">
      <x:c r="A20" s="83" t="n">
        <x:v>2025</x:v>
      </x:c>
      <x:c r="B20" s="83" t="str">
        <x:v>FY2025-INITIAL-SUBMISSION-v1</x:v>
      </x:c>
      <x:c r="C20" s="83" t="str">
        <x:v>PROPOSAL</x:v>
      </x:c>
      <x:c r="D20" s="83" t="str">
        <x:v>INITIAL_SUBMITTED</x:v>
      </x:c>
      <x:c r="E20" s="84" t="n">
        <x:v>45596</x:v>
      </x:c>
      <x:c r="F20" s="83" t="str">
        <x:v>SOURCE</x:v>
      </x:c>
      <x:c r="G20" s="83" t="str">
        <x:v>安全运行部</x:v>
      </x:c>
      <x:c r="H20" s="83" t="str">
        <x:v>安全评估</x:v>
      </x:c>
      <x:c r="I20" s="83" t="str">
        <x:v>安全评估</x:v>
      </x:c>
      <x:c r="J20" s="83" t="str">
        <x:v>PRJ-AQ-安全-2024-001</x:v>
      </x:c>
      <x:c r="K20" s="83" t="str">
        <x:v>已签订</x:v>
      </x:c>
      <x:c r="L20" s="83" t="str">
        <x:v>XX能源集团</x:v>
      </x:c>
      <x:c r="M20" s="88" t="n">
        <x:v>0.06</x:v>
      </x:c>
      <x:c r="N20" s="81" t="n">
        <x:v>48.02</x:v>
      </x:c>
      <x:c r="O20" s="81" t="n">
        <x:v>45.3</x:v>
      </x:c>
      <x:c r="P20" s="81" t="n">
        <x:v>5.23</x:v>
      </x:c>
      <x:c r="Q20" s="83" t="str">
        <x:v>其中：</x:v>
      </x:c>
      <x:c r="R20" s="83" t="n">
        <x:v>5</x:v>
      </x:c>
      <x:c r="S20" s="81" t="n">
        <x:v>0.06</x:v>
      </x:c>
      <x:c r="T20" s="83" t="n">
        <x:v>60</x:v>
      </x:c>
      <x:c r="U20" s="81" t="n">
        <x:v>3.4</x:v>
      </x:c>
      <x:c r="V20" s="81" t="n">
        <x:v>1.83</x:v>
      </x:c>
      <x:c r="W20" s="81" t="n">
        <x:v>42.91</x:v>
      </x:c>
      <x:c r="X20" s="83" t="str">
        <x:v>其中：</x:v>
      </x:c>
      <x:c r="Y20" s="81" t="n">
        <x:v>0</x:v>
      </x:c>
      <x:c r="Z20" s="81" t="n">
        <x:v>0.17</x:v>
      </x:c>
      <x:c r="AA20" s="81" t="n">
        <x:v>0</x:v>
      </x:c>
      <x:c r="AB20" s="81" t="n">
        <x:v>0.09</x:v>
      </x:c>
      <x:c r="AC20" s="81" t="n">
        <x:v>0.09</x:v>
      </x:c>
      <x:c r="AD20" s="81" t="n">
        <x:v>0.07</x:v>
      </x:c>
      <x:c r="AE20" s="81" t="n">
        <x:v>0.26</x:v>
      </x:c>
      <x:c r="AF20" s="81" t="n">
        <x:v>0.52</x:v>
      </x:c>
      <x:c r="AG20" s="81" t="n">
        <x:v>4.36</x:v>
      </x:c>
      <x:c r="AH20" s="81" t="n">
        <x:v>0.17</x:v>
      </x:c>
      <x:c r="AI20" s="81" t="n">
        <x:v>0.05</x:v>
      </x:c>
      <x:c r="AJ20" s="81" t="n">
        <x:v>0</x:v>
      </x:c>
      <x:c r="AK20" s="81" t="n">
        <x:v>0</x:v>
      </x:c>
      <x:c r="AL20" s="81" t="n">
        <x:v>0</x:v>
      </x:c>
      <x:c r="AM20" s="81" t="n">
        <x:v>0</x:v>
      </x:c>
      <x:c r="AN20" s="81" t="n">
        <x:v>0</x:v>
      </x:c>
      <x:c r="AO20" s="81" t="n">
        <x:v>0</x:v>
      </x:c>
      <x:c r="AP20" s="89" t="n">
        <x:f>SUMIFS('09_初始申报_技术'!$O$2:$O$43,'09_初始申报_技术'!$A$2:$A$43,$A20,'09_初始申报_技术'!$L$2:$L$43,$J20)</x:f>
        <x:v>24</x:v>
      </x:c>
      <x:c r="AQ20" s="86" t="n">
        <x:f>SUMIFS('09_初始申报_技术'!$R$2:$R$43,'09_初始申报_技术'!$A$2:$A$43,$A20,'09_初始申报_技术'!$L$2:$L$43,$J20)</x:f>
        <x:v>39.36</x:v>
      </x:c>
      <x:c r="AR20" s="86" t="n">
        <x:f>SUMIFS('09_初始申报_技术'!$S$2:$S$43,'09_初始申报_技术'!$A$2:$A$43,$A20,'09_初始申报_技术'!$L$2:$L$43,$J20)</x:f>
        <x:v>37.13</x:v>
      </x:c>
      <x:c r="AS20" s="81" t="n">
        <x:v>48.14</x:v>
      </x:c>
      <x:c r="AT20" s="88" t="n">
        <x:v>1.06269315673289</x:v>
      </x:c>
      <x:c r="AU20" s="90" t="n">
        <x:f>IF(O20=0,0,AS20/O20)</x:f>
        <x:v>1.0626931567328919</x:v>
      </x:c>
      <x:c r="AV20" s="86" t="n">
        <x:f>AS20+AR20</x:f>
        <x:v>85.27000000000001</x:v>
      </x:c>
      <x:c r="AW20" s="90" t="n">
        <x:f>IF(O20=0,0,AV20/O20)</x:f>
        <x:v>1.88233995584989</x:v>
      </x:c>
      <x:c r="AX20" s="90" t="n">
        <x:f>IF(O20=0,0,(O20-AV20)/O20)</x:f>
        <x:v>-0.88233995584989</x:v>
      </x:c>
      <x:c r="AY20" s="62" t="str">
        <x:v>CNY</x:v>
      </x:c>
      <x:c r="AZ20" s="62" t="str">
        <x:v>万元</x:v>
      </x:c>
      <x:c r="BA20" s="62" t="str">
        <x:v>费用不含税；收入采用净额</x:v>
      </x:c>
      <x:c r="BB20" s="62" t="str">
        <x:v>2025年预算申报明细汇总.xlsx</x:v>
      </x:c>
      <x:c r="BC20" s="62" t="str">
        <x:v>市场项目预算明细</x:v>
      </x:c>
      <x:c r="BD20" s="62" t="n">
        <x:v>20</x:v>
      </x:c>
      <x:c r="BE20" s="62" t="str">
        <x:v>2025|PRJ-AQ-安全-2024-001</x:v>
      </x:c>
      <x:c r="BF20" s="62" t="str">
        <x:f>IF(ABS(AT20-AU20)&lt;0.000001,"OK","FAIL")</x:f>
        <x:v>OK</x:v>
      </x:c>
      <x:c r="BG20" s="62" t="str">
        <x:f>IF(ABS(AW20+AX20-1)&lt;0.000001,"OK","FAIL")</x:f>
        <x:v>OK</x:v>
      </x:c>
    </x:row>
    <x:row r="21">
      <x:c r="A21" s="83" t="n">
        <x:v>2025</x:v>
      </x:c>
      <x:c r="B21" s="83" t="str">
        <x:v>FY2025-INITIAL-SUBMISSION-v1</x:v>
      </x:c>
      <x:c r="C21" s="83" t="str">
        <x:v>PROPOSAL</x:v>
      </x:c>
      <x:c r="D21" s="83" t="str">
        <x:v>INITIAL_SUBMITTED</x:v>
      </x:c>
      <x:c r="E21" s="84" t="n">
        <x:v>45596</x:v>
      </x:c>
      <x:c r="F21" s="83" t="str">
        <x:v>SOURCE</x:v>
      </x:c>
      <x:c r="G21" s="83" t="str">
        <x:v>安全运行部</x:v>
      </x:c>
      <x:c r="H21" s="83" t="str">
        <x:v>安全评估</x:v>
      </x:c>
      <x:c r="I21" s="83" t="str">
        <x:v>安全评估</x:v>
      </x:c>
      <x:c r="J21" s="83" t="str">
        <x:v>PRJ-AQ-安全-2025-002</x:v>
      </x:c>
      <x:c r="K21" s="83" t="str">
        <x:v>已签订</x:v>
      </x:c>
      <x:c r="L21" s="83" t="str">
        <x:v>XX能源集团</x:v>
      </x:c>
      <x:c r="M21" s="88" t="n">
        <x:v>0.06</x:v>
      </x:c>
      <x:c r="N21" s="81" t="n">
        <x:v>48.87</x:v>
      </x:c>
      <x:c r="O21" s="81" t="n">
        <x:v>46.1</x:v>
      </x:c>
      <x:c r="P21" s="81" t="n">
        <x:v>5.33</x:v>
      </x:c>
      <x:c r="Q21" s="83" t="str">
        <x:v>其中：</x:v>
      </x:c>
      <x:c r="R21" s="83" t="n">
        <x:v>5</x:v>
      </x:c>
      <x:c r="S21" s="81" t="n">
        <x:v>0.06</x:v>
      </x:c>
      <x:c r="T21" s="83" t="n">
        <x:v>60</x:v>
      </x:c>
      <x:c r="U21" s="81" t="n">
        <x:v>3.46</x:v>
      </x:c>
      <x:c r="V21" s="81" t="n">
        <x:v>1.87</x:v>
      </x:c>
      <x:c r="W21" s="81" t="n">
        <x:v>43.03</x:v>
      </x:c>
      <x:c r="X21" s="83" t="str">
        <x:v>其中：</x:v>
      </x:c>
      <x:c r="Y21" s="81" t="n">
        <x:v>0</x:v>
      </x:c>
      <x:c r="Z21" s="81" t="n">
        <x:v>0.18</x:v>
      </x:c>
      <x:c r="AA21" s="81" t="n">
        <x:v>0</x:v>
      </x:c>
      <x:c r="AB21" s="81" t="n">
        <x:v>0.09</x:v>
      </x:c>
      <x:c r="AC21" s="81" t="n">
        <x:v>0.09</x:v>
      </x:c>
      <x:c r="AD21" s="81" t="n">
        <x:v>0.07</x:v>
      </x:c>
      <x:c r="AE21" s="81" t="n">
        <x:v>0.27</x:v>
      </x:c>
      <x:c r="AF21" s="81" t="n">
        <x:v>0.53</x:v>
      </x:c>
      <x:c r="AG21" s="81" t="n">
        <x:v>4.44</x:v>
      </x:c>
      <x:c r="AH21" s="81" t="n">
        <x:v>0.18</x:v>
      </x:c>
      <x:c r="AI21" s="81" t="n">
        <x:v>0.05</x:v>
      </x:c>
      <x:c r="AJ21" s="81" t="n">
        <x:v>0</x:v>
      </x:c>
      <x:c r="AK21" s="81" t="n">
        <x:v>0</x:v>
      </x:c>
      <x:c r="AL21" s="81" t="n">
        <x:v>0</x:v>
      </x:c>
      <x:c r="AM21" s="81" t="n">
        <x:v>0</x:v>
      </x:c>
      <x:c r="AN21" s="81" t="n">
        <x:v>0</x:v>
      </x:c>
      <x:c r="AO21" s="81" t="n">
        <x:v>0</x:v>
      </x:c>
      <x:c r="AP21" s="89" t="n">
        <x:f>SUMIFS('09_初始申报_技术'!$O$2:$O$43,'09_初始申报_技术'!$A$2:$A$43,$A21,'09_初始申报_技术'!$L$2:$L$43,$J21)</x:f>
        <x:v>24</x:v>
      </x:c>
      <x:c r="AQ21" s="86" t="n">
        <x:f>SUMIFS('09_初始申报_技术'!$R$2:$R$43,'09_初始申报_技术'!$A$2:$A$43,$A21,'09_初始申报_技术'!$L$2:$L$43,$J21)</x:f>
        <x:v>39.36</x:v>
      </x:c>
      <x:c r="AR21" s="86" t="n">
        <x:f>SUMIFS('09_初始申报_技术'!$S$2:$S$43,'09_初始申报_技术'!$A$2:$A$43,$A21,'09_初始申报_技术'!$L$2:$L$43,$J21)</x:f>
        <x:v>37.13</x:v>
      </x:c>
      <x:c r="AS21" s="81" t="n">
        <x:v>48.36</x:v>
      </x:c>
      <x:c r="AT21" s="88" t="n">
        <x:v>1.04902386117137</x:v>
      </x:c>
      <x:c r="AU21" s="90" t="n">
        <x:f>IF(O21=0,0,AS21/O21)</x:f>
        <x:v>1.0490238611713665</x:v>
      </x:c>
      <x:c r="AV21" s="86" t="n">
        <x:f>AS21+AR21</x:f>
        <x:v>85.49000000000001</x:v>
      </x:c>
      <x:c r="AW21" s="90" t="n">
        <x:f>IF(O21=0,0,AV21/O21)</x:f>
        <x:v>1.8544468546637745</x:v>
      </x:c>
      <x:c r="AX21" s="90" t="n">
        <x:f>IF(O21=0,0,(O21-AV21)/O21)</x:f>
        <x:v>-0.8544468546637746</x:v>
      </x:c>
      <x:c r="AY21" s="62" t="str">
        <x:v>CNY</x:v>
      </x:c>
      <x:c r="AZ21" s="62" t="str">
        <x:v>万元</x:v>
      </x:c>
      <x:c r="BA21" s="62" t="str">
        <x:v>费用不含税；收入采用净额</x:v>
      </x:c>
      <x:c r="BB21" s="62" t="str">
        <x:v>2025年预算申报明细汇总.xlsx</x:v>
      </x:c>
      <x:c r="BC21" s="62" t="str">
        <x:v>市场项目预算明细</x:v>
      </x:c>
      <x:c r="BD21" s="62" t="n">
        <x:v>21</x:v>
      </x:c>
      <x:c r="BE21" s="62" t="str">
        <x:v>2025|PRJ-AQ-安全-2025-002</x:v>
      </x:c>
      <x:c r="BF21" s="62" t="str">
        <x:f>IF(ABS(AT21-AU21)&lt;0.000001,"OK","FAIL")</x:f>
        <x:v>OK</x:v>
      </x:c>
      <x:c r="BG21" s="62" t="str">
        <x:f>IF(ABS(AW21+AX21-1)&lt;0.000001,"OK","FAIL")</x:f>
        <x:v>OK</x:v>
      </x:c>
    </x:row>
    <x:row r="22">
      <x:c r="A22" s="83" t="n">
        <x:v>2025</x:v>
      </x:c>
      <x:c r="B22" s="83" t="str">
        <x:v>FY2025-INITIAL-SUBMISSION-v1</x:v>
      </x:c>
      <x:c r="C22" s="83" t="str">
        <x:v>PROPOSAL</x:v>
      </x:c>
      <x:c r="D22" s="83" t="str">
        <x:v>INITIAL_SUBMITTED</x:v>
      </x:c>
      <x:c r="E22" s="84" t="n">
        <x:v>45596</x:v>
      </x:c>
      <x:c r="F22" s="83" t="str">
        <x:v>SOURCE</x:v>
      </x:c>
      <x:c r="G22" s="83" t="str">
        <x:v>安全运行部</x:v>
      </x:c>
      <x:c r="H22" s="83" t="str">
        <x:v>安全评估</x:v>
      </x:c>
      <x:c r="I22" s="83" t="str">
        <x:v>安全评估</x:v>
      </x:c>
      <x:c r="J22" s="83" t="str">
        <x:v>PRJ-AQ-安全-2025-003</x:v>
      </x:c>
      <x:c r="K22" s="83" t="str">
        <x:v>已签订</x:v>
      </x:c>
      <x:c r="L22" s="83" t="str">
        <x:v>XX能源集团</x:v>
      </x:c>
      <x:c r="M22" s="88" t="n">
        <x:v>0.06</x:v>
      </x:c>
      <x:c r="N22" s="81" t="n">
        <x:v>54.48</x:v>
      </x:c>
      <x:c r="O22" s="81" t="n">
        <x:v>51.4</x:v>
      </x:c>
      <x:c r="P22" s="81" t="n">
        <x:v>5.94</x:v>
      </x:c>
      <x:c r="Q22" s="83" t="str">
        <x:v>其中：</x:v>
      </x:c>
      <x:c r="R22" s="83" t="n">
        <x:v>5</x:v>
      </x:c>
      <x:c r="S22" s="81" t="n">
        <x:v>0.06</x:v>
      </x:c>
      <x:c r="T22" s="83" t="n">
        <x:v>60</x:v>
      </x:c>
      <x:c r="U22" s="81" t="n">
        <x:v>3.86</x:v>
      </x:c>
      <x:c r="V22" s="81" t="n">
        <x:v>2.08</x:v>
      </x:c>
      <x:c r="W22" s="81" t="n">
        <x:v>47.11</x:v>
      </x:c>
      <x:c r="X22" s="83" t="str">
        <x:v>其中：</x:v>
      </x:c>
      <x:c r="Y22" s="81" t="n">
        <x:v>0</x:v>
      </x:c>
      <x:c r="Z22" s="81" t="n">
        <x:v>0.2</x:v>
      </x:c>
      <x:c r="AA22" s="81" t="n">
        <x:v>0</x:v>
      </x:c>
      <x:c r="AB22" s="81" t="n">
        <x:v>0.1</x:v>
      </x:c>
      <x:c r="AC22" s="81" t="n">
        <x:v>0.1</x:v>
      </x:c>
      <x:c r="AD22" s="81" t="n">
        <x:v>0.08</x:v>
      </x:c>
      <x:c r="AE22" s="81" t="n">
        <x:v>0.3</x:v>
      </x:c>
      <x:c r="AF22" s="81" t="n">
        <x:v>0.59</x:v>
      </x:c>
      <x:c r="AG22" s="81" t="n">
        <x:v>4.95</x:v>
      </x:c>
      <x:c r="AH22" s="81" t="n">
        <x:v>0.2</x:v>
      </x:c>
      <x:c r="AI22" s="81" t="n">
        <x:v>0.06</x:v>
      </x:c>
      <x:c r="AJ22" s="81" t="n">
        <x:v>0</x:v>
      </x:c>
      <x:c r="AK22" s="81" t="n">
        <x:v>0</x:v>
      </x:c>
      <x:c r="AL22" s="81" t="n">
        <x:v>0</x:v>
      </x:c>
      <x:c r="AM22" s="81" t="n">
        <x:v>0</x:v>
      </x:c>
      <x:c r="AN22" s="81" t="n">
        <x:v>0</x:v>
      </x:c>
      <x:c r="AO22" s="81" t="n">
        <x:v>0</x:v>
      </x:c>
      <x:c r="AP22" s="89" t="n">
        <x:f>SUMIFS('09_初始申报_技术'!$O$2:$O$43,'09_初始申报_技术'!$A$2:$A$43,$A22,'09_初始申报_技术'!$L$2:$L$43,$J22)</x:f>
        <x:v>24</x:v>
      </x:c>
      <x:c r="AQ22" s="86" t="n">
        <x:f>SUMIFS('09_初始申报_技术'!$R$2:$R$43,'09_初始申报_技术'!$A$2:$A$43,$A22,'09_初始申报_技术'!$L$2:$L$43,$J22)</x:f>
        <x:v>42.96</x:v>
      </x:c>
      <x:c r="AR22" s="86" t="n">
        <x:f>SUMIFS('09_初始申报_技术'!$S$2:$S$43,'09_初始申报_技术'!$A$2:$A$43,$A22,'09_初始申报_技术'!$L$2:$L$43,$J22)</x:f>
        <x:v>40.53</x:v>
      </x:c>
      <x:c r="AS22" s="81" t="n">
        <x:v>53.05</x:v>
      </x:c>
      <x:c r="AT22" s="88" t="n">
        <x:v>1.03210116731517</x:v>
      </x:c>
      <x:c r="AU22" s="90" t="n">
        <x:f>IF(O22=0,0,AS22/O22)</x:f>
        <x:v>1.032101167315175</x:v>
      </x:c>
      <x:c r="AV22" s="86" t="n">
        <x:f>AS22+AR22</x:f>
        <x:v>93.58</x:v>
      </x:c>
      <x:c r="AW22" s="90" t="n">
        <x:f>IF(O22=0,0,AV22/O22)</x:f>
        <x:v>1.8206225680933852</x:v>
      </x:c>
      <x:c r="AX22" s="90" t="n">
        <x:f>IF(O22=0,0,(O22-AV22)/O22)</x:f>
        <x:v>-0.8206225680933852</x:v>
      </x:c>
      <x:c r="AY22" s="62" t="str">
        <x:v>CNY</x:v>
      </x:c>
      <x:c r="AZ22" s="62" t="str">
        <x:v>万元</x:v>
      </x:c>
      <x:c r="BA22" s="62" t="str">
        <x:v>费用不含税；收入采用净额</x:v>
      </x:c>
      <x:c r="BB22" s="62" t="str">
        <x:v>2025年预算申报明细汇总.xlsx</x:v>
      </x:c>
      <x:c r="BC22" s="62" t="str">
        <x:v>市场项目预算明细</x:v>
      </x:c>
      <x:c r="BD22" s="62" t="n">
        <x:v>22</x:v>
      </x:c>
      <x:c r="BE22" s="62" t="str">
        <x:v>2025|PRJ-AQ-安全-2025-003</x:v>
      </x:c>
      <x:c r="BF22" s="62" t="str">
        <x:f>IF(ABS(AT22-AU22)&lt;0.000001,"OK","FAIL")</x:f>
        <x:v>OK</x:v>
      </x:c>
      <x:c r="BG22" s="62" t="str">
        <x:f>IF(ABS(AW22+AX22-1)&lt;0.000001,"OK","FAIL")</x:f>
        <x:v>OK</x:v>
      </x:c>
    </x:row>
    <x:row r="23">
      <x:c r="A23" s="83" t="n">
        <x:v>2026</x:v>
      </x:c>
      <x:c r="B23" s="83" t="str">
        <x:v>FY2026-INITIAL-SUBMISSION-v1</x:v>
      </x:c>
      <x:c r="C23" s="83" t="str">
        <x:v>PROPOSAL</x:v>
      </x:c>
      <x:c r="D23" s="83" t="str">
        <x:v>INITIAL_SUBMITTED</x:v>
      </x:c>
      <x:c r="E23" s="84" t="n">
        <x:v>45961</x:v>
      </x:c>
      <x:c r="F23" s="83" t="str">
        <x:v>SOURCE</x:v>
      </x:c>
      <x:c r="G23" s="83" t="str">
        <x:v>设备管理部</x:v>
      </x:c>
      <x:c r="H23" s="83" t="str">
        <x:v>设备维护</x:v>
      </x:c>
      <x:c r="I23" s="83" t="str">
        <x:v>设备维护</x:v>
      </x:c>
      <x:c r="J23" s="83" t="str">
        <x:v>PRJ-SB-设备-2024-001</x:v>
      </x:c>
      <x:c r="K23" s="83" t="str">
        <x:v>已签订</x:v>
      </x:c>
      <x:c r="L23" s="83" t="str">
        <x:v>XX能源集团</x:v>
      </x:c>
      <x:c r="M23" s="88" t="n">
        <x:v>0.06</x:v>
      </x:c>
      <x:c r="N23" s="81" t="n">
        <x:v>254.61</x:v>
      </x:c>
      <x:c r="O23" s="81" t="n">
        <x:v>240.2</x:v>
      </x:c>
      <x:c r="P23" s="81" t="n">
        <x:v>24.27</x:v>
      </x:c>
      <x:c r="Q23" s="83" t="str">
        <x:v>其中：</x:v>
      </x:c>
      <x:c r="R23" s="83" t="n">
        <x:v>5</x:v>
      </x:c>
      <x:c r="S23" s="81" t="n">
        <x:v>0.26</x:v>
      </x:c>
      <x:c r="T23" s="83" t="n">
        <x:v>60</x:v>
      </x:c>
      <x:c r="U23" s="81" t="n">
        <x:v>15.78</x:v>
      </x:c>
      <x:c r="V23" s="81" t="n">
        <x:v>8.49</x:v>
      </x:c>
      <x:c r="W23" s="81" t="n">
        <x:v>71.008</x:v>
      </x:c>
      <x:c r="X23" s="83" t="str">
        <x:v>其中：</x:v>
      </x:c>
      <x:c r="Y23" s="81" t="n">
        <x:v>9.608</x:v>
      </x:c>
      <x:c r="Z23" s="81" t="n">
        <x:v>0.81</x:v>
      </x:c>
      <x:c r="AA23" s="81" t="n">
        <x:v>0</x:v>
      </x:c>
      <x:c r="AB23" s="81" t="n">
        <x:v>0.4</x:v>
      </x:c>
      <x:c r="AC23" s="81" t="n">
        <x:v>0.4</x:v>
      </x:c>
      <x:c r="AD23" s="81" t="n">
        <x:v>0.32</x:v>
      </x:c>
      <x:c r="AE23" s="81" t="n">
        <x:v>1.21</x:v>
      </x:c>
      <x:c r="AF23" s="81" t="n">
        <x:v>24.3</x:v>
      </x:c>
      <x:c r="AG23" s="81" t="n">
        <x:v>20.23</x:v>
      </x:c>
      <x:c r="AH23" s="81" t="n">
        <x:v>0.81</x:v>
      </x:c>
      <x:c r="AI23" s="81" t="n">
        <x:v>0.24</x:v>
      </x:c>
      <x:c r="AJ23" s="81" t="n">
        <x:v>0</x:v>
      </x:c>
      <x:c r="AK23" s="81" t="n">
        <x:v>0</x:v>
      </x:c>
      <x:c r="AL23" s="81" t="n">
        <x:v>0</x:v>
      </x:c>
      <x:c r="AM23" s="81" t="n">
        <x:v>0</x:v>
      </x:c>
      <x:c r="AN23" s="81" t="n">
        <x:v>0</x:v>
      </x:c>
      <x:c r="AO23" s="81" t="n">
        <x:v>0</x:v>
      </x:c>
      <x:c r="AP23" s="89" t="n">
        <x:f>SUMIFS('09_初始申报_技术'!$O$2:$O$43,'09_初始申报_技术'!$A$2:$A$43,$A23,'09_初始申报_技术'!$L$2:$L$43,$J23)</x:f>
        <x:v>12</x:v>
      </x:c>
      <x:c r="AQ23" s="86" t="n">
        <x:f>SUMIFS('09_初始申报_技术'!$R$2:$R$43,'09_初始申报_技术'!$A$2:$A$43,$A23,'09_初始申报_技术'!$L$2:$L$43,$J23)</x:f>
        <x:v>13.44</x:v>
      </x:c>
      <x:c r="AR23" s="86" t="n">
        <x:f>SUMIFS('09_初始申报_技术'!$S$2:$S$43,'09_初始申报_技术'!$A$2:$A$43,$A23,'09_初始申报_技术'!$L$2:$L$43,$J23)</x:f>
        <x:v>12.68</x:v>
      </x:c>
      <x:c r="AS23" s="81" t="n">
        <x:v>95.278</x:v>
      </x:c>
      <x:c r="AT23" s="88" t="n">
        <x:v>0.39666111573688595</x:v>
      </x:c>
      <x:c r="AU23" s="90" t="n">
        <x:f>IF(O23=0,0,AS23/O23)</x:f>
        <x:v>0.39666111573688595</x:v>
      </x:c>
      <x:c r="AV23" s="86" t="n">
        <x:f>AS23+AR23</x:f>
        <x:v>107.958</x:v>
      </x:c>
      <x:c r="AW23" s="90" t="n">
        <x:f>IF(O23=0,0,AV23/O23)</x:f>
        <x:v>0.4494504579517069</x:v>
      </x:c>
      <x:c r="AX23" s="90" t="n">
        <x:f>IF(O23=0,0,(O23-AV23)/O23)</x:f>
        <x:v>0.5505495420482931</x:v>
      </x:c>
      <x:c r="AY23" s="62" t="str">
        <x:v>CNY</x:v>
      </x:c>
      <x:c r="AZ23" s="62" t="str">
        <x:v>万元</x:v>
      </x:c>
      <x:c r="BA23" s="62" t="str">
        <x:v>费用不含税；收入采用净额</x:v>
      </x:c>
      <x:c r="BB23" s="62" t="str">
        <x:v>2026年预算申报明细汇总.xlsx</x:v>
      </x:c>
      <x:c r="BC23" s="62" t="str">
        <x:v>市场项目预算明细</x:v>
      </x:c>
      <x:c r="BD23" s="62" t="n">
        <x:v>2</x:v>
      </x:c>
      <x:c r="BE23" s="62" t="str">
        <x:v>2026|PRJ-SB-设备-2024-001</x:v>
      </x:c>
      <x:c r="BF23" s="62" t="str">
        <x:f>IF(ABS(AT23-AU23)&lt;0.000001,"OK","FAIL")</x:f>
        <x:v>OK</x:v>
      </x:c>
      <x:c r="BG23" s="62" t="str">
        <x:f>IF(ABS(AW23+AX23-1)&lt;0.000001,"OK","FAIL")</x:f>
        <x:v>OK</x:v>
      </x:c>
    </x:row>
    <x:row r="24">
      <x:c r="A24" s="83" t="n">
        <x:v>2026</x:v>
      </x:c>
      <x:c r="B24" s="83" t="str">
        <x:v>FY2026-INITIAL-SUBMISSION-v1</x:v>
      </x:c>
      <x:c r="C24" s="83" t="str">
        <x:v>PROPOSAL</x:v>
      </x:c>
      <x:c r="D24" s="83" t="str">
        <x:v>INITIAL_SUBMITTED</x:v>
      </x:c>
      <x:c r="E24" s="84" t="n">
        <x:v>45961</x:v>
      </x:c>
      <x:c r="F24" s="83" t="str">
        <x:v>SOURCE</x:v>
      </x:c>
      <x:c r="G24" s="83" t="str">
        <x:v>设备管理部</x:v>
      </x:c>
      <x:c r="H24" s="83" t="str">
        <x:v>设备维护</x:v>
      </x:c>
      <x:c r="I24" s="83" t="str">
        <x:v>设备维护</x:v>
      </x:c>
      <x:c r="J24" s="83" t="str">
        <x:v>PRJ-SB-设备-2025-002</x:v>
      </x:c>
      <x:c r="K24" s="83" t="str">
        <x:v>已签订</x:v>
      </x:c>
      <x:c r="L24" s="83" t="str">
        <x:v>XX能源集团</x:v>
      </x:c>
      <x:c r="M24" s="88" t="n">
        <x:v>0.06</x:v>
      </x:c>
      <x:c r="N24" s="81" t="n">
        <x:v>272.84</x:v>
      </x:c>
      <x:c r="O24" s="81" t="n">
        <x:v>257.4</x:v>
      </x:c>
      <x:c r="P24" s="81" t="n">
        <x:v>25.94</x:v>
      </x:c>
      <x:c r="Q24" s="83" t="str">
        <x:v>其中：</x:v>
      </x:c>
      <x:c r="R24" s="83" t="n">
        <x:v>5</x:v>
      </x:c>
      <x:c r="S24" s="81" t="n">
        <x:v>0.28</x:v>
      </x:c>
      <x:c r="T24" s="83" t="n">
        <x:v>60</x:v>
      </x:c>
      <x:c r="U24" s="81" t="n">
        <x:v>16.86</x:v>
      </x:c>
      <x:c r="V24" s="81" t="n">
        <x:v>9.08</x:v>
      </x:c>
      <x:c r="W24" s="81" t="n">
        <x:v>74.756</x:v>
      </x:c>
      <x:c r="X24" s="83" t="str">
        <x:v>其中：</x:v>
      </x:c>
      <x:c r="Y24" s="81" t="n">
        <x:v>10.296</x:v>
      </x:c>
      <x:c r="Z24" s="81" t="n">
        <x:v>0.86</x:v>
      </x:c>
      <x:c r="AA24" s="81" t="n">
        <x:v>0</x:v>
      </x:c>
      <x:c r="AB24" s="81" t="n">
        <x:v>0.43</x:v>
      </x:c>
      <x:c r="AC24" s="81" t="n">
        <x:v>0.43</x:v>
      </x:c>
      <x:c r="AD24" s="81" t="n">
        <x:v>0.35</x:v>
      </x:c>
      <x:c r="AE24" s="81" t="n">
        <x:v>1.3</x:v>
      </x:c>
      <x:c r="AF24" s="81" t="n">
        <x:v>25.9</x:v>
      </x:c>
      <x:c r="AG24" s="81" t="n">
        <x:v>21.62</x:v>
      </x:c>
      <x:c r="AH24" s="81" t="n">
        <x:v>0.86</x:v>
      </x:c>
      <x:c r="AI24" s="81" t="n">
        <x:v>0.26</x:v>
      </x:c>
      <x:c r="AJ24" s="81" t="n">
        <x:v>0</x:v>
      </x:c>
      <x:c r="AK24" s="81" t="n">
        <x:v>0</x:v>
      </x:c>
      <x:c r="AL24" s="81" t="n">
        <x:v>0</x:v>
      </x:c>
      <x:c r="AM24" s="81" t="n">
        <x:v>0</x:v>
      </x:c>
      <x:c r="AN24" s="81" t="n">
        <x:v>0</x:v>
      </x:c>
      <x:c r="AO24" s="81" t="n">
        <x:v>0</x:v>
      </x:c>
      <x:c r="AP24" s="89" t="n">
        <x:f>SUMIFS('09_初始申报_技术'!$O$2:$O$43,'09_初始申报_技术'!$A$2:$A$43,$A24,'09_初始申报_技术'!$L$2:$L$43,$J24)</x:f>
        <x:v>12</x:v>
      </x:c>
      <x:c r="AQ24" s="86" t="n">
        <x:f>SUMIFS('09_初始申报_技术'!$R$2:$R$43,'09_初始申报_技术'!$A$2:$A$43,$A24,'09_初始申报_技术'!$L$2:$L$43,$J24)</x:f>
        <x:v>13.2</x:v>
      </x:c>
      <x:c r="AR24" s="86" t="n">
        <x:f>SUMIFS('09_初始申报_技术'!$S$2:$S$43,'09_初始申报_技术'!$A$2:$A$43,$A24,'09_初始申报_技术'!$L$2:$L$43,$J24)</x:f>
        <x:v>12.45</x:v>
      </x:c>
      <x:c r="AS24" s="81" t="n">
        <x:v>100.696</x:v>
      </x:c>
      <x:c r="AT24" s="88" t="n">
        <x:v>0.3912043512043512</x:v>
      </x:c>
      <x:c r="AU24" s="90" t="n">
        <x:f>IF(O24=0,0,AS24/O24)</x:f>
        <x:v>0.3912043512043512</x:v>
      </x:c>
      <x:c r="AV24" s="86" t="n">
        <x:f>AS24+AR24</x:f>
        <x:v>113.146</x:v>
      </x:c>
      <x:c r="AW24" s="90" t="n">
        <x:f>IF(O24=0,0,AV24/O24)</x:f>
        <x:v>0.43957264957264963</x:v>
      </x:c>
      <x:c r="AX24" s="90" t="n">
        <x:f>IF(O24=0,0,(O24-AV24)/O24)</x:f>
        <x:v>0.5604273504273504</x:v>
      </x:c>
      <x:c r="AY24" s="62" t="str">
        <x:v>CNY</x:v>
      </x:c>
      <x:c r="AZ24" s="62" t="str">
        <x:v>万元</x:v>
      </x:c>
      <x:c r="BA24" s="62" t="str">
        <x:v>费用不含税；收入采用净额</x:v>
      </x:c>
      <x:c r="BB24" s="62" t="str">
        <x:v>2026年预算申报明细汇总.xlsx</x:v>
      </x:c>
      <x:c r="BC24" s="62" t="str">
        <x:v>市场项目预算明细</x:v>
      </x:c>
      <x:c r="BD24" s="62" t="n">
        <x:v>3</x:v>
      </x:c>
      <x:c r="BE24" s="62" t="str">
        <x:v>2026|PRJ-SB-设备-2025-002</x:v>
      </x:c>
      <x:c r="BF24" s="62" t="str">
        <x:f>IF(ABS(AT24-AU24)&lt;0.000001,"OK","FAIL")</x:f>
        <x:v>OK</x:v>
      </x:c>
      <x:c r="BG24" s="62" t="str">
        <x:f>IF(ABS(AW24+AX24-1)&lt;0.000001,"OK","FAIL")</x:f>
        <x:v>OK</x:v>
      </x:c>
    </x:row>
    <x:row r="25">
      <x:c r="A25" s="83" t="n">
        <x:v>2026</x:v>
      </x:c>
      <x:c r="B25" s="83" t="str">
        <x:v>FY2026-INITIAL-SUBMISSION-v1</x:v>
      </x:c>
      <x:c r="C25" s="83" t="str">
        <x:v>PROPOSAL</x:v>
      </x:c>
      <x:c r="D25" s="83" t="str">
        <x:v>INITIAL_SUBMITTED</x:v>
      </x:c>
      <x:c r="E25" s="84" t="n">
        <x:v>45961</x:v>
      </x:c>
      <x:c r="F25" s="83" t="str">
        <x:v>SOURCE</x:v>
      </x:c>
      <x:c r="G25" s="83" t="str">
        <x:v>设备管理部</x:v>
      </x:c>
      <x:c r="H25" s="83" t="str">
        <x:v>设备维护</x:v>
      </x:c>
      <x:c r="I25" s="83" t="str">
        <x:v>设备维护</x:v>
      </x:c>
      <x:c r="J25" s="83" t="str">
        <x:v>PRJ-SB-设备-2025-003</x:v>
      </x:c>
      <x:c r="K25" s="83" t="str">
        <x:v>已签订</x:v>
      </x:c>
      <x:c r="L25" s="83" t="str">
        <x:v>XX能源集团</x:v>
      </x:c>
      <x:c r="M25" s="88" t="n">
        <x:v>0.06</x:v>
      </x:c>
      <x:c r="N25" s="81" t="n">
        <x:v>263.94</x:v>
      </x:c>
      <x:c r="O25" s="81" t="n">
        <x:v>249</x:v>
      </x:c>
      <x:c r="P25" s="81" t="n">
        <x:v>25.03</x:v>
      </x:c>
      <x:c r="Q25" s="83" t="str">
        <x:v>其中：</x:v>
      </x:c>
      <x:c r="R25" s="83" t="n">
        <x:v>5</x:v>
      </x:c>
      <x:c r="S25" s="81" t="n">
        <x:v>0.27</x:v>
      </x:c>
      <x:c r="T25" s="83" t="n">
        <x:v>60</x:v>
      </x:c>
      <x:c r="U25" s="81" t="n">
        <x:v>16.27</x:v>
      </x:c>
      <x:c r="V25" s="81" t="n">
        <x:v>8.76</x:v>
      </x:c>
      <x:c r="W25" s="81" t="n">
        <x:v>72.6</x:v>
      </x:c>
      <x:c r="X25" s="83" t="str">
        <x:v>其中：</x:v>
      </x:c>
      <x:c r="Y25" s="81" t="n">
        <x:v>9.96</x:v>
      </x:c>
      <x:c r="Z25" s="81" t="n">
        <x:v>0.83</x:v>
      </x:c>
      <x:c r="AA25" s="81" t="n">
        <x:v>0</x:v>
      </x:c>
      <x:c r="AB25" s="81" t="n">
        <x:v>0.42</x:v>
      </x:c>
      <x:c r="AC25" s="81" t="n">
        <x:v>0.42</x:v>
      </x:c>
      <x:c r="AD25" s="81" t="n">
        <x:v>0.33</x:v>
      </x:c>
      <x:c r="AE25" s="81" t="n">
        <x:v>1.25</x:v>
      </x:c>
      <x:c r="AF25" s="81" t="n">
        <x:v>25</x:v>
      </x:c>
      <x:c r="AG25" s="81" t="n">
        <x:v>20.86</x:v>
      </x:c>
      <x:c r="AH25" s="81" t="n">
        <x:v>0.83</x:v>
      </x:c>
      <x:c r="AI25" s="81" t="n">
        <x:v>0.25</x:v>
      </x:c>
      <x:c r="AJ25" s="81" t="n">
        <x:v>0</x:v>
      </x:c>
      <x:c r="AK25" s="81" t="n">
        <x:v>0</x:v>
      </x:c>
      <x:c r="AL25" s="81" t="n">
        <x:v>0</x:v>
      </x:c>
      <x:c r="AM25" s="81" t="n">
        <x:v>0</x:v>
      </x:c>
      <x:c r="AN25" s="81" t="n">
        <x:v>0</x:v>
      </x:c>
      <x:c r="AO25" s="81" t="n">
        <x:v>0</x:v>
      </x:c>
      <x:c r="AP25" s="89" t="n">
        <x:f>SUMIFS('09_初始申报_技术'!$O$2:$O$43,'09_初始申报_技术'!$A$2:$A$43,$A25,'09_初始申报_技术'!$L$2:$L$43,$J25)</x:f>
        <x:v>12</x:v>
      </x:c>
      <x:c r="AQ25" s="86" t="n">
        <x:f>SUMIFS('09_初始申报_技术'!$R$2:$R$43,'09_初始申报_技术'!$A$2:$A$43,$A25,'09_初始申报_技术'!$L$2:$L$43,$J25)</x:f>
        <x:v>13.2</x:v>
      </x:c>
      <x:c r="AR25" s="86" t="n">
        <x:f>SUMIFS('09_初始申报_技术'!$S$2:$S$43,'09_初始申报_技术'!$A$2:$A$43,$A25,'09_初始申报_技术'!$L$2:$L$43,$J25)</x:f>
        <x:v>12.45</x:v>
      </x:c>
      <x:c r="AS25" s="81" t="n">
        <x:v>97.63</x:v>
      </x:c>
      <x:c r="AT25" s="88" t="n">
        <x:v>0.392088353413655</x:v>
      </x:c>
      <x:c r="AU25" s="90" t="n">
        <x:f>IF(O25=0,0,AS25/O25)</x:f>
        <x:v>0.3920883534136546</x:v>
      </x:c>
      <x:c r="AV25" s="86" t="n">
        <x:f>AS25+AR25</x:f>
        <x:v>110.08</x:v>
      </x:c>
      <x:c r="AW25" s="90" t="n">
        <x:f>IF(O25=0,0,AV25/O25)</x:f>
        <x:v>0.4420883534136546</x:v>
      </x:c>
      <x:c r="AX25" s="90" t="n">
        <x:f>IF(O25=0,0,(O25-AV25)/O25)</x:f>
        <x:v>0.5579116465863454</x:v>
      </x:c>
      <x:c r="AY25" s="62" t="str">
        <x:v>CNY</x:v>
      </x:c>
      <x:c r="AZ25" s="62" t="str">
        <x:v>万元</x:v>
      </x:c>
      <x:c r="BA25" s="62" t="str">
        <x:v>费用不含税；收入采用净额</x:v>
      </x:c>
      <x:c r="BB25" s="62" t="str">
        <x:v>2026年预算申报明细汇总.xlsx</x:v>
      </x:c>
      <x:c r="BC25" s="62" t="str">
        <x:v>市场项目预算明细</x:v>
      </x:c>
      <x:c r="BD25" s="62" t="n">
        <x:v>4</x:v>
      </x:c>
      <x:c r="BE25" s="62" t="str">
        <x:v>2026|PRJ-SB-设备-2025-003</x:v>
      </x:c>
      <x:c r="BF25" s="62" t="str">
        <x:f>IF(ABS(AT25-AU25)&lt;0.000001,"OK","FAIL")</x:f>
        <x:v>OK</x:v>
      </x:c>
      <x:c r="BG25" s="62" t="str">
        <x:f>IF(ABS(AW25+AX25-1)&lt;0.000001,"OK","FAIL")</x:f>
        <x:v>OK</x:v>
      </x:c>
    </x:row>
    <x:row r="26">
      <x:c r="A26" s="83" t="n">
        <x:v>2026</x:v>
      </x:c>
      <x:c r="B26" s="83" t="str">
        <x:v>FY2026-INITIAL-SUBMISSION-v1</x:v>
      </x:c>
      <x:c r="C26" s="83" t="str">
        <x:v>PROPOSAL</x:v>
      </x:c>
      <x:c r="D26" s="83" t="str">
        <x:v>INITIAL_SUBMITTED</x:v>
      </x:c>
      <x:c r="E26" s="84" t="n">
        <x:v>45961</x:v>
      </x:c>
      <x:c r="F26" s="83" t="str">
        <x:v>SOURCE</x:v>
      </x:c>
      <x:c r="G26" s="83" t="str">
        <x:v>技术部</x:v>
      </x:c>
      <x:c r="H26" s="83" t="str">
        <x:v>热能动力研究</x:v>
      </x:c>
      <x:c r="I26" s="83" t="str">
        <x:v>热能动力研究</x:v>
      </x:c>
      <x:c r="J26" s="83" t="str">
        <x:v>PRJ-JS-热能-2024-001</x:v>
      </x:c>
      <x:c r="K26" s="83" t="str">
        <x:v>已签订</x:v>
      </x:c>
      <x:c r="L26" s="83" t="str">
        <x:v>XX能源集团</x:v>
      </x:c>
      <x:c r="M26" s="88" t="n">
        <x:v>0.06</x:v>
      </x:c>
      <x:c r="N26" s="81" t="n">
        <x:v>66.04</x:v>
      </x:c>
      <x:c r="O26" s="81" t="n">
        <x:v>62.3</x:v>
      </x:c>
      <x:c r="P26" s="81" t="n">
        <x:v>4.98</x:v>
      </x:c>
      <x:c r="Q26" s="83" t="str">
        <x:v>其中：</x:v>
      </x:c>
      <x:c r="R26" s="83" t="n">
        <x:v>5</x:v>
      </x:c>
      <x:c r="S26" s="81" t="n">
        <x:v>0.05</x:v>
      </x:c>
      <x:c r="T26" s="83" t="n">
        <x:v>60</x:v>
      </x:c>
      <x:c r="U26" s="81" t="n">
        <x:v>3.24</x:v>
      </x:c>
      <x:c r="V26" s="81" t="n">
        <x:v>1.74</x:v>
      </x:c>
      <x:c r="W26" s="81" t="n">
        <x:v>118.132</x:v>
      </x:c>
      <x:c r="X26" s="83" t="str">
        <x:v>其中：</x:v>
      </x:c>
      <x:c r="Y26" s="81" t="n">
        <x:v>2.492</x:v>
      </x:c>
      <x:c r="Z26" s="81" t="n">
        <x:v>0.17</x:v>
      </x:c>
      <x:c r="AA26" s="81" t="n">
        <x:v>0</x:v>
      </x:c>
      <x:c r="AB26" s="81" t="n">
        <x:v>0.08</x:v>
      </x:c>
      <x:c r="AC26" s="81" t="n">
        <x:v>0.08</x:v>
      </x:c>
      <x:c r="AD26" s="81" t="n">
        <x:v>0.07</x:v>
      </x:c>
      <x:c r="AE26" s="81" t="n">
        <x:v>0.25</x:v>
      </x:c>
      <x:c r="AF26" s="81" t="n">
        <x:v>5</x:v>
      </x:c>
      <x:c r="AG26" s="81" t="n">
        <x:v>4.15</x:v>
      </x:c>
      <x:c r="AH26" s="81" t="n">
        <x:v>0.17</x:v>
      </x:c>
      <x:c r="AI26" s="81" t="n">
        <x:v>0.05</x:v>
      </x:c>
      <x:c r="AJ26" s="81" t="n">
        <x:v>0</x:v>
      </x:c>
      <x:c r="AK26" s="81" t="n">
        <x:v>0</x:v>
      </x:c>
      <x:c r="AL26" s="81" t="n">
        <x:v>0</x:v>
      </x:c>
      <x:c r="AM26" s="81" t="n">
        <x:v>0</x:v>
      </x:c>
      <x:c r="AN26" s="81" t="n">
        <x:v>0</x:v>
      </x:c>
      <x:c r="AO26" s="81" t="n">
        <x:v>0</x:v>
      </x:c>
      <x:c r="AP26" s="89" t="n">
        <x:f>SUMIFS('09_初始申报_技术'!$O$2:$O$43,'09_初始申报_技术'!$A$2:$A$43,$A26,'09_初始申报_技术'!$L$2:$L$43,$J26)</x:f>
        <x:v>36</x:v>
      </x:c>
      <x:c r="AQ26" s="86" t="n">
        <x:f>SUMIFS('09_初始申报_技术'!$R$2:$R$43,'09_初始申报_技术'!$A$2:$A$43,$A26,'09_初始申报_技术'!$L$2:$L$43,$J26)</x:f>
        <x:v>111.96</x:v>
      </x:c>
      <x:c r="AR26" s="86" t="n">
        <x:f>SUMIFS('09_初始申报_技术'!$S$2:$S$43,'09_初始申报_技术'!$A$2:$A$43,$A26,'09_初始申报_技术'!$L$2:$L$43,$J26)</x:f>
        <x:v>105.62</x:v>
      </x:c>
      <x:c r="AS26" s="81" t="n">
        <x:v>123.112</x:v>
      </x:c>
      <x:c r="AT26" s="88" t="n">
        <x:v>1.97611556982344</x:v>
      </x:c>
      <x:c r="AU26" s="90" t="n">
        <x:f>IF(O26=0,0,AS26/O26)</x:f>
        <x:v>1.976115569823435</x:v>
      </x:c>
      <x:c r="AV26" s="86" t="n">
        <x:f>AS26+AR26</x:f>
        <x:v>228.732</x:v>
      </x:c>
      <x:c r="AW26" s="90" t="n">
        <x:f>IF(O26=0,0,AV26/O26)</x:f>
        <x:v>3.6714606741573035</x:v>
      </x:c>
      <x:c r="AX26" s="90" t="n">
        <x:f>IF(O26=0,0,(O26-AV26)/O26)</x:f>
        <x:v>-2.671460674157304</x:v>
      </x:c>
      <x:c r="AY26" s="62" t="str">
        <x:v>CNY</x:v>
      </x:c>
      <x:c r="AZ26" s="62" t="str">
        <x:v>万元</x:v>
      </x:c>
      <x:c r="BA26" s="62" t="str">
        <x:v>费用不含税；收入采用净额</x:v>
      </x:c>
      <x:c r="BB26" s="62" t="str">
        <x:v>2026年预算申报明细汇总.xlsx</x:v>
      </x:c>
      <x:c r="BC26" s="62" t="str">
        <x:v>市场项目预算明细</x:v>
      </x:c>
      <x:c r="BD26" s="62" t="n">
        <x:v>5</x:v>
      </x:c>
      <x:c r="BE26" s="62" t="str">
        <x:v>2026|PRJ-JS-热能-2024-001</x:v>
      </x:c>
      <x:c r="BF26" s="62" t="str">
        <x:f>IF(ABS(AT26-AU26)&lt;0.000001,"OK","FAIL")</x:f>
        <x:v>OK</x:v>
      </x:c>
      <x:c r="BG26" s="62" t="str">
        <x:f>IF(ABS(AW26+AX26-1)&lt;0.000001,"OK","FAIL")</x:f>
        <x:v>OK</x:v>
      </x:c>
    </x:row>
    <x:row r="27">
      <x:c r="A27" s="83" t="n">
        <x:v>2026</x:v>
      </x:c>
      <x:c r="B27" s="83" t="str">
        <x:v>FY2026-INITIAL-SUBMISSION-v1</x:v>
      </x:c>
      <x:c r="C27" s="83" t="str">
        <x:v>PROPOSAL</x:v>
      </x:c>
      <x:c r="D27" s="83" t="str">
        <x:v>INITIAL_SUBMITTED</x:v>
      </x:c>
      <x:c r="E27" s="84" t="n">
        <x:v>45961</x:v>
      </x:c>
      <x:c r="F27" s="83" t="str">
        <x:v>SOURCE</x:v>
      </x:c>
      <x:c r="G27" s="83" t="str">
        <x:v>技术部</x:v>
      </x:c>
      <x:c r="H27" s="83" t="str">
        <x:v>热能动力研究</x:v>
      </x:c>
      <x:c r="I27" s="83" t="str">
        <x:v>热能动力研究</x:v>
      </x:c>
      <x:c r="J27" s="83" t="str">
        <x:v>PRJ-JS-热能-2025-002</x:v>
      </x:c>
      <x:c r="K27" s="83" t="str">
        <x:v>已签订</x:v>
      </x:c>
      <x:c r="L27" s="83" t="str">
        <x:v>XX能源集团</x:v>
      </x:c>
      <x:c r="M27" s="88" t="n">
        <x:v>0.06</x:v>
      </x:c>
      <x:c r="N27" s="81" t="n">
        <x:v>70.38</x:v>
      </x:c>
      <x:c r="O27" s="81" t="n">
        <x:v>66.4</x:v>
      </x:c>
      <x:c r="P27" s="81" t="n">
        <x:v>5.17</x:v>
      </x:c>
      <x:c r="Q27" s="83" t="str">
        <x:v>其中：</x:v>
      </x:c>
      <x:c r="R27" s="83" t="n">
        <x:v>5</x:v>
      </x:c>
      <x:c r="S27" s="81" t="n">
        <x:v>0.06</x:v>
      </x:c>
      <x:c r="T27" s="83" t="n">
        <x:v>60</x:v>
      </x:c>
      <x:c r="U27" s="81" t="n">
        <x:v>3.36</x:v>
      </x:c>
      <x:c r="V27" s="81" t="n">
        <x:v>1.81</x:v>
      </x:c>
      <x:c r="W27" s="81" t="n">
        <x:v>112.916</x:v>
      </x:c>
      <x:c r="X27" s="83" t="str">
        <x:v>其中：</x:v>
      </x:c>
      <x:c r="Y27" s="81" t="n">
        <x:v>2.656</x:v>
      </x:c>
      <x:c r="Z27" s="81" t="n">
        <x:v>0.17</x:v>
      </x:c>
      <x:c r="AA27" s="81" t="n">
        <x:v>0</x:v>
      </x:c>
      <x:c r="AB27" s="81" t="n">
        <x:v>0.09</x:v>
      </x:c>
      <x:c r="AC27" s="81" t="n">
        <x:v>0.09</x:v>
      </x:c>
      <x:c r="AD27" s="81" t="n">
        <x:v>0.07</x:v>
      </x:c>
      <x:c r="AE27" s="81" t="n">
        <x:v>0.26</x:v>
      </x:c>
      <x:c r="AF27" s="81" t="n">
        <x:v>5.2</x:v>
      </x:c>
      <x:c r="AG27" s="81" t="n">
        <x:v>4.31</x:v>
      </x:c>
      <x:c r="AH27" s="81" t="n">
        <x:v>0.17</x:v>
      </x:c>
      <x:c r="AI27" s="81" t="n">
        <x:v>0.05</x:v>
      </x:c>
      <x:c r="AJ27" s="81" t="n">
        <x:v>0</x:v>
      </x:c>
      <x:c r="AK27" s="81" t="n">
        <x:v>0</x:v>
      </x:c>
      <x:c r="AL27" s="81" t="n">
        <x:v>0</x:v>
      </x:c>
      <x:c r="AM27" s="81" t="n">
        <x:v>0</x:v>
      </x:c>
      <x:c r="AN27" s="81" t="n">
        <x:v>0</x:v>
      </x:c>
      <x:c r="AO27" s="81" t="n">
        <x:v>0</x:v>
      </x:c>
      <x:c r="AP27" s="89" t="n">
        <x:f>SUMIFS('09_初始申报_技术'!$O$2:$O$43,'09_初始申报_技术'!$A$2:$A$43,$A27,'09_初始申报_技术'!$L$2:$L$43,$J27)</x:f>
        <x:v>36</x:v>
      </x:c>
      <x:c r="AQ27" s="86" t="n">
        <x:f>SUMIFS('09_初始申报_技术'!$R$2:$R$43,'09_初始申报_技术'!$A$2:$A$43,$A27,'09_初始申报_技术'!$L$2:$L$43,$J27)</x:f>
        <x:v>105.84</x:v>
      </x:c>
      <x:c r="AR27" s="86" t="n">
        <x:f>SUMIFS('09_初始申报_技术'!$S$2:$S$43,'09_初始申报_技术'!$A$2:$A$43,$A27,'09_初始申报_技术'!$L$2:$L$43,$J27)</x:f>
        <x:v>99.85</x:v>
      </x:c>
      <x:c r="AS27" s="81" t="n">
        <x:v>118.086</x:v>
      </x:c>
      <x:c r="AT27" s="88" t="n">
        <x:v>1.77840361445783</x:v>
      </x:c>
      <x:c r="AU27" s="90" t="n">
        <x:f>IF(O27=0,0,AS27/O27)</x:f>
        <x:v>1.7784036144578312</x:v>
      </x:c>
      <x:c r="AV27" s="86" t="n">
        <x:f>AS27+AR27</x:f>
        <x:v>217.93599999999998</x:v>
      </x:c>
      <x:c r="AW27" s="90" t="n">
        <x:f>IF(O27=0,0,AV27/O27)</x:f>
        <x:v>3.2821686746987946</x:v>
      </x:c>
      <x:c r="AX27" s="90" t="n">
        <x:f>IF(O27=0,0,(O27-AV27)/O27)</x:f>
        <x:v>-2.2821686746987946</x:v>
      </x:c>
      <x:c r="AY27" s="62" t="str">
        <x:v>CNY</x:v>
      </x:c>
      <x:c r="AZ27" s="62" t="str">
        <x:v>万元</x:v>
      </x:c>
      <x:c r="BA27" s="62" t="str">
        <x:v>费用不含税；收入采用净额</x:v>
      </x:c>
      <x:c r="BB27" s="62" t="str">
        <x:v>2026年预算申报明细汇总.xlsx</x:v>
      </x:c>
      <x:c r="BC27" s="62" t="str">
        <x:v>市场项目预算明细</x:v>
      </x:c>
      <x:c r="BD27" s="62" t="n">
        <x:v>6</x:v>
      </x:c>
      <x:c r="BE27" s="62" t="str">
        <x:v>2026|PRJ-JS-热能-2025-002</x:v>
      </x:c>
      <x:c r="BF27" s="62" t="str">
        <x:f>IF(ABS(AT27-AU27)&lt;0.000001,"OK","FAIL")</x:f>
        <x:v>OK</x:v>
      </x:c>
      <x:c r="BG27" s="62" t="str">
        <x:f>IF(ABS(AW27+AX27-1)&lt;0.000001,"OK","FAIL")</x:f>
        <x:v>OK</x:v>
      </x:c>
    </x:row>
    <x:row r="28">
      <x:c r="A28" s="83" t="n">
        <x:v>2026</x:v>
      </x:c>
      <x:c r="B28" s="83" t="str">
        <x:v>FY2026-INITIAL-SUBMISSION-v1</x:v>
      </x:c>
      <x:c r="C28" s="83" t="str">
        <x:v>PROPOSAL</x:v>
      </x:c>
      <x:c r="D28" s="83" t="str">
        <x:v>INITIAL_SUBMITTED</x:v>
      </x:c>
      <x:c r="E28" s="84" t="n">
        <x:v>45961</x:v>
      </x:c>
      <x:c r="F28" s="83" t="str">
        <x:v>SOURCE</x:v>
      </x:c>
      <x:c r="G28" s="83" t="str">
        <x:v>技术部</x:v>
      </x:c>
      <x:c r="H28" s="83" t="str">
        <x:v>热能动力研究</x:v>
      </x:c>
      <x:c r="I28" s="83" t="str">
        <x:v>热能动力研究</x:v>
      </x:c>
      <x:c r="J28" s="83" t="str">
        <x:v>PRJ-JS-热能-2025-003</x:v>
      </x:c>
      <x:c r="K28" s="83" t="str">
        <x:v>已签订</x:v>
      </x:c>
      <x:c r="L28" s="83" t="str">
        <x:v>XX能源集团</x:v>
      </x:c>
      <x:c r="M28" s="88" t="n">
        <x:v>0.06</x:v>
      </x:c>
      <x:c r="N28" s="81" t="n">
        <x:v>71.44</x:v>
      </x:c>
      <x:c r="O28" s="81" t="n">
        <x:v>67.4</x:v>
      </x:c>
      <x:c r="P28" s="81" t="n">
        <x:v>5.23</x:v>
      </x:c>
      <x:c r="Q28" s="83" t="str">
        <x:v>其中：</x:v>
      </x:c>
      <x:c r="R28" s="83" t="n">
        <x:v>5</x:v>
      </x:c>
      <x:c r="S28" s="81" t="n">
        <x:v>0.06</x:v>
      </x:c>
      <x:c r="T28" s="83" t="n">
        <x:v>60</x:v>
      </x:c>
      <x:c r="U28" s="81" t="n">
        <x:v>3.4</x:v>
      </x:c>
      <x:c r="V28" s="81" t="n">
        <x:v>1.83</x:v>
      </x:c>
      <x:c r="W28" s="81" t="n">
        <x:v>109.946</x:v>
      </x:c>
      <x:c r="X28" s="83" t="str">
        <x:v>其中：</x:v>
      </x:c>
      <x:c r="Y28" s="81" t="n">
        <x:v>2.696</x:v>
      </x:c>
      <x:c r="Z28" s="81" t="n">
        <x:v>0.17</x:v>
      </x:c>
      <x:c r="AA28" s="81" t="n">
        <x:v>0</x:v>
      </x:c>
      <x:c r="AB28" s="81" t="n">
        <x:v>0.09</x:v>
      </x:c>
      <x:c r="AC28" s="81" t="n">
        <x:v>0.09</x:v>
      </x:c>
      <x:c r="AD28" s="81" t="n">
        <x:v>0.07</x:v>
      </x:c>
      <x:c r="AE28" s="81" t="n">
        <x:v>0.26</x:v>
      </x:c>
      <x:c r="AF28" s="81" t="n">
        <x:v>5.2</x:v>
      </x:c>
      <x:c r="AG28" s="81" t="n">
        <x:v>4.36</x:v>
      </x:c>
      <x:c r="AH28" s="81" t="n">
        <x:v>0.17</x:v>
      </x:c>
      <x:c r="AI28" s="81" t="n">
        <x:v>0.05</x:v>
      </x:c>
      <x:c r="AJ28" s="81" t="n">
        <x:v>0</x:v>
      </x:c>
      <x:c r="AK28" s="81" t="n">
        <x:v>0</x:v>
      </x:c>
      <x:c r="AL28" s="81" t="n">
        <x:v>0</x:v>
      </x:c>
      <x:c r="AM28" s="81" t="n">
        <x:v>0</x:v>
      </x:c>
      <x:c r="AN28" s="81" t="n">
        <x:v>0</x:v>
      </x:c>
      <x:c r="AO28" s="81" t="n">
        <x:v>0</x:v>
      </x:c>
      <x:c r="AP28" s="89" t="n">
        <x:f>SUMIFS('09_初始申报_技术'!$O$2:$O$43,'09_初始申报_技术'!$A$2:$A$43,$A28,'09_初始申报_技术'!$L$2:$L$43,$J28)</x:f>
        <x:v>36</x:v>
      </x:c>
      <x:c r="AQ28" s="86" t="n">
        <x:f>SUMIFS('09_初始申报_技术'!$R$2:$R$43,'09_初始申报_技术'!$A$2:$A$43,$A28,'09_初始申报_技术'!$L$2:$L$43,$J28)</x:f>
        <x:v>102.6</x:v>
      </x:c>
      <x:c r="AR28" s="86" t="n">
        <x:f>SUMIFS('09_初始申报_技术'!$S$2:$S$43,'09_初始申报_技术'!$A$2:$A$43,$A28,'09_初始申报_技术'!$L$2:$L$43,$J28)</x:f>
        <x:v>96.79</x:v>
      </x:c>
      <x:c r="AS28" s="81" t="n">
        <x:v>115.176</x:v>
      </x:c>
      <x:c r="AT28" s="88" t="n">
        <x:v>1.70884272997033</x:v>
      </x:c>
      <x:c r="AU28" s="90" t="n">
        <x:f>IF(O28=0,0,AS28/O28)</x:f>
        <x:v>1.7088427299703264</x:v>
      </x:c>
      <x:c r="AV28" s="86" t="n">
        <x:f>AS28+AR28</x:f>
        <x:v>211.966</x:v>
      </x:c>
      <x:c r="AW28" s="90" t="n">
        <x:f>IF(O28=0,0,AV28/O28)</x:f>
        <x:v>3.1448961424332342</x:v>
      </x:c>
      <x:c r="AX28" s="90" t="n">
        <x:f>IF(O28=0,0,(O28-AV28)/O28)</x:f>
        <x:v>-2.1448961424332342</x:v>
      </x:c>
      <x:c r="AY28" s="62" t="str">
        <x:v>CNY</x:v>
      </x:c>
      <x:c r="AZ28" s="62" t="str">
        <x:v>万元</x:v>
      </x:c>
      <x:c r="BA28" s="62" t="str">
        <x:v>费用不含税；收入采用净额</x:v>
      </x:c>
      <x:c r="BB28" s="62" t="str">
        <x:v>2026年预算申报明细汇总.xlsx</x:v>
      </x:c>
      <x:c r="BC28" s="62" t="str">
        <x:v>市场项目预算明细</x:v>
      </x:c>
      <x:c r="BD28" s="62" t="n">
        <x:v>7</x:v>
      </x:c>
      <x:c r="BE28" s="62" t="str">
        <x:v>2026|PRJ-JS-热能-2025-003</x:v>
      </x:c>
      <x:c r="BF28" s="62" t="str">
        <x:f>IF(ABS(AT28-AU28)&lt;0.000001,"OK","FAIL")</x:f>
        <x:v>OK</x:v>
      </x:c>
      <x:c r="BG28" s="62" t="str">
        <x:f>IF(ABS(AW28+AX28-1)&lt;0.000001,"OK","FAIL")</x:f>
        <x:v>OK</x:v>
      </x:c>
    </x:row>
    <x:row r="29">
      <x:c r="A29" s="83" t="n">
        <x:v>2026</x:v>
      </x:c>
      <x:c r="B29" s="83" t="str">
        <x:v>FY2026-INITIAL-SUBMISSION-v1</x:v>
      </x:c>
      <x:c r="C29" s="83" t="str">
        <x:v>PROPOSAL</x:v>
      </x:c>
      <x:c r="D29" s="83" t="str">
        <x:v>INITIAL_SUBMITTED</x:v>
      </x:c>
      <x:c r="E29" s="84" t="n">
        <x:v>45961</x:v>
      </x:c>
      <x:c r="F29" s="83" t="str">
        <x:v>SOURCE</x:v>
      </x:c>
      <x:c r="G29" s="83" t="str">
        <x:v>技术部</x:v>
      </x:c>
      <x:c r="H29" s="83" t="str">
        <x:v>经验反馈改进</x:v>
      </x:c>
      <x:c r="I29" s="83" t="str">
        <x:v>经验反馈改进</x:v>
      </x:c>
      <x:c r="J29" s="83" t="str">
        <x:v>PRJ-JS-经验-2024-001</x:v>
      </x:c>
      <x:c r="K29" s="83" t="str">
        <x:v>已签订</x:v>
      </x:c>
      <x:c r="L29" s="83" t="str">
        <x:v>XX能源集团</x:v>
      </x:c>
      <x:c r="M29" s="88" t="n">
        <x:v>0.06</x:v>
      </x:c>
      <x:c r="N29" s="81" t="n">
        <x:v>78.23</x:v>
      </x:c>
      <x:c r="O29" s="81" t="n">
        <x:v>73.8</x:v>
      </x:c>
      <x:c r="P29" s="81" t="n">
        <x:v>5.71</x:v>
      </x:c>
      <x:c r="Q29" s="83" t="str">
        <x:v>其中：</x:v>
      </x:c>
      <x:c r="R29" s="83" t="n">
        <x:v>5</x:v>
      </x:c>
      <x:c r="S29" s="81" t="n">
        <x:v>0.06</x:v>
      </x:c>
      <x:c r="T29" s="83" t="n">
        <x:v>60</x:v>
      </x:c>
      <x:c r="U29" s="81" t="n">
        <x:v>3.71</x:v>
      </x:c>
      <x:c r="V29" s="81" t="n">
        <x:v>2</x:v>
      </x:c>
      <x:c r="W29" s="81" t="n">
        <x:v>71.012</x:v>
      </x:c>
      <x:c r="X29" s="83" t="str">
        <x:v>其中：</x:v>
      </x:c>
      <x:c r="Y29" s="81" t="n">
        <x:v>2.952</x:v>
      </x:c>
      <x:c r="Z29" s="81" t="n">
        <x:v>0.19</x:v>
      </x:c>
      <x:c r="AA29" s="81" t="n">
        <x:v>0</x:v>
      </x:c>
      <x:c r="AB29" s="81" t="n">
        <x:v>0.1</x:v>
      </x:c>
      <x:c r="AC29" s="81" t="n">
        <x:v>0.1</x:v>
      </x:c>
      <x:c r="AD29" s="81" t="n">
        <x:v>0.08</x:v>
      </x:c>
      <x:c r="AE29" s="81" t="n">
        <x:v>0.29</x:v>
      </x:c>
      <x:c r="AF29" s="81" t="n">
        <x:v>5.7</x:v>
      </x:c>
      <x:c r="AG29" s="81" t="n">
        <x:v>4.75</x:v>
      </x:c>
      <x:c r="AH29" s="81" t="n">
        <x:v>0.19</x:v>
      </x:c>
      <x:c r="AI29" s="81" t="n">
        <x:v>0.06</x:v>
      </x:c>
      <x:c r="AJ29" s="81" t="n">
        <x:v>0</x:v>
      </x:c>
      <x:c r="AK29" s="81" t="n">
        <x:v>0</x:v>
      </x:c>
      <x:c r="AL29" s="81" t="n">
        <x:v>0</x:v>
      </x:c>
      <x:c r="AM29" s="81" t="n">
        <x:v>0</x:v>
      </x:c>
      <x:c r="AN29" s="81" t="n">
        <x:v>0</x:v>
      </x:c>
      <x:c r="AO29" s="81" t="n">
        <x:v>0</x:v>
      </x:c>
      <x:c r="AP29" s="89" t="n">
        <x:f>SUMIFS('09_初始申报_技术'!$O$2:$O$43,'09_初始申报_技术'!$A$2:$A$43,$A29,'09_初始申报_技术'!$L$2:$L$43,$J29)</x:f>
        <x:v>30</x:v>
      </x:c>
      <x:c r="AQ29" s="86" t="n">
        <x:f>SUMIFS('09_初始申报_技术'!$R$2:$R$43,'09_初始申报_技术'!$A$2:$A$43,$A29,'09_初始申报_技术'!$L$2:$L$43,$J29)</x:f>
        <x:v>60</x:v>
      </x:c>
      <x:c r="AR29" s="86" t="n">
        <x:f>SUMIFS('09_初始申报_技术'!$S$2:$S$43,'09_初始申报_技术'!$A$2:$A$43,$A29,'09_初始申报_技术'!$L$2:$L$43,$J29)</x:f>
        <x:v>56.6</x:v>
      </x:c>
      <x:c r="AS29" s="81" t="n">
        <x:v>76.722</x:v>
      </x:c>
      <x:c r="AT29" s="88" t="n">
        <x:v>1.03959349593496</x:v>
      </x:c>
      <x:c r="AU29" s="90" t="n">
        <x:f>IF(O29=0,0,AS29/O29)</x:f>
        <x:v>1.0395934959349593</x:v>
      </x:c>
      <x:c r="AV29" s="86" t="n">
        <x:f>AS29+AR29</x:f>
        <x:v>133.322</x:v>
      </x:c>
      <x:c r="AW29" s="90" t="n">
        <x:f>IF(O29=0,0,AV29/O29)</x:f>
        <x:v>1.8065311653116531</x:v>
      </x:c>
      <x:c r="AX29" s="90" t="n">
        <x:f>IF(O29=0,0,(O29-AV29)/O29)</x:f>
        <x:v>-0.8065311653116533</x:v>
      </x:c>
      <x:c r="AY29" s="62" t="str">
        <x:v>CNY</x:v>
      </x:c>
      <x:c r="AZ29" s="62" t="str">
        <x:v>万元</x:v>
      </x:c>
      <x:c r="BA29" s="62" t="str">
        <x:v>费用不含税；收入采用净额</x:v>
      </x:c>
      <x:c r="BB29" s="62" t="str">
        <x:v>2026年预算申报明细汇总.xlsx</x:v>
      </x:c>
      <x:c r="BC29" s="62" t="str">
        <x:v>市场项目预算明细</x:v>
      </x:c>
      <x:c r="BD29" s="62" t="n">
        <x:v>8</x:v>
      </x:c>
      <x:c r="BE29" s="62" t="str">
        <x:v>2026|PRJ-JS-经验-2024-001</x:v>
      </x:c>
      <x:c r="BF29" s="62" t="str">
        <x:f>IF(ABS(AT29-AU29)&lt;0.000001,"OK","FAIL")</x:f>
        <x:v>OK</x:v>
      </x:c>
      <x:c r="BG29" s="62" t="str">
        <x:f>IF(ABS(AW29+AX29-1)&lt;0.000001,"OK","FAIL")</x:f>
        <x:v>OK</x:v>
      </x:c>
    </x:row>
    <x:row r="30">
      <x:c r="A30" s="83" t="n">
        <x:v>2026</x:v>
      </x:c>
      <x:c r="B30" s="83" t="str">
        <x:v>FY2026-INITIAL-SUBMISSION-v1</x:v>
      </x:c>
      <x:c r="C30" s="83" t="str">
        <x:v>PROPOSAL</x:v>
      </x:c>
      <x:c r="D30" s="83" t="str">
        <x:v>INITIAL_SUBMITTED</x:v>
      </x:c>
      <x:c r="E30" s="84" t="n">
        <x:v>45961</x:v>
      </x:c>
      <x:c r="F30" s="83" t="str">
        <x:v>SOURCE</x:v>
      </x:c>
      <x:c r="G30" s="83" t="str">
        <x:v>技术部</x:v>
      </x:c>
      <x:c r="H30" s="83" t="str">
        <x:v>经验反馈改进</x:v>
      </x:c>
      <x:c r="I30" s="83" t="str">
        <x:v>经验反馈改进</x:v>
      </x:c>
      <x:c r="J30" s="83" t="str">
        <x:v>PRJ-JS-经验-2025-002</x:v>
      </x:c>
      <x:c r="K30" s="83" t="str">
        <x:v>已签订</x:v>
      </x:c>
      <x:c r="L30" s="83" t="str">
        <x:v>XX能源集团</x:v>
      </x:c>
      <x:c r="M30" s="88" t="n">
        <x:v>0.06</x:v>
      </x:c>
      <x:c r="N30" s="81" t="n">
        <x:v>74.31</x:v>
      </x:c>
      <x:c r="O30" s="81" t="n">
        <x:v>70.1</x:v>
      </x:c>
      <x:c r="P30" s="81" t="n">
        <x:v>5.59</x:v>
      </x:c>
      <x:c r="Q30" s="83" t="str">
        <x:v>其中：</x:v>
      </x:c>
      <x:c r="R30" s="83" t="n">
        <x:v>5</x:v>
      </x:c>
      <x:c r="S30" s="81" t="n">
        <x:v>0.06</x:v>
      </x:c>
      <x:c r="T30" s="83" t="n">
        <x:v>60</x:v>
      </x:c>
      <x:c r="U30" s="81" t="n">
        <x:v>3.63</x:v>
      </x:c>
      <x:c r="V30" s="81" t="n">
        <x:v>1.96</x:v>
      </x:c>
      <x:c r="W30" s="81" t="n">
        <x:v>75.164</x:v>
      </x:c>
      <x:c r="X30" s="83" t="str">
        <x:v>其中：</x:v>
      </x:c>
      <x:c r="Y30" s="81" t="n">
        <x:v>2.804</x:v>
      </x:c>
      <x:c r="Z30" s="81" t="n">
        <x:v>0.19</x:v>
      </x:c>
      <x:c r="AA30" s="81" t="n">
        <x:v>0</x:v>
      </x:c>
      <x:c r="AB30" s="81" t="n">
        <x:v>0.09</x:v>
      </x:c>
      <x:c r="AC30" s="81" t="n">
        <x:v>0.09</x:v>
      </x:c>
      <x:c r="AD30" s="81" t="n">
        <x:v>0.07</x:v>
      </x:c>
      <x:c r="AE30" s="81" t="n">
        <x:v>0.28</x:v>
      </x:c>
      <x:c r="AF30" s="81" t="n">
        <x:v>5.6</x:v>
      </x:c>
      <x:c r="AG30" s="81" t="n">
        <x:v>4.66</x:v>
      </x:c>
      <x:c r="AH30" s="81" t="n">
        <x:v>0.19</x:v>
      </x:c>
      <x:c r="AI30" s="81" t="n">
        <x:v>0.06</x:v>
      </x:c>
      <x:c r="AJ30" s="81" t="n">
        <x:v>0</x:v>
      </x:c>
      <x:c r="AK30" s="81" t="n">
        <x:v>0</x:v>
      </x:c>
      <x:c r="AL30" s="81" t="n">
        <x:v>0</x:v>
      </x:c>
      <x:c r="AM30" s="81" t="n">
        <x:v>0</x:v>
      </x:c>
      <x:c r="AN30" s="81" t="n">
        <x:v>0</x:v>
      </x:c>
      <x:c r="AO30" s="81" t="n">
        <x:v>0</x:v>
      </x:c>
      <x:c r="AP30" s="89" t="n">
        <x:f>SUMIFS('09_初始申报_技术'!$O$2:$O$43,'09_初始申报_技术'!$A$2:$A$43,$A30,'09_初始申报_技术'!$L$2:$L$43,$J30)</x:f>
        <x:v>30</x:v>
      </x:c>
      <x:c r="AQ30" s="86" t="n">
        <x:f>SUMIFS('09_初始申报_技术'!$R$2:$R$43,'09_初始申报_技术'!$A$2:$A$43,$A30,'09_初始申报_技术'!$L$2:$L$43,$J30)</x:f>
        <x:v>64.8</x:v>
      </x:c>
      <x:c r="AR30" s="86" t="n">
        <x:f>SUMIFS('09_初始申报_技术'!$S$2:$S$43,'09_初始申报_技术'!$A$2:$A$43,$A30,'09_初始申报_技术'!$L$2:$L$43,$J30)</x:f>
        <x:v>61.13</x:v>
      </x:c>
      <x:c r="AS30" s="81" t="n">
        <x:v>80.754</x:v>
      </x:c>
      <x:c r="AT30" s="88" t="n">
        <x:v>1.15198288159772</x:v>
      </x:c>
      <x:c r="AU30" s="90" t="n">
        <x:f>IF(O30=0,0,AS30/O30)</x:f>
        <x:v>1.1519828815977178</x:v>
      </x:c>
      <x:c r="AV30" s="86" t="n">
        <x:f>AS30+AR30</x:f>
        <x:v>141.88400000000001</x:v>
      </x:c>
      <x:c r="AW30" s="90" t="n">
        <x:f>IF(O30=0,0,AV30/O30)</x:f>
        <x:v>2.024022824536377</x:v>
      </x:c>
      <x:c r="AX30" s="90" t="n">
        <x:f>IF(O30=0,0,(O30-AV30)/O30)</x:f>
        <x:v>-1.024022824536377</x:v>
      </x:c>
      <x:c r="AY30" s="62" t="str">
        <x:v>CNY</x:v>
      </x:c>
      <x:c r="AZ30" s="62" t="str">
        <x:v>万元</x:v>
      </x:c>
      <x:c r="BA30" s="62" t="str">
        <x:v>费用不含税；收入采用净额</x:v>
      </x:c>
      <x:c r="BB30" s="62" t="str">
        <x:v>2026年预算申报明细汇总.xlsx</x:v>
      </x:c>
      <x:c r="BC30" s="62" t="str">
        <x:v>市场项目预算明细</x:v>
      </x:c>
      <x:c r="BD30" s="62" t="n">
        <x:v>9</x:v>
      </x:c>
      <x:c r="BE30" s="62" t="str">
        <x:v>2026|PRJ-JS-经验-2025-002</x:v>
      </x:c>
      <x:c r="BF30" s="62" t="str">
        <x:f>IF(ABS(AT30-AU30)&lt;0.000001,"OK","FAIL")</x:f>
        <x:v>OK</x:v>
      </x:c>
      <x:c r="BG30" s="62" t="str">
        <x:f>IF(ABS(AW30+AX30-1)&lt;0.000001,"OK","FAIL")</x:f>
        <x:v>OK</x:v>
      </x:c>
    </x:row>
    <x:row r="31">
      <x:c r="A31" s="83" t="n">
        <x:v>2026</x:v>
      </x:c>
      <x:c r="B31" s="83" t="str">
        <x:v>FY2026-INITIAL-SUBMISSION-v1</x:v>
      </x:c>
      <x:c r="C31" s="83" t="str">
        <x:v>PROPOSAL</x:v>
      </x:c>
      <x:c r="D31" s="83" t="str">
        <x:v>INITIAL_SUBMITTED</x:v>
      </x:c>
      <x:c r="E31" s="84" t="n">
        <x:v>45961</x:v>
      </x:c>
      <x:c r="F31" s="83" t="str">
        <x:v>SOURCE</x:v>
      </x:c>
      <x:c r="G31" s="83" t="str">
        <x:v>技术部</x:v>
      </x:c>
      <x:c r="H31" s="83" t="str">
        <x:v>经验反馈改进</x:v>
      </x:c>
      <x:c r="I31" s="83" t="str">
        <x:v>经验反馈改进</x:v>
      </x:c>
      <x:c r="J31" s="83" t="str">
        <x:v>PRJ-JS-经验-2025-003</x:v>
      </x:c>
      <x:c r="K31" s="83" t="str">
        <x:v>已签订</x:v>
      </x:c>
      <x:c r="L31" s="83" t="str">
        <x:v>XX能源集团</x:v>
      </x:c>
      <x:c r="M31" s="88" t="n">
        <x:v>0.06</x:v>
      </x:c>
      <x:c r="N31" s="81" t="n">
        <x:v>73.35</x:v>
      </x:c>
      <x:c r="O31" s="81" t="n">
        <x:v>69.2</x:v>
      </x:c>
      <x:c r="P31" s="81" t="n">
        <x:v>5.52</x:v>
      </x:c>
      <x:c r="Q31" s="83" t="str">
        <x:v>其中：</x:v>
      </x:c>
      <x:c r="R31" s="83" t="n">
        <x:v>5</x:v>
      </x:c>
      <x:c r="S31" s="81" t="n">
        <x:v>0.06</x:v>
      </x:c>
      <x:c r="T31" s="83" t="n">
        <x:v>60</x:v>
      </x:c>
      <x:c r="U31" s="81" t="n">
        <x:v>3.59</x:v>
      </x:c>
      <x:c r="V31" s="81" t="n">
        <x:v>1.93</x:v>
      </x:c>
      <x:c r="W31" s="81" t="n">
        <x:v>76.928</x:v>
      </x:c>
      <x:c r="X31" s="83" t="str">
        <x:v>其中：</x:v>
      </x:c>
      <x:c r="Y31" s="81" t="n">
        <x:v>2.768</x:v>
      </x:c>
      <x:c r="Z31" s="81" t="n">
        <x:v>0.18</x:v>
      </x:c>
      <x:c r="AA31" s="81" t="n">
        <x:v>0</x:v>
      </x:c>
      <x:c r="AB31" s="81" t="n">
        <x:v>0.09</x:v>
      </x:c>
      <x:c r="AC31" s="81" t="n">
        <x:v>0.09</x:v>
      </x:c>
      <x:c r="AD31" s="81" t="n">
        <x:v>0.07</x:v>
      </x:c>
      <x:c r="AE31" s="81" t="n">
        <x:v>0.28</x:v>
      </x:c>
      <x:c r="AF31" s="81" t="n">
        <x:v>5.5</x:v>
      </x:c>
      <x:c r="AG31" s="81" t="n">
        <x:v>4.6</x:v>
      </x:c>
      <x:c r="AH31" s="81" t="n">
        <x:v>0.18</x:v>
      </x:c>
      <x:c r="AI31" s="81" t="n">
        <x:v>0.06</x:v>
      </x:c>
      <x:c r="AJ31" s="81" t="n">
        <x:v>0</x:v>
      </x:c>
      <x:c r="AK31" s="81" t="n">
        <x:v>0</x:v>
      </x:c>
      <x:c r="AL31" s="81" t="n">
        <x:v>0</x:v>
      </x:c>
      <x:c r="AM31" s="81" t="n">
        <x:v>0</x:v>
      </x:c>
      <x:c r="AN31" s="81" t="n">
        <x:v>0</x:v>
      </x:c>
      <x:c r="AO31" s="81" t="n">
        <x:v>0</x:v>
      </x:c>
      <x:c r="AP31" s="89" t="n">
        <x:f>SUMIFS('09_初始申报_技术'!$O$2:$O$43,'09_初始申报_技术'!$A$2:$A$43,$A31,'09_初始申报_技术'!$L$2:$L$43,$J31)</x:f>
        <x:v>30</x:v>
      </x:c>
      <x:c r="AQ31" s="86" t="n">
        <x:f>SUMIFS('09_初始申报_技术'!$R$2:$R$43,'09_初始申报_技术'!$A$2:$A$43,$A31,'09_初始申报_技术'!$L$2:$L$43,$J31)</x:f>
        <x:v>66.9</x:v>
      </x:c>
      <x:c r="AR31" s="86" t="n">
        <x:f>SUMIFS('09_初始申报_技术'!$S$2:$S$43,'09_初始申报_技术'!$A$2:$A$43,$A31,'09_初始申报_技术'!$L$2:$L$43,$J31)</x:f>
        <x:v>63.11</x:v>
      </x:c>
      <x:c r="AS31" s="81" t="n">
        <x:v>82.448</x:v>
      </x:c>
      <x:c r="AT31" s="88" t="n">
        <x:v>1.1914450867052</x:v>
      </x:c>
      <x:c r="AU31" s="90" t="n">
        <x:f>IF(O31=0,0,AS31/O31)</x:f>
        <x:v>1.1914450867052022</x:v>
      </x:c>
      <x:c r="AV31" s="86" t="n">
        <x:f>AS31+AR31</x:f>
        <x:v>145.558</x:v>
      </x:c>
      <x:c r="AW31" s="90" t="n">
        <x:f>IF(O31=0,0,AV31/O31)</x:f>
        <x:v>2.103439306358381</x:v>
      </x:c>
      <x:c r="AX31" s="90" t="n">
        <x:f>IF(O31=0,0,(O31-AV31)/O31)</x:f>
        <x:v>-1.1034393063583814</x:v>
      </x:c>
      <x:c r="AY31" s="62" t="str">
        <x:v>CNY</x:v>
      </x:c>
      <x:c r="AZ31" s="62" t="str">
        <x:v>万元</x:v>
      </x:c>
      <x:c r="BA31" s="62" t="str">
        <x:v>费用不含税；收入采用净额</x:v>
      </x:c>
      <x:c r="BB31" s="62" t="str">
        <x:v>2026年预算申报明细汇总.xlsx</x:v>
      </x:c>
      <x:c r="BC31" s="62" t="str">
        <x:v>市场项目预算明细</x:v>
      </x:c>
      <x:c r="BD31" s="62" t="n">
        <x:v>10</x:v>
      </x:c>
      <x:c r="BE31" s="62" t="str">
        <x:v>2026|PRJ-JS-经验-2025-003</x:v>
      </x:c>
      <x:c r="BF31" s="62" t="str">
        <x:f>IF(ABS(AT31-AU31)&lt;0.000001,"OK","FAIL")</x:f>
        <x:v>OK</x:v>
      </x:c>
      <x:c r="BG31" s="62" t="str">
        <x:f>IF(ABS(AW31+AX31-1)&lt;0.000001,"OK","FAIL")</x:f>
        <x:v>OK</x:v>
      </x:c>
    </x:row>
    <x:row r="32">
      <x:c r="A32" s="83" t="n">
        <x:v>2026</x:v>
      </x:c>
      <x:c r="B32" s="83" t="str">
        <x:v>FY2026-INITIAL-SUBMISSION-v1</x:v>
      </x:c>
      <x:c r="C32" s="83" t="str">
        <x:v>PROPOSAL</x:v>
      </x:c>
      <x:c r="D32" s="83" t="str">
        <x:v>INITIAL_SUBMITTED</x:v>
      </x:c>
      <x:c r="E32" s="84" t="n">
        <x:v>45961</x:v>
      </x:c>
      <x:c r="F32" s="83" t="str">
        <x:v>SOURCE</x:v>
      </x:c>
      <x:c r="G32" s="83" t="str">
        <x:v>技术部</x:v>
      </x:c>
      <x:c r="H32" s="83" t="str">
        <x:v>新技术应用</x:v>
      </x:c>
      <x:c r="I32" s="83" t="str">
        <x:v>新技术应用</x:v>
      </x:c>
      <x:c r="J32" s="83" t="str">
        <x:v>PRJ-JS-新技-2024-001</x:v>
      </x:c>
      <x:c r="K32" s="83" t="str">
        <x:v>已签订</x:v>
      </x:c>
      <x:c r="L32" s="83" t="str">
        <x:v>XX能源集团</x:v>
      </x:c>
      <x:c r="M32" s="88" t="n">
        <x:v>0.06</x:v>
      </x:c>
      <x:c r="N32" s="81" t="n">
        <x:v>68.48</x:v>
      </x:c>
      <x:c r="O32" s="81" t="n">
        <x:v>64.6</x:v>
      </x:c>
      <x:c r="P32" s="81" t="n">
        <x:v>5.1</x:v>
      </x:c>
      <x:c r="Q32" s="83" t="str">
        <x:v>其中：</x:v>
      </x:c>
      <x:c r="R32" s="83" t="n">
        <x:v>5</x:v>
      </x:c>
      <x:c r="S32" s="81" t="n">
        <x:v>0.06</x:v>
      </x:c>
      <x:c r="T32" s="83" t="n">
        <x:v>60</x:v>
      </x:c>
      <x:c r="U32" s="81" t="n">
        <x:v>3.31</x:v>
      </x:c>
      <x:c r="V32" s="81" t="n">
        <x:v>1.78</x:v>
      </x:c>
      <x:c r="W32" s="81" t="n">
        <x:v>123.554</x:v>
      </x:c>
      <x:c r="X32" s="83" t="str">
        <x:v>其中：</x:v>
      </x:c>
      <x:c r="Y32" s="81" t="n">
        <x:v>2.584</x:v>
      </x:c>
      <x:c r="Z32" s="81" t="n">
        <x:v>0.17</x:v>
      </x:c>
      <x:c r="AA32" s="81" t="n">
        <x:v>0</x:v>
      </x:c>
      <x:c r="AB32" s="81" t="n">
        <x:v>0.09</x:v>
      </x:c>
      <x:c r="AC32" s="81" t="n">
        <x:v>0.09</x:v>
      </x:c>
      <x:c r="AD32" s="81" t="n">
        <x:v>0.07</x:v>
      </x:c>
      <x:c r="AE32" s="81" t="n">
        <x:v>0.26</x:v>
      </x:c>
      <x:c r="AF32" s="81" t="n">
        <x:v>5.1</x:v>
      </x:c>
      <x:c r="AG32" s="81" t="n">
        <x:v>4.25</x:v>
      </x:c>
      <x:c r="AH32" s="81" t="n">
        <x:v>0.17</x:v>
      </x:c>
      <x:c r="AI32" s="81" t="n">
        <x:v>0.05</x:v>
      </x:c>
      <x:c r="AJ32" s="81" t="n">
        <x:v>0</x:v>
      </x:c>
      <x:c r="AK32" s="81" t="n">
        <x:v>0</x:v>
      </x:c>
      <x:c r="AL32" s="81" t="n">
        <x:v>0</x:v>
      </x:c>
      <x:c r="AM32" s="81" t="n">
        <x:v>0</x:v>
      </x:c>
      <x:c r="AN32" s="81" t="n">
        <x:v>0</x:v>
      </x:c>
      <x:c r="AO32" s="81" t="n">
        <x:v>0</x:v>
      </x:c>
      <x:c r="AP32" s="89" t="n">
        <x:f>SUMIFS('09_初始申报_技术'!$O$2:$O$43,'09_初始申报_技术'!$A$2:$A$43,$A32,'09_初始申报_技术'!$L$2:$L$43,$J32)</x:f>
        <x:v>36</x:v>
      </x:c>
      <x:c r="AQ32" s="86" t="n">
        <x:f>SUMIFS('09_初始申报_技术'!$R$2:$R$43,'09_初始申报_技术'!$A$2:$A$43,$A32,'09_初始申报_技术'!$L$2:$L$43,$J32)</x:f>
        <x:v>117.36</x:v>
      </x:c>
      <x:c r="AR32" s="86" t="n">
        <x:f>SUMIFS('09_初始申报_技术'!$S$2:$S$43,'09_初始申报_技术'!$A$2:$A$43,$A32,'09_初始申报_技术'!$L$2:$L$43,$J32)</x:f>
        <x:v>110.72</x:v>
      </x:c>
      <x:c r="AS32" s="81" t="n">
        <x:v>128.654</x:v>
      </x:c>
      <x:c r="AT32" s="88" t="n">
        <x:v>1.9915479876161</x:v>
      </x:c>
      <x:c r="AU32" s="90" t="n">
        <x:f>IF(O32=0,0,AS32/O32)</x:f>
        <x:v>1.991547987616099</x:v>
      </x:c>
      <x:c r="AV32" s="86" t="n">
        <x:f>AS32+AR32</x:f>
        <x:v>239.374</x:v>
      </x:c>
      <x:c r="AW32" s="90" t="n">
        <x:f>IF(O32=0,0,AV32/O32)</x:f>
        <x:v>3.705479876160991</x:v>
      </x:c>
      <x:c r="AX32" s="90" t="n">
        <x:f>IF(O32=0,0,(O32-AV32)/O32)</x:f>
        <x:v>-2.705479876160991</x:v>
      </x:c>
      <x:c r="AY32" s="62" t="str">
        <x:v>CNY</x:v>
      </x:c>
      <x:c r="AZ32" s="62" t="str">
        <x:v>万元</x:v>
      </x:c>
      <x:c r="BA32" s="62" t="str">
        <x:v>费用不含税；收入采用净额</x:v>
      </x:c>
      <x:c r="BB32" s="62" t="str">
        <x:v>2026年预算申报明细汇总.xlsx</x:v>
      </x:c>
      <x:c r="BC32" s="62" t="str">
        <x:v>市场项目预算明细</x:v>
      </x:c>
      <x:c r="BD32" s="62" t="n">
        <x:v>11</x:v>
      </x:c>
      <x:c r="BE32" s="62" t="str">
        <x:v>2026|PRJ-JS-新技-2024-001</x:v>
      </x:c>
      <x:c r="BF32" s="62" t="str">
        <x:f>IF(ABS(AT32-AU32)&lt;0.000001,"OK","FAIL")</x:f>
        <x:v>OK</x:v>
      </x:c>
      <x:c r="BG32" s="62" t="str">
        <x:f>IF(ABS(AW32+AX32-1)&lt;0.000001,"OK","FAIL")</x:f>
        <x:v>OK</x:v>
      </x:c>
    </x:row>
    <x:row r="33">
      <x:c r="A33" s="83" t="n">
        <x:v>2026</x:v>
      </x:c>
      <x:c r="B33" s="83" t="str">
        <x:v>FY2026-INITIAL-SUBMISSION-v1</x:v>
      </x:c>
      <x:c r="C33" s="83" t="str">
        <x:v>PROPOSAL</x:v>
      </x:c>
      <x:c r="D33" s="83" t="str">
        <x:v>INITIAL_SUBMITTED</x:v>
      </x:c>
      <x:c r="E33" s="84" t="n">
        <x:v>45961</x:v>
      </x:c>
      <x:c r="F33" s="83" t="str">
        <x:v>SOURCE</x:v>
      </x:c>
      <x:c r="G33" s="83" t="str">
        <x:v>技术部</x:v>
      </x:c>
      <x:c r="H33" s="83" t="str">
        <x:v>新技术应用</x:v>
      </x:c>
      <x:c r="I33" s="83" t="str">
        <x:v>新技术应用</x:v>
      </x:c>
      <x:c r="J33" s="83" t="str">
        <x:v>PRJ-JS-新技-2025-002</x:v>
      </x:c>
      <x:c r="K33" s="83" t="str">
        <x:v>已签订</x:v>
      </x:c>
      <x:c r="L33" s="83" t="str">
        <x:v>XX能源集团</x:v>
      </x:c>
      <x:c r="M33" s="88" t="n">
        <x:v>0.06</x:v>
      </x:c>
      <x:c r="N33" s="81" t="n">
        <x:v>81.83</x:v>
      </x:c>
      <x:c r="O33" s="81" t="n">
        <x:v>77.2</x:v>
      </x:c>
      <x:c r="P33" s="81" t="n">
        <x:v>6.07</x:v>
      </x:c>
      <x:c r="Q33" s="83" t="str">
        <x:v>其中：</x:v>
      </x:c>
      <x:c r="R33" s="83" t="n">
        <x:v>5</x:v>
      </x:c>
      <x:c r="S33" s="81" t="n">
        <x:v>0.07</x:v>
      </x:c>
      <x:c r="T33" s="83" t="n">
        <x:v>60</x:v>
      </x:c>
      <x:c r="U33" s="81" t="n">
        <x:v>3.95</x:v>
      </x:c>
      <x:c r="V33" s="81" t="n">
        <x:v>2.12</x:v>
      </x:c>
      <x:c r="W33" s="81" t="n">
        <x:v>120.558</x:v>
      </x:c>
      <x:c r="X33" s="83" t="str">
        <x:v>其中：</x:v>
      </x:c>
      <x:c r="Y33" s="81" t="n">
        <x:v>3.088</x:v>
      </x:c>
      <x:c r="Z33" s="81" t="n">
        <x:v>0.2</x:v>
      </x:c>
      <x:c r="AA33" s="81" t="n">
        <x:v>0</x:v>
      </x:c>
      <x:c r="AB33" s="81" t="n">
        <x:v>0.1</x:v>
      </x:c>
      <x:c r="AC33" s="81" t="n">
        <x:v>0.1</x:v>
      </x:c>
      <x:c r="AD33" s="81" t="n">
        <x:v>0.08</x:v>
      </x:c>
      <x:c r="AE33" s="81" t="n">
        <x:v>0.3</x:v>
      </x:c>
      <x:c r="AF33" s="81" t="n">
        <x:v>6.1</x:v>
      </x:c>
      <x:c r="AG33" s="81" t="n">
        <x:v>5.05</x:v>
      </x:c>
      <x:c r="AH33" s="81" t="n">
        <x:v>0.2</x:v>
      </x:c>
      <x:c r="AI33" s="81" t="n">
        <x:v>0.06</x:v>
      </x:c>
      <x:c r="AJ33" s="81" t="n">
        <x:v>0</x:v>
      </x:c>
      <x:c r="AK33" s="81" t="n">
        <x:v>0</x:v>
      </x:c>
      <x:c r="AL33" s="81" t="n">
        <x:v>0</x:v>
      </x:c>
      <x:c r="AM33" s="81" t="n">
        <x:v>0</x:v>
      </x:c>
      <x:c r="AN33" s="81" t="n">
        <x:v>0</x:v>
      </x:c>
      <x:c r="AO33" s="81" t="n">
        <x:v>0</x:v>
      </x:c>
      <x:c r="AP33" s="89" t="n">
        <x:f>SUMIFS('09_初始申报_技术'!$O$2:$O$43,'09_初始申报_技术'!$A$2:$A$43,$A33,'09_初始申报_技术'!$L$2:$L$43,$J33)</x:f>
        <x:v>36</x:v>
      </x:c>
      <x:c r="AQ33" s="86" t="n">
        <x:f>SUMIFS('09_初始申报_技术'!$R$2:$R$43,'09_初始申报_技术'!$A$2:$A$43,$A33,'09_初始申报_技术'!$L$2:$L$43,$J33)</x:f>
        <x:v>111.6</x:v>
      </x:c>
      <x:c r="AR33" s="86" t="n">
        <x:f>SUMIFS('09_初始申报_技术'!$S$2:$S$43,'09_初始申报_技术'!$A$2:$A$43,$A33,'09_初始申报_技术'!$L$2:$L$43,$J33)</x:f>
        <x:v>105.28</x:v>
      </x:c>
      <x:c r="AS33" s="81" t="n">
        <x:v>126.628</x:v>
      </x:c>
      <x:c r="AT33" s="88" t="n">
        <x:v>1.64025906735751</x:v>
      </x:c>
      <x:c r="AU33" s="90" t="n">
        <x:f>IF(O33=0,0,AS33/O33)</x:f>
        <x:v>1.6402590673575128</x:v>
      </x:c>
      <x:c r="AV33" s="86" t="n">
        <x:f>AS33+AR33</x:f>
        <x:v>231.90800000000002</x:v>
      </x:c>
      <x:c r="AW33" s="90" t="n">
        <x:f>IF(O33=0,0,AV33/O33)</x:f>
        <x:v>3.0039896373056996</x:v>
      </x:c>
      <x:c r="AX33" s="90" t="n">
        <x:f>IF(O33=0,0,(O33-AV33)/O33)</x:f>
        <x:v>-2.0039896373056996</x:v>
      </x:c>
      <x:c r="AY33" s="62" t="str">
        <x:v>CNY</x:v>
      </x:c>
      <x:c r="AZ33" s="62" t="str">
        <x:v>万元</x:v>
      </x:c>
      <x:c r="BA33" s="62" t="str">
        <x:v>费用不含税；收入采用净额</x:v>
      </x:c>
      <x:c r="BB33" s="62" t="str">
        <x:v>2026年预算申报明细汇总.xlsx</x:v>
      </x:c>
      <x:c r="BC33" s="62" t="str">
        <x:v>市场项目预算明细</x:v>
      </x:c>
      <x:c r="BD33" s="62" t="n">
        <x:v>12</x:v>
      </x:c>
      <x:c r="BE33" s="62" t="str">
        <x:v>2026|PRJ-JS-新技-2025-002</x:v>
      </x:c>
      <x:c r="BF33" s="62" t="str">
        <x:f>IF(ABS(AT33-AU33)&lt;0.000001,"OK","FAIL")</x:f>
        <x:v>OK</x:v>
      </x:c>
      <x:c r="BG33" s="62" t="str">
        <x:f>IF(ABS(AW33+AX33-1)&lt;0.000001,"OK","FAIL")</x:f>
        <x:v>OK</x:v>
      </x:c>
    </x:row>
    <x:row r="34">
      <x:c r="A34" s="83" t="n">
        <x:v>2026</x:v>
      </x:c>
      <x:c r="B34" s="83" t="str">
        <x:v>FY2026-INITIAL-SUBMISSION-v1</x:v>
      </x:c>
      <x:c r="C34" s="83" t="str">
        <x:v>PROPOSAL</x:v>
      </x:c>
      <x:c r="D34" s="83" t="str">
        <x:v>INITIAL_SUBMITTED</x:v>
      </x:c>
      <x:c r="E34" s="84" t="n">
        <x:v>45961</x:v>
      </x:c>
      <x:c r="F34" s="83" t="str">
        <x:v>SOURCE</x:v>
      </x:c>
      <x:c r="G34" s="83" t="str">
        <x:v>技术部</x:v>
      </x:c>
      <x:c r="H34" s="83" t="str">
        <x:v>新技术应用</x:v>
      </x:c>
      <x:c r="I34" s="83" t="str">
        <x:v>新技术应用</x:v>
      </x:c>
      <x:c r="J34" s="83" t="str">
        <x:v>PRJ-JS-新技-2025-003</x:v>
      </x:c>
      <x:c r="K34" s="83" t="str">
        <x:v>已签订</x:v>
      </x:c>
      <x:c r="L34" s="83" t="str">
        <x:v>XX能源集团</x:v>
      </x:c>
      <x:c r="M34" s="88" t="n">
        <x:v>0.06</x:v>
      </x:c>
      <x:c r="N34" s="81" t="n">
        <x:v>64.13</x:v>
      </x:c>
      <x:c r="O34" s="81" t="n">
        <x:v>60.5</x:v>
      </x:c>
      <x:c r="P34" s="81" t="n">
        <x:v>4.84</x:v>
      </x:c>
      <x:c r="Q34" s="83" t="str">
        <x:v>其中：</x:v>
      </x:c>
      <x:c r="R34" s="83" t="n">
        <x:v>5</x:v>
      </x:c>
      <x:c r="S34" s="81" t="n">
        <x:v>0.05</x:v>
      </x:c>
      <x:c r="T34" s="83" t="n">
        <x:v>60</x:v>
      </x:c>
      <x:c r="U34" s="81" t="n">
        <x:v>3.15</x:v>
      </x:c>
      <x:c r="V34" s="81" t="n">
        <x:v>1.69</x:v>
      </x:c>
      <x:c r="W34" s="81" t="n">
        <x:v>108.53</x:v>
      </x:c>
      <x:c r="X34" s="83" t="str">
        <x:v>其中：</x:v>
      </x:c>
      <x:c r="Y34" s="81" t="n">
        <x:v>2.42</x:v>
      </x:c>
      <x:c r="Z34" s="81" t="n">
        <x:v>0.16</x:v>
      </x:c>
      <x:c r="AA34" s="81" t="n">
        <x:v>0</x:v>
      </x:c>
      <x:c r="AB34" s="81" t="n">
        <x:v>0.08</x:v>
      </x:c>
      <x:c r="AC34" s="81" t="n">
        <x:v>0.08</x:v>
      </x:c>
      <x:c r="AD34" s="81" t="n">
        <x:v>0.06</x:v>
      </x:c>
      <x:c r="AE34" s="81" t="n">
        <x:v>0.24</x:v>
      </x:c>
      <x:c r="AF34" s="81" t="n">
        <x:v>4.8</x:v>
      </x:c>
      <x:c r="AG34" s="81" t="n">
        <x:v>4.03</x:v>
      </x:c>
      <x:c r="AH34" s="81" t="n">
        <x:v>0.16</x:v>
      </x:c>
      <x:c r="AI34" s="81" t="n">
        <x:v>0.05</x:v>
      </x:c>
      <x:c r="AJ34" s="81" t="n">
        <x:v>0</x:v>
      </x:c>
      <x:c r="AK34" s="81" t="n">
        <x:v>0</x:v>
      </x:c>
      <x:c r="AL34" s="81" t="n">
        <x:v>0</x:v>
      </x:c>
      <x:c r="AM34" s="81" t="n">
        <x:v>0</x:v>
      </x:c>
      <x:c r="AN34" s="81" t="n">
        <x:v>0</x:v>
      </x:c>
      <x:c r="AO34" s="81" t="n">
        <x:v>0</x:v>
      </x:c>
      <x:c r="AP34" s="89" t="n">
        <x:f>SUMIFS('09_初始申报_技术'!$O$2:$O$43,'09_初始申报_技术'!$A$2:$A$43,$A34,'09_初始申报_技术'!$L$2:$L$43,$J34)</x:f>
        <x:v>36</x:v>
      </x:c>
      <x:c r="AQ34" s="86" t="n">
        <x:f>SUMIFS('09_初始申报_技术'!$R$2:$R$43,'09_初始申报_技术'!$A$2:$A$43,$A34,'09_初始申报_技术'!$L$2:$L$43,$J34)</x:f>
        <x:v>102.24</x:v>
      </x:c>
      <x:c r="AR34" s="86" t="n">
        <x:f>SUMIFS('09_初始申报_技术'!$S$2:$S$43,'09_初始申报_技术'!$A$2:$A$43,$A34,'09_初始申报_技术'!$L$2:$L$43,$J34)</x:f>
        <x:v>96.45</x:v>
      </x:c>
      <x:c r="AS34" s="81" t="n">
        <x:v>113.37</x:v>
      </x:c>
      <x:c r="AT34" s="88" t="n">
        <x:v>1.87388429752066</x:v>
      </x:c>
      <x:c r="AU34" s="90" t="n">
        <x:f>IF(O34=0,0,AS34/O34)</x:f>
        <x:v>1.8738842975206613</x:v>
      </x:c>
      <x:c r="AV34" s="86" t="n">
        <x:f>AS34+AR34</x:f>
        <x:v>209.82</x:v>
      </x:c>
      <x:c r="AW34" s="90" t="n">
        <x:f>IF(O34=0,0,AV34/O34)</x:f>
        <x:v>3.468099173553719</x:v>
      </x:c>
      <x:c r="AX34" s="90" t="n">
        <x:f>IF(O34=0,0,(O34-AV34)/O34)</x:f>
        <x:v>-2.468099173553719</x:v>
      </x:c>
      <x:c r="AY34" s="62" t="str">
        <x:v>CNY</x:v>
      </x:c>
      <x:c r="AZ34" s="62" t="str">
        <x:v>万元</x:v>
      </x:c>
      <x:c r="BA34" s="62" t="str">
        <x:v>费用不含税；收入采用净额</x:v>
      </x:c>
      <x:c r="BB34" s="62" t="str">
        <x:v>2026年预算申报明细汇总.xlsx</x:v>
      </x:c>
      <x:c r="BC34" s="62" t="str">
        <x:v>市场项目预算明细</x:v>
      </x:c>
      <x:c r="BD34" s="62" t="n">
        <x:v>13</x:v>
      </x:c>
      <x:c r="BE34" s="62" t="str">
        <x:v>2026|PRJ-JS-新技-2025-003</x:v>
      </x:c>
      <x:c r="BF34" s="62" t="str">
        <x:f>IF(ABS(AT34-AU34)&lt;0.000001,"OK","FAIL")</x:f>
        <x:v>OK</x:v>
      </x:c>
      <x:c r="BG34" s="62" t="str">
        <x:f>IF(ABS(AW34+AX34-1)&lt;0.000001,"OK","FAIL")</x:f>
        <x:v>OK</x:v>
      </x:c>
    </x:row>
    <x:row r="35">
      <x:c r="A35" s="83" t="n">
        <x:v>2026</x:v>
      </x:c>
      <x:c r="B35" s="83" t="str">
        <x:v>FY2026-INITIAL-SUBMISSION-v1</x:v>
      </x:c>
      <x:c r="C35" s="83" t="str">
        <x:v>PROPOSAL</x:v>
      </x:c>
      <x:c r="D35" s="83" t="str">
        <x:v>INITIAL_SUBMITTED</x:v>
      </x:c>
      <x:c r="E35" s="84" t="n">
        <x:v>45961</x:v>
      </x:c>
      <x:c r="F35" s="83" t="str">
        <x:v>SOURCE</x:v>
      </x:c>
      <x:c r="G35" s="83" t="str">
        <x:v>安全运行部</x:v>
      </x:c>
      <x:c r="H35" s="83" t="str">
        <x:v>概率安全分析</x:v>
      </x:c>
      <x:c r="I35" s="83" t="str">
        <x:v>概率安全分析</x:v>
      </x:c>
      <x:c r="J35" s="83" t="str">
        <x:v>PRJ-AQ-概率-2024-001</x:v>
      </x:c>
      <x:c r="K35" s="83" t="str">
        <x:v>已签订</x:v>
      </x:c>
      <x:c r="L35" s="83" t="str">
        <x:v>XX能源集团</x:v>
      </x:c>
      <x:c r="M35" s="88" t="n">
        <x:v>0.06</x:v>
      </x:c>
      <x:c r="N35" s="81" t="n">
        <x:v>48.97</x:v>
      </x:c>
      <x:c r="O35" s="81" t="n">
        <x:v>46.2</x:v>
      </x:c>
      <x:c r="P35" s="81" t="n">
        <x:v>5.56</x:v>
      </x:c>
      <x:c r="Q35" s="83" t="str">
        <x:v>其中：</x:v>
      </x:c>
      <x:c r="R35" s="83" t="n">
        <x:v>5</x:v>
      </x:c>
      <x:c r="S35" s="81" t="n">
        <x:v>0.06</x:v>
      </x:c>
      <x:c r="T35" s="83" t="n">
        <x:v>60</x:v>
      </x:c>
      <x:c r="U35" s="81" t="n">
        <x:v>3.61</x:v>
      </x:c>
      <x:c r="V35" s="81" t="n">
        <x:v>1.95</x:v>
      </x:c>
      <x:c r="W35" s="81" t="n">
        <x:v>50.858</x:v>
      </x:c>
      <x:c r="X35" s="83" t="str">
        <x:v>其中：</x:v>
      </x:c>
      <x:c r="Y35" s="81" t="n">
        <x:v>1.848</x:v>
      </x:c>
      <x:c r="Z35" s="81" t="n">
        <x:v>0.19</x:v>
      </x:c>
      <x:c r="AA35" s="81" t="n">
        <x:v>0</x:v>
      </x:c>
      <x:c r="AB35" s="81" t="n">
        <x:v>0.09</x:v>
      </x:c>
      <x:c r="AC35" s="81" t="n">
        <x:v>0.09</x:v>
      </x:c>
      <x:c r="AD35" s="81" t="n">
        <x:v>0.07</x:v>
      </x:c>
      <x:c r="AE35" s="81" t="n">
        <x:v>0.28</x:v>
      </x:c>
      <x:c r="AF35" s="81" t="n">
        <x:v>5.6</x:v>
      </x:c>
      <x:c r="AG35" s="81" t="n">
        <x:v>4.63</x:v>
      </x:c>
      <x:c r="AH35" s="81" t="n">
        <x:v>0.19</x:v>
      </x:c>
      <x:c r="AI35" s="81" t="n">
        <x:v>0.06</x:v>
      </x:c>
      <x:c r="AJ35" s="81" t="n">
        <x:v>0</x:v>
      </x:c>
      <x:c r="AK35" s="81" t="n">
        <x:v>0</x:v>
      </x:c>
      <x:c r="AL35" s="81" t="n">
        <x:v>0</x:v>
      </x:c>
      <x:c r="AM35" s="81" t="n">
        <x:v>0</x:v>
      </x:c>
      <x:c r="AN35" s="81" t="n">
        <x:v>0</x:v>
      </x:c>
      <x:c r="AO35" s="81" t="n">
        <x:v>0</x:v>
      </x:c>
      <x:c r="AP35" s="89" t="n">
        <x:f>SUMIFS('09_初始申报_技术'!$O$2:$O$43,'09_初始申报_技术'!$A$2:$A$43,$A35,'09_初始申报_技术'!$L$2:$L$43,$J35)</x:f>
        <x:v>24</x:v>
      </x:c>
      <x:c r="AQ35" s="86" t="n">
        <x:f>SUMIFS('09_初始申报_技术'!$R$2:$R$43,'09_初始申报_技术'!$A$2:$A$43,$A35,'09_初始申报_技术'!$L$2:$L$43,$J35)</x:f>
        <x:v>40.08</x:v>
      </x:c>
      <x:c r="AR35" s="86" t="n">
        <x:f>SUMIFS('09_初始申报_技术'!$S$2:$S$43,'09_初始申报_技术'!$A$2:$A$43,$A35,'09_初始申报_技术'!$L$2:$L$43,$J35)</x:f>
        <x:v>37.81</x:v>
      </x:c>
      <x:c r="AS35" s="81" t="n">
        <x:v>56.418</x:v>
      </x:c>
      <x:c r="AT35" s="88" t="n">
        <x:v>1.22116883116883</x:v>
      </x:c>
      <x:c r="AU35" s="90" t="n">
        <x:f>IF(O35=0,0,AS35/O35)</x:f>
        <x:v>1.2211688311688311</x:v>
      </x:c>
      <x:c r="AV35" s="86" t="n">
        <x:f>AS35+AR35</x:f>
        <x:v>94.22800000000001</x:v>
      </x:c>
      <x:c r="AW35" s="90" t="n">
        <x:f>IF(O35=0,0,AV35/O35)</x:f>
        <x:v>2.0395670995671</x:v>
      </x:c>
      <x:c r="AX35" s="90" t="n">
        <x:f>IF(O35=0,0,(O35-AV35)/O35)</x:f>
        <x:v>-1.0395670995670996</x:v>
      </x:c>
      <x:c r="AY35" s="62" t="str">
        <x:v>CNY</x:v>
      </x:c>
      <x:c r="AZ35" s="62" t="str">
        <x:v>万元</x:v>
      </x:c>
      <x:c r="BA35" s="62" t="str">
        <x:v>费用不含税；收入采用净额</x:v>
      </x:c>
      <x:c r="BB35" s="62" t="str">
        <x:v>2026年预算申报明细汇总.xlsx</x:v>
      </x:c>
      <x:c r="BC35" s="62" t="str">
        <x:v>市场项目预算明细</x:v>
      </x:c>
      <x:c r="BD35" s="62" t="n">
        <x:v>14</x:v>
      </x:c>
      <x:c r="BE35" s="62" t="str">
        <x:v>2026|PRJ-AQ-概率-2024-001</x:v>
      </x:c>
      <x:c r="BF35" s="62" t="str">
        <x:f>IF(ABS(AT35-AU35)&lt;0.000001,"OK","FAIL")</x:f>
        <x:v>OK</x:v>
      </x:c>
      <x:c r="BG35" s="62" t="str">
        <x:f>IF(ABS(AW35+AX35-1)&lt;0.000001,"OK","FAIL")</x:f>
        <x:v>OK</x:v>
      </x:c>
    </x:row>
    <x:row r="36">
      <x:c r="A36" s="83" t="n">
        <x:v>2026</x:v>
      </x:c>
      <x:c r="B36" s="83" t="str">
        <x:v>FY2026-INITIAL-SUBMISSION-v1</x:v>
      </x:c>
      <x:c r="C36" s="83" t="str">
        <x:v>PROPOSAL</x:v>
      </x:c>
      <x:c r="D36" s="83" t="str">
        <x:v>INITIAL_SUBMITTED</x:v>
      </x:c>
      <x:c r="E36" s="84" t="n">
        <x:v>45961</x:v>
      </x:c>
      <x:c r="F36" s="83" t="str">
        <x:v>SOURCE</x:v>
      </x:c>
      <x:c r="G36" s="83" t="str">
        <x:v>安全运行部</x:v>
      </x:c>
      <x:c r="H36" s="83" t="str">
        <x:v>概率安全分析</x:v>
      </x:c>
      <x:c r="I36" s="83" t="str">
        <x:v>概率安全分析</x:v>
      </x:c>
      <x:c r="J36" s="83" t="str">
        <x:v>PRJ-AQ-概率-2025-002</x:v>
      </x:c>
      <x:c r="K36" s="83" t="str">
        <x:v>已签订</x:v>
      </x:c>
      <x:c r="L36" s="83" t="str">
        <x:v>XX能源集团</x:v>
      </x:c>
      <x:c r="M36" s="88" t="n">
        <x:v>0.06</x:v>
      </x:c>
      <x:c r="N36" s="81" t="n">
        <x:v>60</x:v>
      </x:c>
      <x:c r="O36" s="81" t="n">
        <x:v>56.6</x:v>
      </x:c>
      <x:c r="P36" s="81" t="n">
        <x:v>6.86</x:v>
      </x:c>
      <x:c r="Q36" s="83" t="str">
        <x:v>其中：</x:v>
      </x:c>
      <x:c r="R36" s="83" t="n">
        <x:v>5</x:v>
      </x:c>
      <x:c r="S36" s="81" t="n">
        <x:v>0.07</x:v>
      </x:c>
      <x:c r="T36" s="83" t="n">
        <x:v>60</x:v>
      </x:c>
      <x:c r="U36" s="81" t="n">
        <x:v>4.46</x:v>
      </x:c>
      <x:c r="V36" s="81" t="n">
        <x:v>2.4</x:v>
      </x:c>
      <x:c r="W36" s="81" t="n">
        <x:v>55.224</x:v>
      </x:c>
      <x:c r="X36" s="83" t="str">
        <x:v>其中：</x:v>
      </x:c>
      <x:c r="Y36" s="81" t="n">
        <x:v>2.264</x:v>
      </x:c>
      <x:c r="Z36" s="81" t="n">
        <x:v>0.23</x:v>
      </x:c>
      <x:c r="AA36" s="81" t="n">
        <x:v>0</x:v>
      </x:c>
      <x:c r="AB36" s="81" t="n">
        <x:v>0.11</x:v>
      </x:c>
      <x:c r="AC36" s="81" t="n">
        <x:v>0.11</x:v>
      </x:c>
      <x:c r="AD36" s="81" t="n">
        <x:v>0.09</x:v>
      </x:c>
      <x:c r="AE36" s="81" t="n">
        <x:v>0.34</x:v>
      </x:c>
      <x:c r="AF36" s="81" t="n">
        <x:v>6.9</x:v>
      </x:c>
      <x:c r="AG36" s="81" t="n">
        <x:v>5.71</x:v>
      </x:c>
      <x:c r="AH36" s="81" t="n">
        <x:v>0.23</x:v>
      </x:c>
      <x:c r="AI36" s="81" t="n">
        <x:v>0.07</x:v>
      </x:c>
      <x:c r="AJ36" s="81" t="n">
        <x:v>0</x:v>
      </x:c>
      <x:c r="AK36" s="81" t="n">
        <x:v>0</x:v>
      </x:c>
      <x:c r="AL36" s="81" t="n">
        <x:v>0</x:v>
      </x:c>
      <x:c r="AM36" s="81" t="n">
        <x:v>0</x:v>
      </x:c>
      <x:c r="AN36" s="81" t="n">
        <x:v>0</x:v>
      </x:c>
      <x:c r="AO36" s="81" t="n">
        <x:v>0</x:v>
      </x:c>
      <x:c r="AP36" s="89" t="n">
        <x:f>SUMIFS('09_初始申报_技术'!$O$2:$O$43,'09_初始申报_技术'!$A$2:$A$43,$A36,'09_初始申报_技术'!$L$2:$L$43,$J36)</x:f>
        <x:v>24</x:v>
      </x:c>
      <x:c r="AQ36" s="86" t="n">
        <x:f>SUMIFS('09_初始申报_技术'!$R$2:$R$43,'09_初始申报_技术'!$A$2:$A$43,$A36,'09_初始申报_技术'!$L$2:$L$43,$J36)</x:f>
        <x:v>41.52</x:v>
      </x:c>
      <x:c r="AR36" s="86" t="n">
        <x:f>SUMIFS('09_初始申报_技术'!$S$2:$S$43,'09_初始申报_技术'!$A$2:$A$43,$A36,'09_初始申报_技术'!$L$2:$L$43,$J36)</x:f>
        <x:v>39.17</x:v>
      </x:c>
      <x:c r="AS36" s="81" t="n">
        <x:v>62.084</x:v>
      </x:c>
      <x:c r="AT36" s="88" t="n">
        <x:v>1.09689045936396</x:v>
      </x:c>
      <x:c r="AU36" s="90" t="n">
        <x:f>IF(O36=0,0,AS36/O36)</x:f>
        <x:v>1.0968904593639577</x:v>
      </x:c>
      <x:c r="AV36" s="86" t="n">
        <x:f>AS36+AR36</x:f>
        <x:v>101.254</x:v>
      </x:c>
      <x:c r="AW36" s="90" t="n">
        <x:f>IF(O36=0,0,AV36/O36)</x:f>
        <x:v>1.788939929328622</x:v>
      </x:c>
      <x:c r="AX36" s="90" t="n">
        <x:f>IF(O36=0,0,(O36-AV36)/O36)</x:f>
        <x:v>-0.788939929328622</x:v>
      </x:c>
      <x:c r="AY36" s="62" t="str">
        <x:v>CNY</x:v>
      </x:c>
      <x:c r="AZ36" s="62" t="str">
        <x:v>万元</x:v>
      </x:c>
      <x:c r="BA36" s="62" t="str">
        <x:v>费用不含税；收入采用净额</x:v>
      </x:c>
      <x:c r="BB36" s="62" t="str">
        <x:v>2026年预算申报明细汇总.xlsx</x:v>
      </x:c>
      <x:c r="BC36" s="62" t="str">
        <x:v>市场项目预算明细</x:v>
      </x:c>
      <x:c r="BD36" s="62" t="n">
        <x:v>15</x:v>
      </x:c>
      <x:c r="BE36" s="62" t="str">
        <x:v>2026|PRJ-AQ-概率-2025-002</x:v>
      </x:c>
      <x:c r="BF36" s="62" t="str">
        <x:f>IF(ABS(AT36-AU36)&lt;0.000001,"OK","FAIL")</x:f>
        <x:v>OK</x:v>
      </x:c>
      <x:c r="BG36" s="62" t="str">
        <x:f>IF(ABS(AW36+AX36-1)&lt;0.000001,"OK","FAIL")</x:f>
        <x:v>OK</x:v>
      </x:c>
    </x:row>
    <x:row r="37">
      <x:c r="A37" s="83" t="n">
        <x:v>2026</x:v>
      </x:c>
      <x:c r="B37" s="83" t="str">
        <x:v>FY2026-INITIAL-SUBMISSION-v1</x:v>
      </x:c>
      <x:c r="C37" s="83" t="str">
        <x:v>PROPOSAL</x:v>
      </x:c>
      <x:c r="D37" s="83" t="str">
        <x:v>INITIAL_SUBMITTED</x:v>
      </x:c>
      <x:c r="E37" s="84" t="n">
        <x:v>45961</x:v>
      </x:c>
      <x:c r="F37" s="83" t="str">
        <x:v>SOURCE</x:v>
      </x:c>
      <x:c r="G37" s="83" t="str">
        <x:v>安全运行部</x:v>
      </x:c>
      <x:c r="H37" s="83" t="str">
        <x:v>概率安全分析</x:v>
      </x:c>
      <x:c r="I37" s="83" t="str">
        <x:v>概率安全分析</x:v>
      </x:c>
      <x:c r="J37" s="83" t="str">
        <x:v>PRJ-AQ-概率-2025-003</x:v>
      </x:c>
      <x:c r="K37" s="83" t="str">
        <x:v>已签订</x:v>
      </x:c>
      <x:c r="L37" s="83" t="str">
        <x:v>XX能源集团</x:v>
      </x:c>
      <x:c r="M37" s="88" t="n">
        <x:v>0.06</x:v>
      </x:c>
      <x:c r="N37" s="81" t="n">
        <x:v>48.12</x:v>
      </x:c>
      <x:c r="O37" s="81" t="n">
        <x:v>45.4</x:v>
      </x:c>
      <x:c r="P37" s="81" t="n">
        <x:v>5.42</x:v>
      </x:c>
      <x:c r="Q37" s="83" t="str">
        <x:v>其中：</x:v>
      </x:c>
      <x:c r="R37" s="83" t="n">
        <x:v>5</x:v>
      </x:c>
      <x:c r="S37" s="81" t="n">
        <x:v>0.06</x:v>
      </x:c>
      <x:c r="T37" s="83" t="n">
        <x:v>60</x:v>
      </x:c>
      <x:c r="U37" s="81" t="n">
        <x:v>3.52</x:v>
      </x:c>
      <x:c r="V37" s="81" t="n">
        <x:v>1.9</x:v>
      </x:c>
      <x:c r="W37" s="81" t="n">
        <x:v>56.816</x:v>
      </x:c>
      <x:c r="X37" s="83" t="str">
        <x:v>其中：</x:v>
      </x:c>
      <x:c r="Y37" s="81" t="n">
        <x:v>1.816</x:v>
      </x:c>
      <x:c r="Z37" s="81" t="n">
        <x:v>0.18</x:v>
      </x:c>
      <x:c r="AA37" s="81" t="n">
        <x:v>0</x:v>
      </x:c>
      <x:c r="AB37" s="81" t="n">
        <x:v>0.09</x:v>
      </x:c>
      <x:c r="AC37" s="81" t="n">
        <x:v>0.09</x:v>
      </x:c>
      <x:c r="AD37" s="81" t="n">
        <x:v>0.07</x:v>
      </x:c>
      <x:c r="AE37" s="81" t="n">
        <x:v>0.27</x:v>
      </x:c>
      <x:c r="AF37" s="81" t="n">
        <x:v>5.4</x:v>
      </x:c>
      <x:c r="AG37" s="81" t="n">
        <x:v>4.52</x:v>
      </x:c>
      <x:c r="AH37" s="81" t="n">
        <x:v>0.18</x:v>
      </x:c>
      <x:c r="AI37" s="81" t="n">
        <x:v>0.05</x:v>
      </x:c>
      <x:c r="AJ37" s="81" t="n">
        <x:v>0</x:v>
      </x:c>
      <x:c r="AK37" s="81" t="n">
        <x:v>0</x:v>
      </x:c>
      <x:c r="AL37" s="81" t="n">
        <x:v>0</x:v>
      </x:c>
      <x:c r="AM37" s="81" t="n">
        <x:v>0</x:v>
      </x:c>
      <x:c r="AN37" s="81" t="n">
        <x:v>0</x:v>
      </x:c>
      <x:c r="AO37" s="81" t="n">
        <x:v>0</x:v>
      </x:c>
      <x:c r="AP37" s="89" t="n">
        <x:f>SUMIFS('09_初始申报_技术'!$O$2:$O$43,'09_初始申报_技术'!$A$2:$A$43,$A37,'09_初始申报_技术'!$L$2:$L$43,$J37)</x:f>
        <x:v>24</x:v>
      </x:c>
      <x:c r="AQ37" s="86" t="n">
        <x:f>SUMIFS('09_初始申报_技术'!$R$2:$R$43,'09_初始申报_技术'!$A$2:$A$43,$A37,'09_初始申报_技术'!$L$2:$L$43,$J37)</x:f>
        <x:v>46.8</x:v>
      </x:c>
      <x:c r="AR37" s="86" t="n">
        <x:f>SUMIFS('09_初始申报_技术'!$S$2:$S$43,'09_初始申报_技术'!$A$2:$A$43,$A37,'09_初始申报_技术'!$L$2:$L$43,$J37)</x:f>
        <x:v>44.15</x:v>
      </x:c>
      <x:c r="AS37" s="81" t="n">
        <x:v>62.236</x:v>
      </x:c>
      <x:c r="AT37" s="88" t="n">
        <x:v>1.37083700440529</x:v>
      </x:c>
      <x:c r="AU37" s="90" t="n">
        <x:f>IF(O37=0,0,AS37/O37)</x:f>
        <x:v>1.3708370044052862</x:v>
      </x:c>
      <x:c r="AV37" s="86" t="n">
        <x:f>AS37+AR37</x:f>
        <x:v>106.386</x:v>
      </x:c>
      <x:c r="AW37" s="90" t="n">
        <x:f>IF(O37=0,0,AV37/O37)</x:f>
        <x:v>2.3433039647577094</x:v>
      </x:c>
      <x:c r="AX37" s="90" t="n">
        <x:f>IF(O37=0,0,(O37-AV37)/O37)</x:f>
        <x:v>-1.3433039647577092</x:v>
      </x:c>
      <x:c r="AY37" s="62" t="str">
        <x:v>CNY</x:v>
      </x:c>
      <x:c r="AZ37" s="62" t="str">
        <x:v>万元</x:v>
      </x:c>
      <x:c r="BA37" s="62" t="str">
        <x:v>费用不含税；收入采用净额</x:v>
      </x:c>
      <x:c r="BB37" s="62" t="str">
        <x:v>2026年预算申报明细汇总.xlsx</x:v>
      </x:c>
      <x:c r="BC37" s="62" t="str">
        <x:v>市场项目预算明细</x:v>
      </x:c>
      <x:c r="BD37" s="62" t="n">
        <x:v>16</x:v>
      </x:c>
      <x:c r="BE37" s="62" t="str">
        <x:v>2026|PRJ-AQ-概率-2025-003</x:v>
      </x:c>
      <x:c r="BF37" s="62" t="str">
        <x:f>IF(ABS(AT37-AU37)&lt;0.000001,"OK","FAIL")</x:f>
        <x:v>OK</x:v>
      </x:c>
      <x:c r="BG37" s="62" t="str">
        <x:f>IF(ABS(AW37+AX37-1)&lt;0.000001,"OK","FAIL")</x:f>
        <x:v>OK</x:v>
      </x:c>
    </x:row>
    <x:row r="38">
      <x:c r="A38" s="83" t="n">
        <x:v>2026</x:v>
      </x:c>
      <x:c r="B38" s="83" t="str">
        <x:v>FY2026-INITIAL-SUBMISSION-v1</x:v>
      </x:c>
      <x:c r="C38" s="83" t="str">
        <x:v>PROPOSAL</x:v>
      </x:c>
      <x:c r="D38" s="83" t="str">
        <x:v>INITIAL_SUBMITTED</x:v>
      </x:c>
      <x:c r="E38" s="84" t="n">
        <x:v>45961</x:v>
      </x:c>
      <x:c r="F38" s="83" t="str">
        <x:v>SOURCE</x:v>
      </x:c>
      <x:c r="G38" s="83" t="str">
        <x:v>安全运行部</x:v>
      </x:c>
      <x:c r="H38" s="83" t="str">
        <x:v>灾害防护</x:v>
      </x:c>
      <x:c r="I38" s="83" t="str">
        <x:v>灾害防护</x:v>
      </x:c>
      <x:c r="J38" s="83" t="str">
        <x:v>PRJ-AQ-灾害-2024-001</x:v>
      </x:c>
      <x:c r="K38" s="83" t="str">
        <x:v>已签订</x:v>
      </x:c>
      <x:c r="L38" s="83" t="str">
        <x:v>XX能源集团</x:v>
      </x:c>
      <x:c r="M38" s="88" t="n">
        <x:v>0.06</x:v>
      </x:c>
      <x:c r="N38" s="81" t="n">
        <x:v>46.53</x:v>
      </x:c>
      <x:c r="O38" s="81" t="n">
        <x:v>43.9</x:v>
      </x:c>
      <x:c r="P38" s="81" t="n">
        <x:v>5.18</x:v>
      </x:c>
      <x:c r="Q38" s="83" t="str">
        <x:v>其中：</x:v>
      </x:c>
      <x:c r="R38" s="83" t="n">
        <x:v>5</x:v>
      </x:c>
      <x:c r="S38" s="81" t="n">
        <x:v>0.06</x:v>
      </x:c>
      <x:c r="T38" s="83" t="n">
        <x:v>60</x:v>
      </x:c>
      <x:c r="U38" s="81" t="n">
        <x:v>3.37</x:v>
      </x:c>
      <x:c r="V38" s="81" t="n">
        <x:v>1.81</x:v>
      </x:c>
      <x:c r="W38" s="81" t="n">
        <x:v>24.406</x:v>
      </x:c>
      <x:c r="X38" s="83" t="str">
        <x:v>其中：</x:v>
      </x:c>
      <x:c r="Y38" s="81" t="n">
        <x:v>1.756</x:v>
      </x:c>
      <x:c r="Z38" s="81" t="n">
        <x:v>0.17</x:v>
      </x:c>
      <x:c r="AA38" s="81" t="n">
        <x:v>0</x:v>
      </x:c>
      <x:c r="AB38" s="81" t="n">
        <x:v>0.09</x:v>
      </x:c>
      <x:c r="AC38" s="81" t="n">
        <x:v>0.09</x:v>
      </x:c>
      <x:c r="AD38" s="81" t="n">
        <x:v>0.07</x:v>
      </x:c>
      <x:c r="AE38" s="81" t="n">
        <x:v>0.26</x:v>
      </x:c>
      <x:c r="AF38" s="81" t="n">
        <x:v>5.2</x:v>
      </x:c>
      <x:c r="AG38" s="81" t="n">
        <x:v>4.32</x:v>
      </x:c>
      <x:c r="AH38" s="81" t="n">
        <x:v>0.17</x:v>
      </x:c>
      <x:c r="AI38" s="81" t="n">
        <x:v>0.05</x:v>
      </x:c>
      <x:c r="AJ38" s="81" t="n">
        <x:v>0</x:v>
      </x:c>
      <x:c r="AK38" s="81" t="n">
        <x:v>0</x:v>
      </x:c>
      <x:c r="AL38" s="81" t="n">
        <x:v>0</x:v>
      </x:c>
      <x:c r="AM38" s="81" t="n">
        <x:v>0</x:v>
      </x:c>
      <x:c r="AN38" s="81" t="n">
        <x:v>0</x:v>
      </x:c>
      <x:c r="AO38" s="81" t="n">
        <x:v>0</x:v>
      </x:c>
      <x:c r="AP38" s="89" t="n">
        <x:f>SUMIFS('09_初始申报_技术'!$O$2:$O$43,'09_初始申报_技术'!$A$2:$A$43,$A38,'09_初始申报_技术'!$L$2:$L$43,$J38)</x:f>
        <x:v>12</x:v>
      </x:c>
      <x:c r="AQ38" s="86" t="n">
        <x:f>SUMIFS('09_初始申报_技术'!$R$2:$R$43,'09_初始申报_技术'!$A$2:$A$43,$A38,'09_初始申报_技术'!$L$2:$L$43,$J38)</x:f>
        <x:v>12.96</x:v>
      </x:c>
      <x:c r="AR38" s="86" t="n">
        <x:f>SUMIFS('09_初始申报_技术'!$S$2:$S$43,'09_初始申报_技术'!$A$2:$A$43,$A38,'09_初始申报_技术'!$L$2:$L$43,$J38)</x:f>
        <x:v>12.23</x:v>
      </x:c>
      <x:c r="AS38" s="81" t="n">
        <x:v>29.586</x:v>
      </x:c>
      <x:c r="AT38" s="88" t="n">
        <x:v>0.673940774487471</x:v>
      </x:c>
      <x:c r="AU38" s="90" t="n">
        <x:f>IF(O38=0,0,AS38/O38)</x:f>
        <x:v>0.6739407744874715</x:v>
      </x:c>
      <x:c r="AV38" s="86" t="n">
        <x:f>AS38+AR38</x:f>
        <x:v>41.816</x:v>
      </x:c>
      <x:c r="AW38" s="90" t="n">
        <x:f>IF(O38=0,0,AV38/O38)</x:f>
        <x:v>0.9525284738041003</x:v>
      </x:c>
      <x:c r="AX38" s="90" t="n">
        <x:f>IF(O38=0,0,(O38-AV38)/O38)</x:f>
        <x:v>0.047471526195899685</x:v>
      </x:c>
      <x:c r="AY38" s="62" t="str">
        <x:v>CNY</x:v>
      </x:c>
      <x:c r="AZ38" s="62" t="str">
        <x:v>万元</x:v>
      </x:c>
      <x:c r="BA38" s="62" t="str">
        <x:v>费用不含税；收入采用净额</x:v>
      </x:c>
      <x:c r="BB38" s="62" t="str">
        <x:v>2026年预算申报明细汇总.xlsx</x:v>
      </x:c>
      <x:c r="BC38" s="62" t="str">
        <x:v>市场项目预算明细</x:v>
      </x:c>
      <x:c r="BD38" s="62" t="n">
        <x:v>17</x:v>
      </x:c>
      <x:c r="BE38" s="62" t="str">
        <x:v>2026|PRJ-AQ-灾害-2024-001</x:v>
      </x:c>
      <x:c r="BF38" s="62" t="str">
        <x:f>IF(ABS(AT38-AU38)&lt;0.000001,"OK","FAIL")</x:f>
        <x:v>OK</x:v>
      </x:c>
      <x:c r="BG38" s="62" t="str">
        <x:f>IF(ABS(AW38+AX38-1)&lt;0.000001,"OK","FAIL")</x:f>
        <x:v>OK</x:v>
      </x:c>
    </x:row>
    <x:row r="39">
      <x:c r="A39" s="83" t="n">
        <x:v>2026</x:v>
      </x:c>
      <x:c r="B39" s="83" t="str">
        <x:v>FY2026-INITIAL-SUBMISSION-v1</x:v>
      </x:c>
      <x:c r="C39" s="83" t="str">
        <x:v>PROPOSAL</x:v>
      </x:c>
      <x:c r="D39" s="83" t="str">
        <x:v>INITIAL_SUBMITTED</x:v>
      </x:c>
      <x:c r="E39" s="84" t="n">
        <x:v>45961</x:v>
      </x:c>
      <x:c r="F39" s="83" t="str">
        <x:v>SOURCE</x:v>
      </x:c>
      <x:c r="G39" s="83" t="str">
        <x:v>安全运行部</x:v>
      </x:c>
      <x:c r="H39" s="83" t="str">
        <x:v>灾害防护</x:v>
      </x:c>
      <x:c r="I39" s="83" t="str">
        <x:v>灾害防护</x:v>
      </x:c>
      <x:c r="J39" s="83" t="str">
        <x:v>PRJ-AQ-灾害-2025-002</x:v>
      </x:c>
      <x:c r="K39" s="83" t="str">
        <x:v>已签订</x:v>
      </x:c>
      <x:c r="L39" s="83" t="str">
        <x:v>XX能源集团</x:v>
      </x:c>
      <x:c r="M39" s="88" t="n">
        <x:v>0.06</x:v>
      </x:c>
      <x:c r="N39" s="81" t="n">
        <x:v>50.35</x:v>
      </x:c>
      <x:c r="O39" s="81" t="n">
        <x:v>47.5</x:v>
      </x:c>
      <x:c r="P39" s="81" t="n">
        <x:v>5.72</x:v>
      </x:c>
      <x:c r="Q39" s="83" t="str">
        <x:v>其中：</x:v>
      </x:c>
      <x:c r="R39" s="83" t="n">
        <x:v>5</x:v>
      </x:c>
      <x:c r="S39" s="81" t="n">
        <x:v>0.06</x:v>
      </x:c>
      <x:c r="T39" s="83" t="n">
        <x:v>60</x:v>
      </x:c>
      <x:c r="U39" s="81" t="n">
        <x:v>3.72</x:v>
      </x:c>
      <x:c r="V39" s="81" t="n">
        <x:v>2</x:v>
      </x:c>
      <x:c r="W39" s="81" t="n">
        <x:v>28.32</x:v>
      </x:c>
      <x:c r="X39" s="83" t="str">
        <x:v>其中：</x:v>
      </x:c>
      <x:c r="Y39" s="81" t="n">
        <x:v>1.9</x:v>
      </x:c>
      <x:c r="Z39" s="81" t="n">
        <x:v>0.19</x:v>
      </x:c>
      <x:c r="AA39" s="81" t="n">
        <x:v>0</x:v>
      </x:c>
      <x:c r="AB39" s="81" t="n">
        <x:v>0.1</x:v>
      </x:c>
      <x:c r="AC39" s="81" t="n">
        <x:v>0.1</x:v>
      </x:c>
      <x:c r="AD39" s="81" t="n">
        <x:v>0.08</x:v>
      </x:c>
      <x:c r="AE39" s="81" t="n">
        <x:v>0.29</x:v>
      </x:c>
      <x:c r="AF39" s="81" t="n">
        <x:v>5.7</x:v>
      </x:c>
      <x:c r="AG39" s="81" t="n">
        <x:v>4.77</x:v>
      </x:c>
      <x:c r="AH39" s="81" t="n">
        <x:v>0.19</x:v>
      </x:c>
      <x:c r="AI39" s="81" t="n">
        <x:v>0.06</x:v>
      </x:c>
      <x:c r="AJ39" s="81" t="n">
        <x:v>0</x:v>
      </x:c>
      <x:c r="AK39" s="81" t="n">
        <x:v>0</x:v>
      </x:c>
      <x:c r="AL39" s="81" t="n">
        <x:v>0</x:v>
      </x:c>
      <x:c r="AM39" s="81" t="n">
        <x:v>0</x:v>
      </x:c>
      <x:c r="AN39" s="81" t="n">
        <x:v>0</x:v>
      </x:c>
      <x:c r="AO39" s="81" t="n">
        <x:v>0</x:v>
      </x:c>
      <x:c r="AP39" s="89" t="n">
        <x:f>SUMIFS('09_初始申报_技术'!$O$2:$O$43,'09_初始申报_技术'!$A$2:$A$43,$A39,'09_初始申报_技术'!$L$2:$L$43,$J39)</x:f>
        <x:v>12</x:v>
      </x:c>
      <x:c r="AQ39" s="86" t="n">
        <x:f>SUMIFS('09_初始申报_技术'!$R$2:$R$43,'09_初始申报_技术'!$A$2:$A$43,$A39,'09_初始申报_技术'!$L$2:$L$43,$J39)</x:f>
        <x:v>15.84</x:v>
      </x:c>
      <x:c r="AR39" s="86" t="n">
        <x:f>SUMIFS('09_初始申报_技术'!$S$2:$S$43,'09_初始申报_技术'!$A$2:$A$43,$A39,'09_初始申报_技术'!$L$2:$L$43,$J39)</x:f>
        <x:v>14.94</x:v>
      </x:c>
      <x:c r="AS39" s="81" t="n">
        <x:v>34.04</x:v>
      </x:c>
      <x:c r="AT39" s="88" t="n">
        <x:v>0.716631578947368</x:v>
      </x:c>
      <x:c r="AU39" s="90" t="n">
        <x:f>IF(O39=0,0,AS39/O39)</x:f>
        <x:v>0.7166315789473684</x:v>
      </x:c>
      <x:c r="AV39" s="86" t="n">
        <x:f>AS39+AR39</x:f>
        <x:v>48.98</x:v>
      </x:c>
      <x:c r="AW39" s="90" t="n">
        <x:f>IF(O39=0,0,AV39/O39)</x:f>
        <x:v>1.031157894736842</x:v>
      </x:c>
      <x:c r="AX39" s="90" t="n">
        <x:f>IF(O39=0,0,(O39-AV39)/O39)</x:f>
        <x:v>-0.03115789473684204</x:v>
      </x:c>
      <x:c r="AY39" s="62" t="str">
        <x:v>CNY</x:v>
      </x:c>
      <x:c r="AZ39" s="62" t="str">
        <x:v>万元</x:v>
      </x:c>
      <x:c r="BA39" s="62" t="str">
        <x:v>费用不含税；收入采用净额</x:v>
      </x:c>
      <x:c r="BB39" s="62" t="str">
        <x:v>2026年预算申报明细汇总.xlsx</x:v>
      </x:c>
      <x:c r="BC39" s="62" t="str">
        <x:v>市场项目预算明细</x:v>
      </x:c>
      <x:c r="BD39" s="62" t="n">
        <x:v>18</x:v>
      </x:c>
      <x:c r="BE39" s="62" t="str">
        <x:v>2026|PRJ-AQ-灾害-2025-002</x:v>
      </x:c>
      <x:c r="BF39" s="62" t="str">
        <x:f>IF(ABS(AT39-AU39)&lt;0.000001,"OK","FAIL")</x:f>
        <x:v>OK</x:v>
      </x:c>
      <x:c r="BG39" s="62" t="str">
        <x:f>IF(ABS(AW39+AX39-1)&lt;0.000001,"OK","FAIL")</x:f>
        <x:v>OK</x:v>
      </x:c>
    </x:row>
    <x:row r="40">
      <x:c r="A40" s="83" t="n">
        <x:v>2026</x:v>
      </x:c>
      <x:c r="B40" s="83" t="str">
        <x:v>FY2026-INITIAL-SUBMISSION-v1</x:v>
      </x:c>
      <x:c r="C40" s="83" t="str">
        <x:v>PROPOSAL</x:v>
      </x:c>
      <x:c r="D40" s="83" t="str">
        <x:v>INITIAL_SUBMITTED</x:v>
      </x:c>
      <x:c r="E40" s="84" t="n">
        <x:v>45961</x:v>
      </x:c>
      <x:c r="F40" s="83" t="str">
        <x:v>SOURCE</x:v>
      </x:c>
      <x:c r="G40" s="83" t="str">
        <x:v>安全运行部</x:v>
      </x:c>
      <x:c r="H40" s="83" t="str">
        <x:v>灾害防护</x:v>
      </x:c>
      <x:c r="I40" s="83" t="str">
        <x:v>灾害防护</x:v>
      </x:c>
      <x:c r="J40" s="83" t="str">
        <x:v>PRJ-AQ-灾害-2025-003</x:v>
      </x:c>
      <x:c r="K40" s="83" t="str">
        <x:v>已签订</x:v>
      </x:c>
      <x:c r="L40" s="83" t="str">
        <x:v>XX能源集团</x:v>
      </x:c>
      <x:c r="M40" s="88" t="n">
        <x:v>0.06</x:v>
      </x:c>
      <x:c r="N40" s="81" t="n">
        <x:v>57.24</x:v>
      </x:c>
      <x:c r="O40" s="81" t="n">
        <x:v>54</x:v>
      </x:c>
      <x:c r="P40" s="81" t="n">
        <x:v>6.46</x:v>
      </x:c>
      <x:c r="Q40" s="83" t="str">
        <x:v>其中：</x:v>
      </x:c>
      <x:c r="R40" s="83" t="n">
        <x:v>5</x:v>
      </x:c>
      <x:c r="S40" s="81" t="n">
        <x:v>0.07</x:v>
      </x:c>
      <x:c r="T40" s="83" t="n">
        <x:v>60</x:v>
      </x:c>
      <x:c r="U40" s="81" t="n">
        <x:v>4.2</x:v>
      </x:c>
      <x:c r="V40" s="81" t="n">
        <x:v>2.26</x:v>
      </x:c>
      <x:c r="W40" s="81" t="n">
        <x:v>27.63</x:v>
      </x:c>
      <x:c r="X40" s="83" t="str">
        <x:v>其中：</x:v>
      </x:c>
      <x:c r="Y40" s="81" t="n">
        <x:v>2.16</x:v>
      </x:c>
      <x:c r="Z40" s="81" t="n">
        <x:v>0.22</x:v>
      </x:c>
      <x:c r="AA40" s="81" t="n">
        <x:v>0</x:v>
      </x:c>
      <x:c r="AB40" s="81" t="n">
        <x:v>0.11</x:v>
      </x:c>
      <x:c r="AC40" s="81" t="n">
        <x:v>0.11</x:v>
      </x:c>
      <x:c r="AD40" s="81" t="n">
        <x:v>0.09</x:v>
      </x:c>
      <x:c r="AE40" s="81" t="n">
        <x:v>0.32</x:v>
      </x:c>
      <x:c r="AF40" s="81" t="n">
        <x:v>6.5</x:v>
      </x:c>
      <x:c r="AG40" s="81" t="n">
        <x:v>5.39</x:v>
      </x:c>
      <x:c r="AH40" s="81" t="n">
        <x:v>0.22</x:v>
      </x:c>
      <x:c r="AI40" s="81" t="n">
        <x:v>0.06</x:v>
      </x:c>
      <x:c r="AJ40" s="81" t="n">
        <x:v>0</x:v>
      </x:c>
      <x:c r="AK40" s="81" t="n">
        <x:v>0</x:v>
      </x:c>
      <x:c r="AL40" s="81" t="n">
        <x:v>0</x:v>
      </x:c>
      <x:c r="AM40" s="81" t="n">
        <x:v>0</x:v>
      </x:c>
      <x:c r="AN40" s="81" t="n">
        <x:v>0</x:v>
      </x:c>
      <x:c r="AO40" s="81" t="n">
        <x:v>0</x:v>
      </x:c>
      <x:c r="AP40" s="89" t="n">
        <x:f>SUMIFS('09_初始申报_技术'!$O$2:$O$43,'09_初始申报_技术'!$A$2:$A$43,$A40,'09_初始申报_技术'!$L$2:$L$43,$J40)</x:f>
        <x:v>12</x:v>
      </x:c>
      <x:c r="AQ40" s="86" t="n">
        <x:f>SUMIFS('09_初始申报_技术'!$R$2:$R$43,'09_初始申报_技术'!$A$2:$A$43,$A40,'09_初始申报_技术'!$L$2:$L$43,$J40)</x:f>
        <x:v>13.2</x:v>
      </x:c>
      <x:c r="AR40" s="86" t="n">
        <x:f>SUMIFS('09_初始申报_技术'!$S$2:$S$43,'09_初始申报_技术'!$A$2:$A$43,$A40,'09_初始申报_技术'!$L$2:$L$43,$J40)</x:f>
        <x:v>12.45</x:v>
      </x:c>
      <x:c r="AS40" s="81" t="n">
        <x:v>34.09</x:v>
      </x:c>
      <x:c r="AT40" s="88" t="n">
        <x:v>0.631296296296296</x:v>
      </x:c>
      <x:c r="AU40" s="90" t="n">
        <x:f>IF(O40=0,0,AS40/O40)</x:f>
        <x:v>0.6312962962962964</x:v>
      </x:c>
      <x:c r="AV40" s="86" t="n">
        <x:f>AS40+AR40</x:f>
        <x:v>46.540000000000006</x:v>
      </x:c>
      <x:c r="AW40" s="90" t="n">
        <x:f>IF(O40=0,0,AV40/O40)</x:f>
        <x:v>0.861851851851852</x:v>
      </x:c>
      <x:c r="AX40" s="90" t="n">
        <x:f>IF(O40=0,0,(O40-AV40)/O40)</x:f>
        <x:v>0.13814814814814802</x:v>
      </x:c>
      <x:c r="AY40" s="62" t="str">
        <x:v>CNY</x:v>
      </x:c>
      <x:c r="AZ40" s="62" t="str">
        <x:v>万元</x:v>
      </x:c>
      <x:c r="BA40" s="62" t="str">
        <x:v>费用不含税；收入采用净额</x:v>
      </x:c>
      <x:c r="BB40" s="62" t="str">
        <x:v>2026年预算申报明细汇总.xlsx</x:v>
      </x:c>
      <x:c r="BC40" s="62" t="str">
        <x:v>市场项目预算明细</x:v>
      </x:c>
      <x:c r="BD40" s="62" t="n">
        <x:v>19</x:v>
      </x:c>
      <x:c r="BE40" s="62" t="str">
        <x:v>2026|PRJ-AQ-灾害-2025-003</x:v>
      </x:c>
      <x:c r="BF40" s="62" t="str">
        <x:f>IF(ABS(AT40-AU40)&lt;0.000001,"OK","FAIL")</x:f>
        <x:v>OK</x:v>
      </x:c>
      <x:c r="BG40" s="62" t="str">
        <x:f>IF(ABS(AW40+AX40-1)&lt;0.000001,"OK","FAIL")</x:f>
        <x:v>OK</x:v>
      </x:c>
    </x:row>
    <x:row r="41">
      <x:c r="A41" s="83" t="n">
        <x:v>2026</x:v>
      </x:c>
      <x:c r="B41" s="83" t="str">
        <x:v>FY2026-INITIAL-SUBMISSION-v1</x:v>
      </x:c>
      <x:c r="C41" s="83" t="str">
        <x:v>PROPOSAL</x:v>
      </x:c>
      <x:c r="D41" s="83" t="str">
        <x:v>INITIAL_SUBMITTED</x:v>
      </x:c>
      <x:c r="E41" s="84" t="n">
        <x:v>45961</x:v>
      </x:c>
      <x:c r="F41" s="83" t="str">
        <x:v>SOURCE</x:v>
      </x:c>
      <x:c r="G41" s="83" t="str">
        <x:v>安全运行部</x:v>
      </x:c>
      <x:c r="H41" s="83" t="str">
        <x:v>安全评估</x:v>
      </x:c>
      <x:c r="I41" s="83" t="str">
        <x:v>安全评估</x:v>
      </x:c>
      <x:c r="J41" s="83" t="str">
        <x:v>PRJ-AQ-安全-2024-001</x:v>
      </x:c>
      <x:c r="K41" s="83" t="str">
        <x:v>已签订</x:v>
      </x:c>
      <x:c r="L41" s="83" t="str">
        <x:v>XX能源集团</x:v>
      </x:c>
      <x:c r="M41" s="88" t="n">
        <x:v>0.06</x:v>
      </x:c>
      <x:c r="N41" s="81" t="n">
        <x:v>53</x:v>
      </x:c>
      <x:c r="O41" s="81" t="n">
        <x:v>50</x:v>
      </x:c>
      <x:c r="P41" s="81" t="n">
        <x:v>6.09</x:v>
      </x:c>
      <x:c r="Q41" s="83" t="str">
        <x:v>其中：</x:v>
      </x:c>
      <x:c r="R41" s="83" t="n">
        <x:v>5</x:v>
      </x:c>
      <x:c r="S41" s="81" t="n">
        <x:v>0.07</x:v>
      </x:c>
      <x:c r="T41" s="83" t="n">
        <x:v>60</x:v>
      </x:c>
      <x:c r="U41" s="81" t="n">
        <x:v>3.96</x:v>
      </x:c>
      <x:c r="V41" s="81" t="n">
        <x:v>2.13</x:v>
      </x:c>
      <x:c r="W41" s="81" t="n">
        <x:v>54.97</x:v>
      </x:c>
      <x:c r="X41" s="83" t="str">
        <x:v>其中：</x:v>
      </x:c>
      <x:c r="Y41" s="81" t="n">
        <x:v>2</x:v>
      </x:c>
      <x:c r="Z41" s="81" t="n">
        <x:v>0.2</x:v>
      </x:c>
      <x:c r="AA41" s="81" t="n">
        <x:v>0</x:v>
      </x:c>
      <x:c r="AB41" s="81" t="n">
        <x:v>0.1</x:v>
      </x:c>
      <x:c r="AC41" s="81" t="n">
        <x:v>0.1</x:v>
      </x:c>
      <x:c r="AD41" s="81" t="n">
        <x:v>0.08</x:v>
      </x:c>
      <x:c r="AE41" s="81" t="n">
        <x:v>0.3</x:v>
      </x:c>
      <x:c r="AF41" s="81" t="n">
        <x:v>6.1</x:v>
      </x:c>
      <x:c r="AG41" s="81" t="n">
        <x:v>5.08</x:v>
      </x:c>
      <x:c r="AH41" s="81" t="n">
        <x:v>0.2</x:v>
      </x:c>
      <x:c r="AI41" s="81" t="n">
        <x:v>0.06</x:v>
      </x:c>
      <x:c r="AJ41" s="81" t="n">
        <x:v>0</x:v>
      </x:c>
      <x:c r="AK41" s="81" t="n">
        <x:v>0</x:v>
      </x:c>
      <x:c r="AL41" s="81" t="n">
        <x:v>0</x:v>
      </x:c>
      <x:c r="AM41" s="81" t="n">
        <x:v>0</x:v>
      </x:c>
      <x:c r="AN41" s="81" t="n">
        <x:v>0</x:v>
      </x:c>
      <x:c r="AO41" s="81" t="n">
        <x:v>0</x:v>
      </x:c>
      <x:c r="AP41" s="89" t="n">
        <x:f>SUMIFS('09_初始申报_技术'!$O$2:$O$43,'09_初始申报_技术'!$A$2:$A$43,$A41,'09_初始申报_技术'!$L$2:$L$43,$J41)</x:f>
        <x:v>24</x:v>
      </x:c>
      <x:c r="AQ41" s="86" t="n">
        <x:f>SUMIFS('09_初始申报_技术'!$R$2:$R$43,'09_初始申报_技术'!$A$2:$A$43,$A41,'09_初始申报_技术'!$L$2:$L$43,$J41)</x:f>
        <x:v>43.2</x:v>
      </x:c>
      <x:c r="AR41" s="86" t="n">
        <x:f>SUMIFS('09_初始申报_技术'!$S$2:$S$43,'09_初始申报_技术'!$A$2:$A$43,$A41,'09_初始申报_技术'!$L$2:$L$43,$J41)</x:f>
        <x:v>40.75</x:v>
      </x:c>
      <x:c r="AS41" s="81" t="n">
        <x:v>61.06</x:v>
      </x:c>
      <x:c r="AT41" s="88" t="n">
        <x:v>1.2212</x:v>
      </x:c>
      <x:c r="AU41" s="90" t="n">
        <x:f>IF(O41=0,0,AS41/O41)</x:f>
        <x:v>1.2212</x:v>
      </x:c>
      <x:c r="AV41" s="86" t="n">
        <x:f>AS41+AR41</x:f>
        <x:v>101.81</x:v>
      </x:c>
      <x:c r="AW41" s="90" t="n">
        <x:f>IF(O41=0,0,AV41/O41)</x:f>
        <x:v>2.0362</x:v>
      </x:c>
      <x:c r="AX41" s="90" t="n">
        <x:f>IF(O41=0,0,(O41-AV41)/O41)</x:f>
        <x:v>-1.0362</x:v>
      </x:c>
      <x:c r="AY41" s="62" t="str">
        <x:v>CNY</x:v>
      </x:c>
      <x:c r="AZ41" s="62" t="str">
        <x:v>万元</x:v>
      </x:c>
      <x:c r="BA41" s="62" t="str">
        <x:v>费用不含税；收入采用净额</x:v>
      </x:c>
      <x:c r="BB41" s="62" t="str">
        <x:v>2026年预算申报明细汇总.xlsx</x:v>
      </x:c>
      <x:c r="BC41" s="62" t="str">
        <x:v>市场项目预算明细</x:v>
      </x:c>
      <x:c r="BD41" s="62" t="n">
        <x:v>20</x:v>
      </x:c>
      <x:c r="BE41" s="62" t="str">
        <x:v>2026|PRJ-AQ-安全-2024-001</x:v>
      </x:c>
      <x:c r="BF41" s="62" t="str">
        <x:f>IF(ABS(AT41-AU41)&lt;0.000001,"OK","FAIL")</x:f>
        <x:v>OK</x:v>
      </x:c>
      <x:c r="BG41" s="62" t="str">
        <x:f>IF(ABS(AW41+AX41-1)&lt;0.000001,"OK","FAIL")</x:f>
        <x:v>OK</x:v>
      </x:c>
    </x:row>
    <x:row r="42">
      <x:c r="A42" s="83" t="n">
        <x:v>2026</x:v>
      </x:c>
      <x:c r="B42" s="83" t="str">
        <x:v>FY2026-INITIAL-SUBMISSION-v1</x:v>
      </x:c>
      <x:c r="C42" s="83" t="str">
        <x:v>PROPOSAL</x:v>
      </x:c>
      <x:c r="D42" s="83" t="str">
        <x:v>INITIAL_SUBMITTED</x:v>
      </x:c>
      <x:c r="E42" s="84" t="n">
        <x:v>45961</x:v>
      </x:c>
      <x:c r="F42" s="83" t="str">
        <x:v>SOURCE</x:v>
      </x:c>
      <x:c r="G42" s="83" t="str">
        <x:v>安全运行部</x:v>
      </x:c>
      <x:c r="H42" s="83" t="str">
        <x:v>安全评估</x:v>
      </x:c>
      <x:c r="I42" s="83" t="str">
        <x:v>安全评估</x:v>
      </x:c>
      <x:c r="J42" s="83" t="str">
        <x:v>PRJ-AQ-安全-2025-002</x:v>
      </x:c>
      <x:c r="K42" s="83" t="str">
        <x:v>已签订</x:v>
      </x:c>
      <x:c r="L42" s="83" t="str">
        <x:v>XX能源集团</x:v>
      </x:c>
      <x:c r="M42" s="88" t="n">
        <x:v>0.06</x:v>
      </x:c>
      <x:c r="N42" s="81" t="n">
        <x:v>55.76</x:v>
      </x:c>
      <x:c r="O42" s="81" t="n">
        <x:v>52.6</x:v>
      </x:c>
      <x:c r="P42" s="81" t="n">
        <x:v>6.22</x:v>
      </x:c>
      <x:c r="Q42" s="83" t="str">
        <x:v>其中：</x:v>
      </x:c>
      <x:c r="R42" s="83" t="n">
        <x:v>5</x:v>
      </x:c>
      <x:c r="S42" s="81" t="n">
        <x:v>0.07</x:v>
      </x:c>
      <x:c r="T42" s="83" t="n">
        <x:v>60</x:v>
      </x:c>
      <x:c r="U42" s="81" t="n">
        <x:v>4.04</x:v>
      </x:c>
      <x:c r="V42" s="81" t="n">
        <x:v>2.18</x:v>
      </x:c>
      <x:c r="W42" s="81" t="n">
        <x:v>58.934</x:v>
      </x:c>
      <x:c r="X42" s="83" t="str">
        <x:v>其中：</x:v>
      </x:c>
      <x:c r="Y42" s="81" t="n">
        <x:v>2.104</x:v>
      </x:c>
      <x:c r="Z42" s="81" t="n">
        <x:v>0.21</x:v>
      </x:c>
      <x:c r="AA42" s="81" t="n">
        <x:v>0</x:v>
      </x:c>
      <x:c r="AB42" s="81" t="n">
        <x:v>0.1</x:v>
      </x:c>
      <x:c r="AC42" s="81" t="n">
        <x:v>0.1</x:v>
      </x:c>
      <x:c r="AD42" s="81" t="n">
        <x:v>0.08</x:v>
      </x:c>
      <x:c r="AE42" s="81" t="n">
        <x:v>0.31</x:v>
      </x:c>
      <x:c r="AF42" s="81" t="n">
        <x:v>6.2</x:v>
      </x:c>
      <x:c r="AG42" s="81" t="n">
        <x:v>5.18</x:v>
      </x:c>
      <x:c r="AH42" s="81" t="n">
        <x:v>0.21</x:v>
      </x:c>
      <x:c r="AI42" s="81" t="n">
        <x:v>0.06</x:v>
      </x:c>
      <x:c r="AJ42" s="81" t="n">
        <x:v>0</x:v>
      </x:c>
      <x:c r="AK42" s="81" t="n">
        <x:v>0</x:v>
      </x:c>
      <x:c r="AL42" s="81" t="n">
        <x:v>0</x:v>
      </x:c>
      <x:c r="AM42" s="81" t="n">
        <x:v>0</x:v>
      </x:c>
      <x:c r="AN42" s="81" t="n">
        <x:v>0</x:v>
      </x:c>
      <x:c r="AO42" s="81" t="n">
        <x:v>0</x:v>
      </x:c>
      <x:c r="AP42" s="89" t="n">
        <x:f>SUMIFS('09_初始申报_技术'!$O$2:$O$43,'09_初始申报_技术'!$A$2:$A$43,$A42,'09_初始申报_技术'!$L$2:$L$43,$J42)</x:f>
        <x:v>24</x:v>
      </x:c>
      <x:c r="AQ42" s="86" t="n">
        <x:f>SUMIFS('09_初始申报_技术'!$R$2:$R$43,'09_初始申报_技术'!$A$2:$A$43,$A42,'09_初始申报_技术'!$L$2:$L$43,$J42)</x:f>
        <x:v>47.04</x:v>
      </x:c>
      <x:c r="AR42" s="86" t="n">
        <x:f>SUMIFS('09_初始申报_技术'!$S$2:$S$43,'09_初始申报_技术'!$A$2:$A$43,$A42,'09_初始申报_技术'!$L$2:$L$43,$J42)</x:f>
        <x:v>44.38</x:v>
      </x:c>
      <x:c r="AS42" s="81" t="n">
        <x:v>65.154</x:v>
      </x:c>
      <x:c r="AT42" s="88" t="n">
        <x:v>1.23866920152091</x:v>
      </x:c>
      <x:c r="AU42" s="90" t="n">
        <x:f>IF(O42=0,0,AS42/O42)</x:f>
        <x:v>1.2386692015209124</x:v>
      </x:c>
      <x:c r="AV42" s="86" t="n">
        <x:f>AS42+AR42</x:f>
        <x:v>109.53399999999999</x:v>
      </x:c>
      <x:c r="AW42" s="90" t="n">
        <x:f>IF(O42=0,0,AV42/O42)</x:f>
        <x:v>2.082395437262357</x:v>
      </x:c>
      <x:c r="AX42" s="90" t="n">
        <x:f>IF(O42=0,0,(O42-AV42)/O42)</x:f>
        <x:v>-1.0823954372623572</x:v>
      </x:c>
      <x:c r="AY42" s="62" t="str">
        <x:v>CNY</x:v>
      </x:c>
      <x:c r="AZ42" s="62" t="str">
        <x:v>万元</x:v>
      </x:c>
      <x:c r="BA42" s="62" t="str">
        <x:v>费用不含税；收入采用净额</x:v>
      </x:c>
      <x:c r="BB42" s="62" t="str">
        <x:v>2026年预算申报明细汇总.xlsx</x:v>
      </x:c>
      <x:c r="BC42" s="62" t="str">
        <x:v>市场项目预算明细</x:v>
      </x:c>
      <x:c r="BD42" s="62" t="n">
        <x:v>21</x:v>
      </x:c>
      <x:c r="BE42" s="62" t="str">
        <x:v>2026|PRJ-AQ-安全-2025-002</x:v>
      </x:c>
      <x:c r="BF42" s="62" t="str">
        <x:f>IF(ABS(AT42-AU42)&lt;0.000001,"OK","FAIL")</x:f>
        <x:v>OK</x:v>
      </x:c>
      <x:c r="BG42" s="62" t="str">
        <x:f>IF(ABS(AW42+AX42-1)&lt;0.000001,"OK","FAIL")</x:f>
        <x:v>OK</x:v>
      </x:c>
    </x:row>
    <x:row r="43">
      <x:c r="A43" s="83" t="n">
        <x:v>2026</x:v>
      </x:c>
      <x:c r="B43" s="83" t="str">
        <x:v>FY2026-INITIAL-SUBMISSION-v1</x:v>
      </x:c>
      <x:c r="C43" s="83" t="str">
        <x:v>PROPOSAL</x:v>
      </x:c>
      <x:c r="D43" s="83" t="str">
        <x:v>INITIAL_SUBMITTED</x:v>
      </x:c>
      <x:c r="E43" s="84" t="n">
        <x:v>45961</x:v>
      </x:c>
      <x:c r="F43" s="83" t="str">
        <x:v>SOURCE</x:v>
      </x:c>
      <x:c r="G43" s="83" t="str">
        <x:v>安全运行部</x:v>
      </x:c>
      <x:c r="H43" s="83" t="str">
        <x:v>安全评估</x:v>
      </x:c>
      <x:c r="I43" s="83" t="str">
        <x:v>安全评估</x:v>
      </x:c>
      <x:c r="J43" s="83" t="str">
        <x:v>PRJ-AQ-安全-2025-003</x:v>
      </x:c>
      <x:c r="K43" s="83" t="str">
        <x:v>已签订</x:v>
      </x:c>
      <x:c r="L43" s="83" t="str">
        <x:v>XX能源集团</x:v>
      </x:c>
      <x:c r="M43" s="88" t="n">
        <x:v>0.06</x:v>
      </x:c>
      <x:c r="N43" s="81" t="n">
        <x:v>62.54</x:v>
      </x:c>
      <x:c r="O43" s="81" t="n">
        <x:v>59</x:v>
      </x:c>
      <x:c r="P43" s="81" t="n">
        <x:v>7.2</x:v>
      </x:c>
      <x:c r="Q43" s="83" t="str">
        <x:v>其中：</x:v>
      </x:c>
      <x:c r="R43" s="83" t="n">
        <x:v>5</x:v>
      </x:c>
      <x:c r="S43" s="81" t="n">
        <x:v>0.08</x:v>
      </x:c>
      <x:c r="T43" s="83" t="n">
        <x:v>60</x:v>
      </x:c>
      <x:c r="U43" s="81" t="n">
        <x:v>4.68</x:v>
      </x:c>
      <x:c r="V43" s="81" t="n">
        <x:v>2.52</x:v>
      </x:c>
      <x:c r="W43" s="81" t="n">
        <x:v>60.73</x:v>
      </x:c>
      <x:c r="X43" s="83" t="str">
        <x:v>其中：</x:v>
      </x:c>
      <x:c r="Y43" s="81" t="n">
        <x:v>2.36</x:v>
      </x:c>
      <x:c r="Z43" s="81" t="n">
        <x:v>0.24</x:v>
      </x:c>
      <x:c r="AA43" s="81" t="n">
        <x:v>0</x:v>
      </x:c>
      <x:c r="AB43" s="81" t="n">
        <x:v>0.12</x:v>
      </x:c>
      <x:c r="AC43" s="81" t="n">
        <x:v>0.12</x:v>
      </x:c>
      <x:c r="AD43" s="81" t="n">
        <x:v>0.1</x:v>
      </x:c>
      <x:c r="AE43" s="81" t="n">
        <x:v>0.36</x:v>
      </x:c>
      <x:c r="AF43" s="81" t="n">
        <x:v>7.2</x:v>
      </x:c>
      <x:c r="AG43" s="81" t="n">
        <x:v>6</x:v>
      </x:c>
      <x:c r="AH43" s="81" t="n">
        <x:v>0.24</x:v>
      </x:c>
      <x:c r="AI43" s="81" t="n">
        <x:v>0.07</x:v>
      </x:c>
      <x:c r="AJ43" s="81" t="n">
        <x:v>0</x:v>
      </x:c>
      <x:c r="AK43" s="81" t="n">
        <x:v>0</x:v>
      </x:c>
      <x:c r="AL43" s="81" t="n">
        <x:v>0</x:v>
      </x:c>
      <x:c r="AM43" s="81" t="n">
        <x:v>0</x:v>
      </x:c>
      <x:c r="AN43" s="81" t="n">
        <x:v>0</x:v>
      </x:c>
      <x:c r="AO43" s="81" t="n">
        <x:v>0</x:v>
      </x:c>
      <x:c r="AP43" s="89" t="n">
        <x:f>SUMIFS('09_初始申报_技术'!$O$2:$O$43,'09_初始申报_技术'!$A$2:$A$43,$A43,'09_初始申报_技术'!$L$2:$L$43,$J43)</x:f>
        <x:v>24</x:v>
      </x:c>
      <x:c r="AQ43" s="86" t="n">
        <x:f>SUMIFS('09_初始申报_技术'!$R$2:$R$43,'09_初始申报_技术'!$A$2:$A$43,$A43,'09_初始申报_技术'!$L$2:$L$43,$J43)</x:f>
        <x:v>46.56</x:v>
      </x:c>
      <x:c r="AR43" s="86" t="n">
        <x:f>SUMIFS('09_初始申报_技术'!$S$2:$S$43,'09_初始申报_技术'!$A$2:$A$43,$A43,'09_初始申报_技术'!$L$2:$L$43,$J43)</x:f>
        <x:v>43.92</x:v>
      </x:c>
      <x:c r="AS43" s="81" t="n">
        <x:v>67.93</x:v>
      </x:c>
      <x:c r="AT43" s="88" t="n">
        <x:v>1.15135593220339</x:v>
      </x:c>
      <x:c r="AU43" s="90" t="n">
        <x:f>IF(O43=0,0,AS43/O43)</x:f>
        <x:v>1.15135593220339</x:v>
      </x:c>
      <x:c r="AV43" s="86" t="n">
        <x:f>AS43+AR43</x:f>
        <x:v>111.85000000000001</x:v>
      </x:c>
      <x:c r="AW43" s="90" t="n">
        <x:f>IF(O43=0,0,AV43/O43)</x:f>
        <x:v>1.895762711864407</x:v>
      </x:c>
      <x:c r="AX43" s="90" t="n">
        <x:f>IF(O43=0,0,(O43-AV43)/O43)</x:f>
        <x:v>-0.8957627118644069</x:v>
      </x:c>
      <x:c r="AY43" s="62" t="str">
        <x:v>CNY</x:v>
      </x:c>
      <x:c r="AZ43" s="62" t="str">
        <x:v>万元</x:v>
      </x:c>
      <x:c r="BA43" s="62" t="str">
        <x:v>费用不含税；收入采用净额</x:v>
      </x:c>
      <x:c r="BB43" s="62" t="str">
        <x:v>2026年预算申报明细汇总.xlsx</x:v>
      </x:c>
      <x:c r="BC43" s="62" t="str">
        <x:v>市场项目预算明细</x:v>
      </x:c>
      <x:c r="BD43" s="62" t="n">
        <x:v>22</x:v>
      </x:c>
      <x:c r="BE43" s="62" t="str">
        <x:v>2026|PRJ-AQ-安全-2025-003</x:v>
      </x:c>
      <x:c r="BF43" s="62" t="str">
        <x:f>IF(ABS(AT43-AU43)&lt;0.000001,"OK","FAIL")</x:f>
        <x:v>OK</x:v>
      </x:c>
      <x:c r="BG43" s="62" t="str">
        <x:f>IF(ABS(AW43+AX43-1)&lt;0.000001,"OK","FAIL")</x:f>
        <x:v>OK</x:v>
      </x:c>
    </x:row>
  </x:sheetData>
  <x:conditionalFormatting sqref="BF2:BG43">
    <x:cfRule type="containsText" dxfId="21" priority="1" operator="containsText" text="OK"/>
    <x:cfRule type="containsText" dxfId="22" priority="2" operator="containsText" text="PASS"/>
    <x:cfRule type="containsText" dxfId="23" priority="3" operator="containsText" text="FAIL"/>
    <x:cfRule type="containsText" dxfId="24" priority="4" operator="containsText" text="阻塞"/>
    <x:cfRule type="containsText" dxfId="25" priority="5" operator="containsText" text="待复核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4" hidden="0" customWidth="1"/>
    <x:col min="4" max="4" width="20" hidden="0" customWidth="1"/>
    <x:col min="5" max="5" width="14" hidden="0" customWidth="1"/>
    <x:col min="6" max="6" width="22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  <x:col min="11" max="11" width="10" hidden="0" customWidth="1"/>
    <x:col min="12" max="12" width="18" hidden="0" customWidth="1"/>
    <x:col min="13" max="13" width="20" hidden="0" customWidth="1"/>
    <x:col min="14" max="14" width="18" hidden="0" customWidth="1"/>
    <x:col min="15" max="15" width="20" hidden="0" customWidth="1"/>
    <x:col min="16" max="16" width="11" hidden="0" customWidth="1"/>
    <x:col min="17" max="17" width="44" hidden="0" customWidth="1"/>
    <x:col min="18" max="18" width="10" hidden="0" customWidth="1"/>
    <x:col min="19" max="19" width="10" hidden="0" customWidth="1"/>
    <x:col min="20" max="20" width="16" hidden="0" customWidth="1"/>
    <x:col min="21" max="21" width="34" hidden="0" customWidth="1"/>
    <x:col min="22" max="22" width="20" hidden="0" customWidth="1"/>
    <x:col min="23" max="23" width="10" hidden="0" customWidth="1"/>
    <x:col min="24" max="24" width="30" hidden="0" customWidth="1"/>
    <x:col min="25" max="25" width="13" hidden="0" customWidth="1"/>
    <x:col min="26" max="26" width="13" hidden="0" customWidth="1"/>
  </x:cols>
  <x:sheetData>
    <x:row r="1" ht="34" customHeight="1">
      <x:c r="A1" s="68" t="str">
        <x:v>预算年度</x:v>
      </x:c>
      <x:c r="B1" s="69" t="str">
        <x:v>预算版本</x:v>
      </x:c>
      <x:c r="C1" s="69" t="str">
        <x:v>情景</x:v>
      </x:c>
      <x:c r="D1" s="69" t="str">
        <x:v>审批状态</x:v>
      </x:c>
      <x:c r="E1" s="69" t="str">
        <x:v>提交快照</x:v>
      </x:c>
      <x:c r="F1" s="69" t="str">
        <x:v>数据标记</x:v>
      </x:c>
      <x:c r="G1" s="69" t="str">
        <x:v>部门</x:v>
      </x:c>
      <x:c r="H1" s="69" t="str">
        <x:v>预算二级科目</x:v>
      </x:c>
      <x:c r="I1" s="69" t="str">
        <x:v>业务内容</x:v>
      </x:c>
      <x:c r="J1" s="69" t="str">
        <x:v>计算依据</x:v>
      </x:c>
      <x:c r="K1" s="69" t="str">
        <x:v>税率</x:v>
      </x:c>
      <x:c r="L1" s="69" t="str">
        <x:v>源年度预算含税</x:v>
      </x:c>
      <x:c r="M1" s="69" t="str">
        <x:v>演示年度预算含税</x:v>
      </x:c>
      <x:c r="N1" s="69" t="str">
        <x:v>源年度预算净额</x:v>
      </x:c>
      <x:c r="O1" s="69" t="str">
        <x:v>演示年度预算净额</x:v>
      </x:c>
      <x:c r="P1" s="69" t="str">
        <x:v>增长率</x:v>
      </x:c>
      <x:c r="Q1" s="69" t="str">
        <x:v>加工原因</x:v>
      </x:c>
      <x:c r="R1" s="69" t="str">
        <x:v>币种</x:v>
      </x:c>
      <x:c r="S1" s="69" t="str">
        <x:v>金额单位</x:v>
      </x:c>
      <x:c r="T1" s="69" t="str">
        <x:v>费用口径</x:v>
      </x:c>
      <x:c r="U1" s="69" t="str">
        <x:v>来源文件</x:v>
      </x:c>
      <x:c r="V1" s="69" t="str">
        <x:v>来源成员</x:v>
      </x:c>
      <x:c r="W1" s="69" t="str">
        <x:v>源行</x:v>
      </x:c>
      <x:c r="X1" s="69" t="str">
        <x:v>稳定键</x:v>
      </x:c>
      <x:c r="Y1" s="69" t="str">
        <x:v>跨年逐值QC</x:v>
      </x:c>
      <x:c r="Z1" s="70" t="str">
        <x:v>含税净额QC</x:v>
      </x:c>
    </x:row>
    <x:row r="2">
      <x:c r="A2" s="62" t="n">
        <x:v>2025</x:v>
      </x:c>
      <x:c r="B2" s="62" t="str">
        <x:v>FY2025-INITIAL-SUBMISSION-v1</x:v>
      </x:c>
      <x:c r="C2" s="62" t="str">
        <x:v>PROPOSAL</x:v>
      </x:c>
      <x:c r="D2" s="62" t="str">
        <x:v>INITIAL_SUBMITTED</x:v>
      </x:c>
      <x:c r="E2" s="74" t="n">
        <x:v>45596</x:v>
      </x:c>
      <x:c r="F2" s="62" t="str">
        <x:v>SOURCE</x:v>
      </x:c>
      <x:c r="G2" s="62" t="str">
        <x:v>安全运行部</x:v>
      </x:c>
      <x:c r="H2" s="62" t="str">
        <x:v>办公费</x:v>
      </x:c>
      <x:c r="I2" s="62" t="str">
        <x:v>日常办公</x:v>
      </x:c>
      <x:c r="J2" s="62" t="str">
        <x:v>按人均</x:v>
      </x:c>
      <x:c r="K2" s="76" t="n">
        <x:v>0.06</x:v>
      </x:c>
      <x:c r="L2" s="81" t="n">
        <x:v>2.5</x:v>
      </x:c>
      <x:c r="M2" s="86" t="n">
        <x:f>L2</x:f>
        <x:v>2.5</x:v>
      </x:c>
      <x:c r="N2" s="81" t="n">
        <x:v>2.36</x:v>
      </x:c>
      <x:c r="O2" s="86" t="n">
        <x:f>ROUND(M2/(1+K2),2)</x:f>
        <x:v>2.36</x:v>
      </x:c>
      <x:c r="P2" s="88" t="n">
        <x:v>0</x:v>
      </x:c>
      <x:c r="Q2" s="71" t="str">
        <x:v>源记录保留</x:v>
      </x:c>
      <x:c r="R2" s="62" t="str">
        <x:v>CNY</x:v>
      </x:c>
      <x:c r="S2" s="62" t="str">
        <x:v>万元</x:v>
      </x:c>
      <x:c r="T2" s="62" t="str">
        <x:v>费用不含税</x:v>
      </x:c>
      <x:c r="U2" s="62" t="str">
        <x:v>2025年预算申报明细汇总.xlsx</x:v>
      </x:c>
      <x:c r="V2" s="62" t="str">
        <x:v>部门公共费用明细</x:v>
      </x:c>
      <x:c r="W2" s="62" t="n">
        <x:v>2</x:v>
      </x:c>
      <x:c r="X2" s="62" t="str">
        <x:v>2025|安全运行部|办公费</x:v>
      </x:c>
      <x:c r="Y2" s="62" t="str">
        <x:f>"BASE"</x:f>
        <x:v>BASE</x:v>
      </x:c>
      <x:c r="Z2" s="62" t="str">
        <x:f>IF(ABS(O2-ROUND(M2/(1+K2),2))&lt;0.000001,"OK","FAIL")</x:f>
        <x:v>OK</x:v>
      </x:c>
    </x:row>
    <x:row r="3">
      <x:c r="A3" s="62" t="n">
        <x:v>2025</x:v>
      </x:c>
      <x:c r="B3" s="62" t="str">
        <x:v>FY2025-INITIAL-SUBMISSION-v1</x:v>
      </x:c>
      <x:c r="C3" s="62" t="str">
        <x:v>PROPOSAL</x:v>
      </x:c>
      <x:c r="D3" s="62" t="str">
        <x:v>INITIAL_SUBMITTED</x:v>
      </x:c>
      <x:c r="E3" s="74" t="n">
        <x:v>45596</x:v>
      </x:c>
      <x:c r="F3" s="62" t="str">
        <x:v>SOURCE</x:v>
      </x:c>
      <x:c r="G3" s="62" t="str">
        <x:v>安全运行部</x:v>
      </x:c>
      <x:c r="H3" s="62" t="str">
        <x:v>培训费</x:v>
      </x:c>
      <x:c r="I3" s="62" t="str">
        <x:v>技能培训</x:v>
      </x:c>
      <x:c r="J3" s="62" t="str">
        <x:v>按计划</x:v>
      </x:c>
      <x:c r="K3" s="76" t="n">
        <x:v>0.06</x:v>
      </x:c>
      <x:c r="L3" s="81" t="n">
        <x:v>1.5</x:v>
      </x:c>
      <x:c r="M3" s="86" t="n">
        <x:f>L3</x:f>
        <x:v>1.5</x:v>
      </x:c>
      <x:c r="N3" s="81" t="n">
        <x:v>1.42</x:v>
      </x:c>
      <x:c r="O3" s="86" t="n">
        <x:f>ROUND(M3/(1+K3),2)</x:f>
        <x:v>1.42</x:v>
      </x:c>
      <x:c r="P3" s="88" t="n">
        <x:v>0</x:v>
      </x:c>
      <x:c r="Q3" s="71" t="str">
        <x:v>源记录保留</x:v>
      </x:c>
      <x:c r="R3" s="62" t="str">
        <x:v>CNY</x:v>
      </x:c>
      <x:c r="S3" s="62" t="str">
        <x:v>万元</x:v>
      </x:c>
      <x:c r="T3" s="62" t="str">
        <x:v>费用不含税</x:v>
      </x:c>
      <x:c r="U3" s="62" t="str">
        <x:v>2025年预算申报明细汇总.xlsx</x:v>
      </x:c>
      <x:c r="V3" s="62" t="str">
        <x:v>部门公共费用明细</x:v>
      </x:c>
      <x:c r="W3" s="62" t="n">
        <x:v>3</x:v>
      </x:c>
      <x:c r="X3" s="62" t="str">
        <x:v>2025|安全运行部|培训费</x:v>
      </x:c>
      <x:c r="Y3" s="62" t="str">
        <x:f>"BASE"</x:f>
        <x:v>BASE</x:v>
      </x:c>
      <x:c r="Z3" s="62" t="str">
        <x:f>IF(ABS(O3-ROUND(M3/(1+K3),2))&lt;0.000001,"OK","FAIL")</x:f>
        <x:v>OK</x:v>
      </x:c>
    </x:row>
    <x:row r="4">
      <x:c r="A4" s="62" t="n">
        <x:v>2025</x:v>
      </x:c>
      <x:c r="B4" s="62" t="str">
        <x:v>FY2025-INITIAL-SUBMISSION-v1</x:v>
      </x:c>
      <x:c r="C4" s="62" t="str">
        <x:v>PROPOSAL</x:v>
      </x:c>
      <x:c r="D4" s="62" t="str">
        <x:v>INITIAL_SUBMITTED</x:v>
      </x:c>
      <x:c r="E4" s="74" t="n">
        <x:v>45596</x:v>
      </x:c>
      <x:c r="F4" s="62" t="str">
        <x:v>SOURCE</x:v>
      </x:c>
      <x:c r="G4" s="62" t="str">
        <x:v>安全运行部</x:v>
      </x:c>
      <x:c r="H4" s="62" t="str">
        <x:v>水费</x:v>
      </x:c>
      <x:c r="I4" s="62" t="str">
        <x:v>办公用水</x:v>
      </x:c>
      <x:c r="J4" s="62" t="str">
        <x:v>按上年</x:v>
      </x:c>
      <x:c r="K4" s="76" t="n">
        <x:v>0.06</x:v>
      </x:c>
      <x:c r="L4" s="81" t="n">
        <x:v>0.5</x:v>
      </x:c>
      <x:c r="M4" s="86" t="n">
        <x:f>L4</x:f>
        <x:v>0.5</x:v>
      </x:c>
      <x:c r="N4" s="81" t="n">
        <x:v>0.47</x:v>
      </x:c>
      <x:c r="O4" s="86" t="n">
        <x:f>ROUND(M4/(1+K4),2)</x:f>
        <x:v>0.47</x:v>
      </x:c>
      <x:c r="P4" s="88" t="n">
        <x:v>0</x:v>
      </x:c>
      <x:c r="Q4" s="71" t="str">
        <x:v>源记录保留</x:v>
      </x:c>
      <x:c r="R4" s="62" t="str">
        <x:v>CNY</x:v>
      </x:c>
      <x:c r="S4" s="62" t="str">
        <x:v>万元</x:v>
      </x:c>
      <x:c r="T4" s="62" t="str">
        <x:v>费用不含税</x:v>
      </x:c>
      <x:c r="U4" s="62" t="str">
        <x:v>2025年预算申报明细汇总.xlsx</x:v>
      </x:c>
      <x:c r="V4" s="62" t="str">
        <x:v>部门公共费用明细</x:v>
      </x:c>
      <x:c r="W4" s="62" t="n">
        <x:v>4</x:v>
      </x:c>
      <x:c r="X4" s="62" t="str">
        <x:v>2025|安全运行部|水费</x:v>
      </x:c>
      <x:c r="Y4" s="62" t="str">
        <x:f>"BASE"</x:f>
        <x:v>BASE</x:v>
      </x:c>
      <x:c r="Z4" s="62" t="str">
        <x:f>IF(ABS(O4-ROUND(M4/(1+K4),2))&lt;0.000001,"OK","FAIL")</x:f>
        <x:v>OK</x:v>
      </x:c>
    </x:row>
    <x:row r="5">
      <x:c r="A5" s="62" t="n">
        <x:v>2025</x:v>
      </x:c>
      <x:c r="B5" s="62" t="str">
        <x:v>FY2025-INITIAL-SUBMISSION-v1</x:v>
      </x:c>
      <x:c r="C5" s="62" t="str">
        <x:v>PROPOSAL</x:v>
      </x:c>
      <x:c r="D5" s="62" t="str">
        <x:v>INITIAL_SUBMITTED</x:v>
      </x:c>
      <x:c r="E5" s="74" t="n">
        <x:v>45596</x:v>
      </x:c>
      <x:c r="F5" s="62" t="str">
        <x:v>SOURCE</x:v>
      </x:c>
      <x:c r="G5" s="62" t="str">
        <x:v>安全运行部</x:v>
      </x:c>
      <x:c r="H5" s="62" t="str">
        <x:v>电费</x:v>
      </x:c>
      <x:c r="I5" s="62" t="str">
        <x:v>办公用电</x:v>
      </x:c>
      <x:c r="J5" s="62" t="str">
        <x:v>按上年</x:v>
      </x:c>
      <x:c r="K5" s="76" t="n">
        <x:v>0.06</x:v>
      </x:c>
      <x:c r="L5" s="81" t="n">
        <x:v>0.8</x:v>
      </x:c>
      <x:c r="M5" s="86" t="n">
        <x:f>L5</x:f>
        <x:v>0.8</x:v>
      </x:c>
      <x:c r="N5" s="81" t="n">
        <x:v>0.75</x:v>
      </x:c>
      <x:c r="O5" s="86" t="n">
        <x:f>ROUND(M5/(1+K5),2)</x:f>
        <x:v>0.75</x:v>
      </x:c>
      <x:c r="P5" s="88" t="n">
        <x:v>0</x:v>
      </x:c>
      <x:c r="Q5" s="71" t="str">
        <x:v>源记录保留</x:v>
      </x:c>
      <x:c r="R5" s="62" t="str">
        <x:v>CNY</x:v>
      </x:c>
      <x:c r="S5" s="62" t="str">
        <x:v>万元</x:v>
      </x:c>
      <x:c r="T5" s="62" t="str">
        <x:v>费用不含税</x:v>
      </x:c>
      <x:c r="U5" s="62" t="str">
        <x:v>2025年预算申报明细汇总.xlsx</x:v>
      </x:c>
      <x:c r="V5" s="62" t="str">
        <x:v>部门公共费用明细</x:v>
      </x:c>
      <x:c r="W5" s="62" t="n">
        <x:v>5</x:v>
      </x:c>
      <x:c r="X5" s="62" t="str">
        <x:v>2025|安全运行部|电费</x:v>
      </x:c>
      <x:c r="Y5" s="62" t="str">
        <x:f>"BASE"</x:f>
        <x:v>BASE</x:v>
      </x:c>
      <x:c r="Z5" s="62" t="str">
        <x:f>IF(ABS(O5-ROUND(M5/(1+K5),2))&lt;0.000001,"OK","FAIL")</x:f>
        <x:v>OK</x:v>
      </x:c>
    </x:row>
    <x:row r="6">
      <x:c r="A6" s="62" t="n">
        <x:v>2025</x:v>
      </x:c>
      <x:c r="B6" s="62" t="str">
        <x:v>FY2025-INITIAL-SUBMISSION-v1</x:v>
      </x:c>
      <x:c r="C6" s="62" t="str">
        <x:v>PROPOSAL</x:v>
      </x:c>
      <x:c r="D6" s="62" t="str">
        <x:v>INITIAL_SUBMITTED</x:v>
      </x:c>
      <x:c r="E6" s="74" t="n">
        <x:v>45596</x:v>
      </x:c>
      <x:c r="F6" s="62" t="str">
        <x:v>SOURCE</x:v>
      </x:c>
      <x:c r="G6" s="62" t="str">
        <x:v>技术部</x:v>
      </x:c>
      <x:c r="H6" s="62" t="str">
        <x:v>办公费</x:v>
      </x:c>
      <x:c r="I6" s="62" t="str">
        <x:v>日常办公</x:v>
      </x:c>
      <x:c r="J6" s="62" t="str">
        <x:v>按人均</x:v>
      </x:c>
      <x:c r="K6" s="76" t="n">
        <x:v>0.06</x:v>
      </x:c>
      <x:c r="L6" s="81" t="n">
        <x:v>2.5</x:v>
      </x:c>
      <x:c r="M6" s="86" t="n">
        <x:f>L6</x:f>
        <x:v>2.5</x:v>
      </x:c>
      <x:c r="N6" s="81" t="n">
        <x:v>2.36</x:v>
      </x:c>
      <x:c r="O6" s="86" t="n">
        <x:f>ROUND(M6/(1+K6),2)</x:f>
        <x:v>2.36</x:v>
      </x:c>
      <x:c r="P6" s="88" t="n">
        <x:v>0</x:v>
      </x:c>
      <x:c r="Q6" s="71" t="str">
        <x:v>源记录保留</x:v>
      </x:c>
      <x:c r="R6" s="62" t="str">
        <x:v>CNY</x:v>
      </x:c>
      <x:c r="S6" s="62" t="str">
        <x:v>万元</x:v>
      </x:c>
      <x:c r="T6" s="62" t="str">
        <x:v>费用不含税</x:v>
      </x:c>
      <x:c r="U6" s="62" t="str">
        <x:v>2025年预算申报明细汇总.xlsx</x:v>
      </x:c>
      <x:c r="V6" s="62" t="str">
        <x:v>部门公共费用明细</x:v>
      </x:c>
      <x:c r="W6" s="62" t="n">
        <x:v>6</x:v>
      </x:c>
      <x:c r="X6" s="62" t="str">
        <x:v>2025|技术部|办公费</x:v>
      </x:c>
      <x:c r="Y6" s="62" t="str">
        <x:f>"BASE"</x:f>
        <x:v>BASE</x:v>
      </x:c>
      <x:c r="Z6" s="62" t="str">
        <x:f>IF(ABS(O6-ROUND(M6/(1+K6),2))&lt;0.000001,"OK","FAIL")</x:f>
        <x:v>OK</x:v>
      </x:c>
    </x:row>
    <x:row r="7">
      <x:c r="A7" s="62" t="n">
        <x:v>2025</x:v>
      </x:c>
      <x:c r="B7" s="62" t="str">
        <x:v>FY2025-INITIAL-SUBMISSION-v1</x:v>
      </x:c>
      <x:c r="C7" s="62" t="str">
        <x:v>PROPOSAL</x:v>
      </x:c>
      <x:c r="D7" s="62" t="str">
        <x:v>INITIAL_SUBMITTED</x:v>
      </x:c>
      <x:c r="E7" s="74" t="n">
        <x:v>45596</x:v>
      </x:c>
      <x:c r="F7" s="62" t="str">
        <x:v>SOURCE</x:v>
      </x:c>
      <x:c r="G7" s="62" t="str">
        <x:v>技术部</x:v>
      </x:c>
      <x:c r="H7" s="62" t="str">
        <x:v>培训费</x:v>
      </x:c>
      <x:c r="I7" s="62" t="str">
        <x:v>技能培训</x:v>
      </x:c>
      <x:c r="J7" s="62" t="str">
        <x:v>按计划</x:v>
      </x:c>
      <x:c r="K7" s="76" t="n">
        <x:v>0.06</x:v>
      </x:c>
      <x:c r="L7" s="81" t="n">
        <x:v>1.5</x:v>
      </x:c>
      <x:c r="M7" s="86" t="n">
        <x:f>L7</x:f>
        <x:v>1.5</x:v>
      </x:c>
      <x:c r="N7" s="81" t="n">
        <x:v>1.42</x:v>
      </x:c>
      <x:c r="O7" s="86" t="n">
        <x:f>ROUND(M7/(1+K7),2)</x:f>
        <x:v>1.42</x:v>
      </x:c>
      <x:c r="P7" s="88" t="n">
        <x:v>0</x:v>
      </x:c>
      <x:c r="Q7" s="71" t="str">
        <x:v>源记录保留</x:v>
      </x:c>
      <x:c r="R7" s="62" t="str">
        <x:v>CNY</x:v>
      </x:c>
      <x:c r="S7" s="62" t="str">
        <x:v>万元</x:v>
      </x:c>
      <x:c r="T7" s="62" t="str">
        <x:v>费用不含税</x:v>
      </x:c>
      <x:c r="U7" s="62" t="str">
        <x:v>2025年预算申报明细汇总.xlsx</x:v>
      </x:c>
      <x:c r="V7" s="62" t="str">
        <x:v>部门公共费用明细</x:v>
      </x:c>
      <x:c r="W7" s="62" t="n">
        <x:v>7</x:v>
      </x:c>
      <x:c r="X7" s="62" t="str">
        <x:v>2025|技术部|培训费</x:v>
      </x:c>
      <x:c r="Y7" s="62" t="str">
        <x:f>"BASE"</x:f>
        <x:v>BASE</x:v>
      </x:c>
      <x:c r="Z7" s="62" t="str">
        <x:f>IF(ABS(O7-ROUND(M7/(1+K7),2))&lt;0.000001,"OK","FAIL")</x:f>
        <x:v>OK</x:v>
      </x:c>
    </x:row>
    <x:row r="8">
      <x:c r="A8" s="62" t="n">
        <x:v>2025</x:v>
      </x:c>
      <x:c r="B8" s="62" t="str">
        <x:v>FY2025-INITIAL-SUBMISSION-v1</x:v>
      </x:c>
      <x:c r="C8" s="62" t="str">
        <x:v>PROPOSAL</x:v>
      </x:c>
      <x:c r="D8" s="62" t="str">
        <x:v>INITIAL_SUBMITTED</x:v>
      </x:c>
      <x:c r="E8" s="74" t="n">
        <x:v>45596</x:v>
      </x:c>
      <x:c r="F8" s="62" t="str">
        <x:v>SOURCE</x:v>
      </x:c>
      <x:c r="G8" s="62" t="str">
        <x:v>技术部</x:v>
      </x:c>
      <x:c r="H8" s="62" t="str">
        <x:v>水费</x:v>
      </x:c>
      <x:c r="I8" s="62" t="str">
        <x:v>办公用水</x:v>
      </x:c>
      <x:c r="J8" s="62" t="str">
        <x:v>按上年</x:v>
      </x:c>
      <x:c r="K8" s="76" t="n">
        <x:v>0.06</x:v>
      </x:c>
      <x:c r="L8" s="81" t="n">
        <x:v>0.5</x:v>
      </x:c>
      <x:c r="M8" s="86" t="n">
        <x:f>L8</x:f>
        <x:v>0.5</x:v>
      </x:c>
      <x:c r="N8" s="81" t="n">
        <x:v>0.47</x:v>
      </x:c>
      <x:c r="O8" s="86" t="n">
        <x:f>ROUND(M8/(1+K8),2)</x:f>
        <x:v>0.47</x:v>
      </x:c>
      <x:c r="P8" s="88" t="n">
        <x:v>0</x:v>
      </x:c>
      <x:c r="Q8" s="71" t="str">
        <x:v>源记录保留</x:v>
      </x:c>
      <x:c r="R8" s="62" t="str">
        <x:v>CNY</x:v>
      </x:c>
      <x:c r="S8" s="62" t="str">
        <x:v>万元</x:v>
      </x:c>
      <x:c r="T8" s="62" t="str">
        <x:v>费用不含税</x:v>
      </x:c>
      <x:c r="U8" s="62" t="str">
        <x:v>2025年预算申报明细汇总.xlsx</x:v>
      </x:c>
      <x:c r="V8" s="62" t="str">
        <x:v>部门公共费用明细</x:v>
      </x:c>
      <x:c r="W8" s="62" t="n">
        <x:v>8</x:v>
      </x:c>
      <x:c r="X8" s="62" t="str">
        <x:v>2025|技术部|水费</x:v>
      </x:c>
      <x:c r="Y8" s="62" t="str">
        <x:f>"BASE"</x:f>
        <x:v>BASE</x:v>
      </x:c>
      <x:c r="Z8" s="62" t="str">
        <x:f>IF(ABS(O8-ROUND(M8/(1+K8),2))&lt;0.000001,"OK","FAIL")</x:f>
        <x:v>OK</x:v>
      </x:c>
    </x:row>
    <x:row r="9">
      <x:c r="A9" s="62" t="n">
        <x:v>2025</x:v>
      </x:c>
      <x:c r="B9" s="62" t="str">
        <x:v>FY2025-INITIAL-SUBMISSION-v1</x:v>
      </x:c>
      <x:c r="C9" s="62" t="str">
        <x:v>PROPOSAL</x:v>
      </x:c>
      <x:c r="D9" s="62" t="str">
        <x:v>INITIAL_SUBMITTED</x:v>
      </x:c>
      <x:c r="E9" s="74" t="n">
        <x:v>45596</x:v>
      </x:c>
      <x:c r="F9" s="62" t="str">
        <x:v>SOURCE</x:v>
      </x:c>
      <x:c r="G9" s="62" t="str">
        <x:v>技术部</x:v>
      </x:c>
      <x:c r="H9" s="62" t="str">
        <x:v>电费</x:v>
      </x:c>
      <x:c r="I9" s="62" t="str">
        <x:v>办公用电</x:v>
      </x:c>
      <x:c r="J9" s="62" t="str">
        <x:v>按上年</x:v>
      </x:c>
      <x:c r="K9" s="76" t="n">
        <x:v>0.06</x:v>
      </x:c>
      <x:c r="L9" s="81" t="n">
        <x:v>0.8</x:v>
      </x:c>
      <x:c r="M9" s="86" t="n">
        <x:f>L9</x:f>
        <x:v>0.8</x:v>
      </x:c>
      <x:c r="N9" s="81" t="n">
        <x:v>0.75</x:v>
      </x:c>
      <x:c r="O9" s="86" t="n">
        <x:f>ROUND(M9/(1+K9),2)</x:f>
        <x:v>0.75</x:v>
      </x:c>
      <x:c r="P9" s="88" t="n">
        <x:v>0</x:v>
      </x:c>
      <x:c r="Q9" s="71" t="str">
        <x:v>源记录保留</x:v>
      </x:c>
      <x:c r="R9" s="62" t="str">
        <x:v>CNY</x:v>
      </x:c>
      <x:c r="S9" s="62" t="str">
        <x:v>万元</x:v>
      </x:c>
      <x:c r="T9" s="62" t="str">
        <x:v>费用不含税</x:v>
      </x:c>
      <x:c r="U9" s="62" t="str">
        <x:v>2025年预算申报明细汇总.xlsx</x:v>
      </x:c>
      <x:c r="V9" s="62" t="str">
        <x:v>部门公共费用明细</x:v>
      </x:c>
      <x:c r="W9" s="62" t="n">
        <x:v>9</x:v>
      </x:c>
      <x:c r="X9" s="62" t="str">
        <x:v>2025|技术部|电费</x:v>
      </x:c>
      <x:c r="Y9" s="62" t="str">
        <x:f>"BASE"</x:f>
        <x:v>BASE</x:v>
      </x:c>
      <x:c r="Z9" s="62" t="str">
        <x:f>IF(ABS(O9-ROUND(M9/(1+K9),2))&lt;0.000001,"OK","FAIL")</x:f>
        <x:v>OK</x:v>
      </x:c>
    </x:row>
    <x:row r="10">
      <x:c r="A10" s="62" t="n">
        <x:v>2025</x:v>
      </x:c>
      <x:c r="B10" s="62" t="str">
        <x:v>FY2025-INITIAL-SUBMISSION-v1</x:v>
      </x:c>
      <x:c r="C10" s="62" t="str">
        <x:v>PROPOSAL</x:v>
      </x:c>
      <x:c r="D10" s="62" t="str">
        <x:v>INITIAL_SUBMITTED</x:v>
      </x:c>
      <x:c r="E10" s="74" t="n">
        <x:v>45596</x:v>
      </x:c>
      <x:c r="F10" s="62" t="str">
        <x:v>SOURCE</x:v>
      </x:c>
      <x:c r="G10" s="62" t="str">
        <x:v>设备管理部</x:v>
      </x:c>
      <x:c r="H10" s="62" t="str">
        <x:v>办公费</x:v>
      </x:c>
      <x:c r="I10" s="62" t="str">
        <x:v>日常办公</x:v>
      </x:c>
      <x:c r="J10" s="62" t="str">
        <x:v>按人均</x:v>
      </x:c>
      <x:c r="K10" s="76" t="n">
        <x:v>0.06</x:v>
      </x:c>
      <x:c r="L10" s="81" t="n">
        <x:v>2.5</x:v>
      </x:c>
      <x:c r="M10" s="86" t="n">
        <x:f>L10</x:f>
        <x:v>2.5</x:v>
      </x:c>
      <x:c r="N10" s="81" t="n">
        <x:v>2.36</x:v>
      </x:c>
      <x:c r="O10" s="86" t="n">
        <x:f>ROUND(M10/(1+K10),2)</x:f>
        <x:v>2.36</x:v>
      </x:c>
      <x:c r="P10" s="88" t="n">
        <x:v>0</x:v>
      </x:c>
      <x:c r="Q10" s="71" t="str">
        <x:v>源记录保留</x:v>
      </x:c>
      <x:c r="R10" s="62" t="str">
        <x:v>CNY</x:v>
      </x:c>
      <x:c r="S10" s="62" t="str">
        <x:v>万元</x:v>
      </x:c>
      <x:c r="T10" s="62" t="str">
        <x:v>费用不含税</x:v>
      </x:c>
      <x:c r="U10" s="62" t="str">
        <x:v>2025年预算申报明细汇总.xlsx</x:v>
      </x:c>
      <x:c r="V10" s="62" t="str">
        <x:v>部门公共费用明细</x:v>
      </x:c>
      <x:c r="W10" s="62" t="n">
        <x:v>10</x:v>
      </x:c>
      <x:c r="X10" s="62" t="str">
        <x:v>2025|设备管理部|办公费</x:v>
      </x:c>
      <x:c r="Y10" s="62" t="str">
        <x:f>"BASE"</x:f>
        <x:v>BASE</x:v>
      </x:c>
      <x:c r="Z10" s="62" t="str">
        <x:f>IF(ABS(O10-ROUND(M10/(1+K10),2))&lt;0.000001,"OK","FAIL")</x:f>
        <x:v>OK</x:v>
      </x:c>
    </x:row>
    <x:row r="11">
      <x:c r="A11" s="62" t="n">
        <x:v>2025</x:v>
      </x:c>
      <x:c r="B11" s="62" t="str">
        <x:v>FY2025-INITIAL-SUBMISSION-v1</x:v>
      </x:c>
      <x:c r="C11" s="62" t="str">
        <x:v>PROPOSAL</x:v>
      </x:c>
      <x:c r="D11" s="62" t="str">
        <x:v>INITIAL_SUBMITTED</x:v>
      </x:c>
      <x:c r="E11" s="74" t="n">
        <x:v>45596</x:v>
      </x:c>
      <x:c r="F11" s="62" t="str">
        <x:v>SOURCE</x:v>
      </x:c>
      <x:c r="G11" s="62" t="str">
        <x:v>设备管理部</x:v>
      </x:c>
      <x:c r="H11" s="62" t="str">
        <x:v>培训费</x:v>
      </x:c>
      <x:c r="I11" s="62" t="str">
        <x:v>技能培训</x:v>
      </x:c>
      <x:c r="J11" s="62" t="str">
        <x:v>按计划</x:v>
      </x:c>
      <x:c r="K11" s="76" t="n">
        <x:v>0.06</x:v>
      </x:c>
      <x:c r="L11" s="81" t="n">
        <x:v>1.5</x:v>
      </x:c>
      <x:c r="M11" s="86" t="n">
        <x:f>L11</x:f>
        <x:v>1.5</x:v>
      </x:c>
      <x:c r="N11" s="81" t="n">
        <x:v>1.42</x:v>
      </x:c>
      <x:c r="O11" s="86" t="n">
        <x:f>ROUND(M11/(1+K11),2)</x:f>
        <x:v>1.42</x:v>
      </x:c>
      <x:c r="P11" s="88" t="n">
        <x:v>0</x:v>
      </x:c>
      <x:c r="Q11" s="71" t="str">
        <x:v>源记录保留</x:v>
      </x:c>
      <x:c r="R11" s="62" t="str">
        <x:v>CNY</x:v>
      </x:c>
      <x:c r="S11" s="62" t="str">
        <x:v>万元</x:v>
      </x:c>
      <x:c r="T11" s="62" t="str">
        <x:v>费用不含税</x:v>
      </x:c>
      <x:c r="U11" s="62" t="str">
        <x:v>2025年预算申报明细汇总.xlsx</x:v>
      </x:c>
      <x:c r="V11" s="62" t="str">
        <x:v>部门公共费用明细</x:v>
      </x:c>
      <x:c r="W11" s="62" t="n">
        <x:v>11</x:v>
      </x:c>
      <x:c r="X11" s="62" t="str">
        <x:v>2025|设备管理部|培训费</x:v>
      </x:c>
      <x:c r="Y11" s="62" t="str">
        <x:f>"BASE"</x:f>
        <x:v>BASE</x:v>
      </x:c>
      <x:c r="Z11" s="62" t="str">
        <x:f>IF(ABS(O11-ROUND(M11/(1+K11),2))&lt;0.000001,"OK","FAIL")</x:f>
        <x:v>OK</x:v>
      </x:c>
    </x:row>
    <x:row r="12">
      <x:c r="A12" s="62" t="n">
        <x:v>2025</x:v>
      </x:c>
      <x:c r="B12" s="62" t="str">
        <x:v>FY2025-INITIAL-SUBMISSION-v1</x:v>
      </x:c>
      <x:c r="C12" s="62" t="str">
        <x:v>PROPOSAL</x:v>
      </x:c>
      <x:c r="D12" s="62" t="str">
        <x:v>INITIAL_SUBMITTED</x:v>
      </x:c>
      <x:c r="E12" s="74" t="n">
        <x:v>45596</x:v>
      </x:c>
      <x:c r="F12" s="62" t="str">
        <x:v>SOURCE</x:v>
      </x:c>
      <x:c r="G12" s="62" t="str">
        <x:v>设备管理部</x:v>
      </x:c>
      <x:c r="H12" s="62" t="str">
        <x:v>水费</x:v>
      </x:c>
      <x:c r="I12" s="62" t="str">
        <x:v>办公用水</x:v>
      </x:c>
      <x:c r="J12" s="62" t="str">
        <x:v>按上年</x:v>
      </x:c>
      <x:c r="K12" s="76" t="n">
        <x:v>0.06</x:v>
      </x:c>
      <x:c r="L12" s="81" t="n">
        <x:v>0.5</x:v>
      </x:c>
      <x:c r="M12" s="86" t="n">
        <x:f>L12</x:f>
        <x:v>0.5</x:v>
      </x:c>
      <x:c r="N12" s="81" t="n">
        <x:v>0.47</x:v>
      </x:c>
      <x:c r="O12" s="86" t="n">
        <x:f>ROUND(M12/(1+K12),2)</x:f>
        <x:v>0.47</x:v>
      </x:c>
      <x:c r="P12" s="88" t="n">
        <x:v>0</x:v>
      </x:c>
      <x:c r="Q12" s="71" t="str">
        <x:v>源记录保留</x:v>
      </x:c>
      <x:c r="R12" s="62" t="str">
        <x:v>CNY</x:v>
      </x:c>
      <x:c r="S12" s="62" t="str">
        <x:v>万元</x:v>
      </x:c>
      <x:c r="T12" s="62" t="str">
        <x:v>费用不含税</x:v>
      </x:c>
      <x:c r="U12" s="62" t="str">
        <x:v>2025年预算申报明细汇总.xlsx</x:v>
      </x:c>
      <x:c r="V12" s="62" t="str">
        <x:v>部门公共费用明细</x:v>
      </x:c>
      <x:c r="W12" s="62" t="n">
        <x:v>12</x:v>
      </x:c>
      <x:c r="X12" s="62" t="str">
        <x:v>2025|设备管理部|水费</x:v>
      </x:c>
      <x:c r="Y12" s="62" t="str">
        <x:f>"BASE"</x:f>
        <x:v>BASE</x:v>
      </x:c>
      <x:c r="Z12" s="62" t="str">
        <x:f>IF(ABS(O12-ROUND(M12/(1+K12),2))&lt;0.000001,"OK","FAIL")</x:f>
        <x:v>OK</x:v>
      </x:c>
    </x:row>
    <x:row r="13">
      <x:c r="A13" s="62" t="n">
        <x:v>2025</x:v>
      </x:c>
      <x:c r="B13" s="62" t="str">
        <x:v>FY2025-INITIAL-SUBMISSION-v1</x:v>
      </x:c>
      <x:c r="C13" s="62" t="str">
        <x:v>PROPOSAL</x:v>
      </x:c>
      <x:c r="D13" s="62" t="str">
        <x:v>INITIAL_SUBMITTED</x:v>
      </x:c>
      <x:c r="E13" s="74" t="n">
        <x:v>45596</x:v>
      </x:c>
      <x:c r="F13" s="62" t="str">
        <x:v>SOURCE</x:v>
      </x:c>
      <x:c r="G13" s="62" t="str">
        <x:v>设备管理部</x:v>
      </x:c>
      <x:c r="H13" s="62" t="str">
        <x:v>电费</x:v>
      </x:c>
      <x:c r="I13" s="62" t="str">
        <x:v>办公用电</x:v>
      </x:c>
      <x:c r="J13" s="62" t="str">
        <x:v>按上年</x:v>
      </x:c>
      <x:c r="K13" s="76" t="n">
        <x:v>0.06</x:v>
      </x:c>
      <x:c r="L13" s="81" t="n">
        <x:v>0.8</x:v>
      </x:c>
      <x:c r="M13" s="86" t="n">
        <x:f>L13</x:f>
        <x:v>0.8</x:v>
      </x:c>
      <x:c r="N13" s="81" t="n">
        <x:v>0.75</x:v>
      </x:c>
      <x:c r="O13" s="86" t="n">
        <x:f>ROUND(M13/(1+K13),2)</x:f>
        <x:v>0.75</x:v>
      </x:c>
      <x:c r="P13" s="88" t="n">
        <x:v>0</x:v>
      </x:c>
      <x:c r="Q13" s="71" t="str">
        <x:v>源记录保留</x:v>
      </x:c>
      <x:c r="R13" s="62" t="str">
        <x:v>CNY</x:v>
      </x:c>
      <x:c r="S13" s="62" t="str">
        <x:v>万元</x:v>
      </x:c>
      <x:c r="T13" s="62" t="str">
        <x:v>费用不含税</x:v>
      </x:c>
      <x:c r="U13" s="62" t="str">
        <x:v>2025年预算申报明细汇总.xlsx</x:v>
      </x:c>
      <x:c r="V13" s="62" t="str">
        <x:v>部门公共费用明细</x:v>
      </x:c>
      <x:c r="W13" s="62" t="n">
        <x:v>13</x:v>
      </x:c>
      <x:c r="X13" s="62" t="str">
        <x:v>2025|设备管理部|电费</x:v>
      </x:c>
      <x:c r="Y13" s="62" t="str">
        <x:f>"BASE"</x:f>
        <x:v>BASE</x:v>
      </x:c>
      <x:c r="Z13" s="62" t="str">
        <x:f>IF(ABS(O13-ROUND(M13/(1+K13),2))&lt;0.000001,"OK","FAIL")</x:f>
        <x:v>OK</x:v>
      </x:c>
    </x:row>
    <x:row r="14">
      <x:c r="A14" s="62" t="n">
        <x:v>2026</x:v>
      </x:c>
      <x:c r="B14" s="62" t="str">
        <x:v>FY2026-INITIAL-SUBMISSION-v1</x:v>
      </x:c>
      <x:c r="C14" s="62" t="str">
        <x:v>PROPOSAL</x:v>
      </x:c>
      <x:c r="D14" s="62" t="str">
        <x:v>INITIAL_SUBMITTED</x:v>
      </x:c>
      <x:c r="E14" s="74" t="n">
        <x:v>45961</x:v>
      </x:c>
      <x:c r="F14" s="62" t="str">
        <x:v>SYNTHETIC_FOR_DEMO</x:v>
      </x:c>
      <x:c r="G14" s="62" t="str">
        <x:v>安全运行部</x:v>
      </x:c>
      <x:c r="H14" s="62" t="str">
        <x:v>办公费</x:v>
      </x:c>
      <x:c r="I14" s="62" t="str">
        <x:v>日常办公</x:v>
      </x:c>
      <x:c r="J14" s="62" t="str">
        <x:v>按人均</x:v>
      </x:c>
      <x:c r="K14" s="76" t="n">
        <x:v>0.06</x:v>
      </x:c>
      <x:c r="L14" s="81" t="n">
        <x:v>2.5</x:v>
      </x:c>
      <x:c r="M14" s="86" t="n">
        <x:f>ROUND(L14*(1+P14),2)</x:f>
        <x:v>2.6</x:v>
      </x:c>
      <x:c r="N14" s="81" t="n">
        <x:v>2.36</x:v>
      </x:c>
      <x:c r="O14" s="86" t="n">
        <x:f>ROUND(M14/(1+K14),2)</x:f>
        <x:v>2.45</x:v>
      </x:c>
      <x:c r="P14" s="88" t="n">
        <x:v>0.04</x:v>
      </x:c>
      <x:c r="Q14" s="71" t="str">
        <x:v>SYNTHETIC_FOR_DEMO：按部门与费用类型差异化增长</x:v>
      </x:c>
      <x:c r="R14" s="62" t="str">
        <x:v>CNY</x:v>
      </x:c>
      <x:c r="S14" s="62" t="str">
        <x:v>万元</x:v>
      </x:c>
      <x:c r="T14" s="62" t="str">
        <x:v>费用不含税</x:v>
      </x:c>
      <x:c r="U14" s="62" t="str">
        <x:v>2026年预算申报明细汇总.xlsx</x:v>
      </x:c>
      <x:c r="V14" s="62" t="str">
        <x:v>部门公共费用明细</x:v>
      </x:c>
      <x:c r="W14" s="62" t="n">
        <x:v>2</x:v>
      </x:c>
      <x:c r="X14" s="62" t="str">
        <x:v>2026|安全运行部|办公费</x:v>
      </x:c>
      <x:c r="Y14" s="62" t="str">
        <x:f>IF(M14=SUMIFS($M$2:$M$25,$A$2:$A$25,2025,$G$2:$G$25,G14,$H$2:$H$25,H14),"FAIL","OK")</x:f>
        <x:v>OK</x:v>
      </x:c>
      <x:c r="Z14" s="62" t="str">
        <x:f>IF(ABS(O14-ROUND(M14/(1+K14),2))&lt;0.000001,"OK","FAIL")</x:f>
        <x:v>OK</x:v>
      </x:c>
    </x:row>
    <x:row r="15">
      <x:c r="A15" s="62" t="n">
        <x:v>2026</x:v>
      </x:c>
      <x:c r="B15" s="62" t="str">
        <x:v>FY2026-INITIAL-SUBMISSION-v1</x:v>
      </x:c>
      <x:c r="C15" s="62" t="str">
        <x:v>PROPOSAL</x:v>
      </x:c>
      <x:c r="D15" s="62" t="str">
        <x:v>INITIAL_SUBMITTED</x:v>
      </x:c>
      <x:c r="E15" s="74" t="n">
        <x:v>45961</x:v>
      </x:c>
      <x:c r="F15" s="62" t="str">
        <x:v>SYNTHETIC_FOR_DEMO</x:v>
      </x:c>
      <x:c r="G15" s="62" t="str">
        <x:v>安全运行部</x:v>
      </x:c>
      <x:c r="H15" s="62" t="str">
        <x:v>培训费</x:v>
      </x:c>
      <x:c r="I15" s="62" t="str">
        <x:v>技能培训</x:v>
      </x:c>
      <x:c r="J15" s="62" t="str">
        <x:v>按计划</x:v>
      </x:c>
      <x:c r="K15" s="76" t="n">
        <x:v>0.06</x:v>
      </x:c>
      <x:c r="L15" s="81" t="n">
        <x:v>1.5</x:v>
      </x:c>
      <x:c r="M15" s="86" t="n">
        <x:f>ROUND(L15*(1+P15),2)</x:f>
        <x:v>1.68</x:v>
      </x:c>
      <x:c r="N15" s="81" t="n">
        <x:v>1.42</x:v>
      </x:c>
      <x:c r="O15" s="86" t="n">
        <x:f>ROUND(M15/(1+K15),2)</x:f>
        <x:v>1.58</x:v>
      </x:c>
      <x:c r="P15" s="88" t="n">
        <x:v>0.12</x:v>
      </x:c>
      <x:c r="Q15" s="71" t="str">
        <x:v>SYNTHETIC_FOR_DEMO：按部门与费用类型差异化增长</x:v>
      </x:c>
      <x:c r="R15" s="62" t="str">
        <x:v>CNY</x:v>
      </x:c>
      <x:c r="S15" s="62" t="str">
        <x:v>万元</x:v>
      </x:c>
      <x:c r="T15" s="62" t="str">
        <x:v>费用不含税</x:v>
      </x:c>
      <x:c r="U15" s="62" t="str">
        <x:v>2026年预算申报明细汇总.xlsx</x:v>
      </x:c>
      <x:c r="V15" s="62" t="str">
        <x:v>部门公共费用明细</x:v>
      </x:c>
      <x:c r="W15" s="62" t="n">
        <x:v>3</x:v>
      </x:c>
      <x:c r="X15" s="62" t="str">
        <x:v>2026|安全运行部|培训费</x:v>
      </x:c>
      <x:c r="Y15" s="62" t="str">
        <x:f>IF(M15=SUMIFS($M$2:$M$25,$A$2:$A$25,2025,$G$2:$G$25,G15,$H$2:$H$25,H15),"FAIL","OK")</x:f>
        <x:v>OK</x:v>
      </x:c>
      <x:c r="Z15" s="62" t="str">
        <x:f>IF(ABS(O15-ROUND(M15/(1+K15),2))&lt;0.000001,"OK","FAIL")</x:f>
        <x:v>OK</x:v>
      </x:c>
    </x:row>
    <x:row r="16">
      <x:c r="A16" s="62" t="n">
        <x:v>2026</x:v>
      </x:c>
      <x:c r="B16" s="62" t="str">
        <x:v>FY2026-INITIAL-SUBMISSION-v1</x:v>
      </x:c>
      <x:c r="C16" s="62" t="str">
        <x:v>PROPOSAL</x:v>
      </x:c>
      <x:c r="D16" s="62" t="str">
        <x:v>INITIAL_SUBMITTED</x:v>
      </x:c>
      <x:c r="E16" s="74" t="n">
        <x:v>45961</x:v>
      </x:c>
      <x:c r="F16" s="62" t="str">
        <x:v>SYNTHETIC_FOR_DEMO</x:v>
      </x:c>
      <x:c r="G16" s="62" t="str">
        <x:v>安全运行部</x:v>
      </x:c>
      <x:c r="H16" s="62" t="str">
        <x:v>水费</x:v>
      </x:c>
      <x:c r="I16" s="62" t="str">
        <x:v>办公用水</x:v>
      </x:c>
      <x:c r="J16" s="62" t="str">
        <x:v>按上年</x:v>
      </x:c>
      <x:c r="K16" s="76" t="n">
        <x:v>0.06</x:v>
      </x:c>
      <x:c r="L16" s="81" t="n">
        <x:v>0.5</x:v>
      </x:c>
      <x:c r="M16" s="86" t="n">
        <x:f>ROUND(L16*(1+P16),2)</x:f>
        <x:v>0.52</x:v>
      </x:c>
      <x:c r="N16" s="81" t="n">
        <x:v>0.47</x:v>
      </x:c>
      <x:c r="O16" s="86" t="n">
        <x:f>ROUND(M16/(1+K16),2)</x:f>
        <x:v>0.49</x:v>
      </x:c>
      <x:c r="P16" s="88" t="n">
        <x:v>0.04</x:v>
      </x:c>
      <x:c r="Q16" s="71" t="str">
        <x:v>SYNTHETIC_FOR_DEMO：按部门与费用类型差异化增长</x:v>
      </x:c>
      <x:c r="R16" s="62" t="str">
        <x:v>CNY</x:v>
      </x:c>
      <x:c r="S16" s="62" t="str">
        <x:v>万元</x:v>
      </x:c>
      <x:c r="T16" s="62" t="str">
        <x:v>费用不含税</x:v>
      </x:c>
      <x:c r="U16" s="62" t="str">
        <x:v>2026年预算申报明细汇总.xlsx</x:v>
      </x:c>
      <x:c r="V16" s="62" t="str">
        <x:v>部门公共费用明细</x:v>
      </x:c>
      <x:c r="W16" s="62" t="n">
        <x:v>4</x:v>
      </x:c>
      <x:c r="X16" s="62" t="str">
        <x:v>2026|安全运行部|水费</x:v>
      </x:c>
      <x:c r="Y16" s="62" t="str">
        <x:f>IF(M16=SUMIFS($M$2:$M$25,$A$2:$A$25,2025,$G$2:$G$25,G16,$H$2:$H$25,H16),"FAIL","OK")</x:f>
        <x:v>OK</x:v>
      </x:c>
      <x:c r="Z16" s="62" t="str">
        <x:f>IF(ABS(O16-ROUND(M16/(1+K16),2))&lt;0.000001,"OK","FAIL")</x:f>
        <x:v>OK</x:v>
      </x:c>
    </x:row>
    <x:row r="17">
      <x:c r="A17" s="62" t="n">
        <x:v>2026</x:v>
      </x:c>
      <x:c r="B17" s="62" t="str">
        <x:v>FY2026-INITIAL-SUBMISSION-v1</x:v>
      </x:c>
      <x:c r="C17" s="62" t="str">
        <x:v>PROPOSAL</x:v>
      </x:c>
      <x:c r="D17" s="62" t="str">
        <x:v>INITIAL_SUBMITTED</x:v>
      </x:c>
      <x:c r="E17" s="74" t="n">
        <x:v>45961</x:v>
      </x:c>
      <x:c r="F17" s="62" t="str">
        <x:v>SYNTHETIC_FOR_DEMO</x:v>
      </x:c>
      <x:c r="G17" s="62" t="str">
        <x:v>安全运行部</x:v>
      </x:c>
      <x:c r="H17" s="62" t="str">
        <x:v>电费</x:v>
      </x:c>
      <x:c r="I17" s="62" t="str">
        <x:v>办公用电</x:v>
      </x:c>
      <x:c r="J17" s="62" t="str">
        <x:v>按上年</x:v>
      </x:c>
      <x:c r="K17" s="76" t="n">
        <x:v>0.06</x:v>
      </x:c>
      <x:c r="L17" s="81" t="n">
        <x:v>0.8</x:v>
      </x:c>
      <x:c r="M17" s="86" t="n">
        <x:f>ROUND(L17*(1+P17),2)</x:f>
        <x:v>0.84</x:v>
      </x:c>
      <x:c r="N17" s="81" t="n">
        <x:v>0.75</x:v>
      </x:c>
      <x:c r="O17" s="86" t="n">
        <x:f>ROUND(M17/(1+K17),2)</x:f>
        <x:v>0.79</x:v>
      </x:c>
      <x:c r="P17" s="88" t="n">
        <x:v>0.05</x:v>
      </x:c>
      <x:c r="Q17" s="71" t="str">
        <x:v>SYNTHETIC_FOR_DEMO：按部门与费用类型差异化增长</x:v>
      </x:c>
      <x:c r="R17" s="62" t="str">
        <x:v>CNY</x:v>
      </x:c>
      <x:c r="S17" s="62" t="str">
        <x:v>万元</x:v>
      </x:c>
      <x:c r="T17" s="62" t="str">
        <x:v>费用不含税</x:v>
      </x:c>
      <x:c r="U17" s="62" t="str">
        <x:v>2026年预算申报明细汇总.xlsx</x:v>
      </x:c>
      <x:c r="V17" s="62" t="str">
        <x:v>部门公共费用明细</x:v>
      </x:c>
      <x:c r="W17" s="62" t="n">
        <x:v>5</x:v>
      </x:c>
      <x:c r="X17" s="62" t="str">
        <x:v>2026|安全运行部|电费</x:v>
      </x:c>
      <x:c r="Y17" s="62" t="str">
        <x:f>IF(M17=SUMIFS($M$2:$M$25,$A$2:$A$25,2025,$G$2:$G$25,G17,$H$2:$H$25,H17),"FAIL","OK")</x:f>
        <x:v>OK</x:v>
      </x:c>
      <x:c r="Z17" s="62" t="str">
        <x:f>IF(ABS(O17-ROUND(M17/(1+K17),2))&lt;0.000001,"OK","FAIL")</x:f>
        <x:v>OK</x:v>
      </x:c>
    </x:row>
    <x:row r="18">
      <x:c r="A18" s="62" t="n">
        <x:v>2026</x:v>
      </x:c>
      <x:c r="B18" s="62" t="str">
        <x:v>FY2026-INITIAL-SUBMISSION-v1</x:v>
      </x:c>
      <x:c r="C18" s="62" t="str">
        <x:v>PROPOSAL</x:v>
      </x:c>
      <x:c r="D18" s="62" t="str">
        <x:v>INITIAL_SUBMITTED</x:v>
      </x:c>
      <x:c r="E18" s="74" t="n">
        <x:v>45961</x:v>
      </x:c>
      <x:c r="F18" s="62" t="str">
        <x:v>SYNTHETIC_FOR_DEMO</x:v>
      </x:c>
      <x:c r="G18" s="62" t="str">
        <x:v>技术部</x:v>
      </x:c>
      <x:c r="H18" s="62" t="str">
        <x:v>办公费</x:v>
      </x:c>
      <x:c r="I18" s="62" t="str">
        <x:v>日常办公</x:v>
      </x:c>
      <x:c r="J18" s="62" t="str">
        <x:v>按人均</x:v>
      </x:c>
      <x:c r="K18" s="76" t="n">
        <x:v>0.06</x:v>
      </x:c>
      <x:c r="L18" s="81" t="n">
        <x:v>2.5</x:v>
      </x:c>
      <x:c r="M18" s="86" t="n">
        <x:f>ROUND(L18*(1+P18),2)</x:f>
        <x:v>2.65</x:v>
      </x:c>
      <x:c r="N18" s="81" t="n">
        <x:v>2.36</x:v>
      </x:c>
      <x:c r="O18" s="86" t="n">
        <x:f>ROUND(M18/(1+K18),2)</x:f>
        <x:v>2.5</x:v>
      </x:c>
      <x:c r="P18" s="88" t="n">
        <x:v>0.06</x:v>
      </x:c>
      <x:c r="Q18" s="71" t="str">
        <x:v>SYNTHETIC_FOR_DEMO：按部门与费用类型差异化增长</x:v>
      </x:c>
      <x:c r="R18" s="62" t="str">
        <x:v>CNY</x:v>
      </x:c>
      <x:c r="S18" s="62" t="str">
        <x:v>万元</x:v>
      </x:c>
      <x:c r="T18" s="62" t="str">
        <x:v>费用不含税</x:v>
      </x:c>
      <x:c r="U18" s="62" t="str">
        <x:v>2026年预算申报明细汇总.xlsx</x:v>
      </x:c>
      <x:c r="V18" s="62" t="str">
        <x:v>部门公共费用明细</x:v>
      </x:c>
      <x:c r="W18" s="62" t="n">
        <x:v>6</x:v>
      </x:c>
      <x:c r="X18" s="62" t="str">
        <x:v>2026|技术部|办公费</x:v>
      </x:c>
      <x:c r="Y18" s="62" t="str">
        <x:f>IF(M18=SUMIFS($M$2:$M$25,$A$2:$A$25,2025,$G$2:$G$25,G18,$H$2:$H$25,H18),"FAIL","OK")</x:f>
        <x:v>OK</x:v>
      </x:c>
      <x:c r="Z18" s="62" t="str">
        <x:f>IF(ABS(O18-ROUND(M18/(1+K18),2))&lt;0.000001,"OK","FAIL")</x:f>
        <x:v>OK</x:v>
      </x:c>
    </x:row>
    <x:row r="19">
      <x:c r="A19" s="62" t="n">
        <x:v>2026</x:v>
      </x:c>
      <x:c r="B19" s="62" t="str">
        <x:v>FY2026-INITIAL-SUBMISSION-v1</x:v>
      </x:c>
      <x:c r="C19" s="62" t="str">
        <x:v>PROPOSAL</x:v>
      </x:c>
      <x:c r="D19" s="62" t="str">
        <x:v>INITIAL_SUBMITTED</x:v>
      </x:c>
      <x:c r="E19" s="74" t="n">
        <x:v>45961</x:v>
      </x:c>
      <x:c r="F19" s="62" t="str">
        <x:v>SYNTHETIC_FOR_DEMO</x:v>
      </x:c>
      <x:c r="G19" s="62" t="str">
        <x:v>技术部</x:v>
      </x:c>
      <x:c r="H19" s="62" t="str">
        <x:v>培训费</x:v>
      </x:c>
      <x:c r="I19" s="62" t="str">
        <x:v>技能培训</x:v>
      </x:c>
      <x:c r="J19" s="62" t="str">
        <x:v>按计划</x:v>
      </x:c>
      <x:c r="K19" s="76" t="n">
        <x:v>0.06</x:v>
      </x:c>
      <x:c r="L19" s="81" t="n">
        <x:v>1.5</x:v>
      </x:c>
      <x:c r="M19" s="86" t="n">
        <x:f>ROUND(L19*(1+P19),2)</x:f>
        <x:v>1.73</x:v>
      </x:c>
      <x:c r="N19" s="81" t="n">
        <x:v>1.42</x:v>
      </x:c>
      <x:c r="O19" s="86" t="n">
        <x:f>ROUND(M19/(1+K19),2)</x:f>
        <x:v>1.63</x:v>
      </x:c>
      <x:c r="P19" s="88" t="n">
        <x:v>0.15</x:v>
      </x:c>
      <x:c r="Q19" s="71" t="str">
        <x:v>SYNTHETIC_FOR_DEMO：按部门与费用类型差异化增长</x:v>
      </x:c>
      <x:c r="R19" s="62" t="str">
        <x:v>CNY</x:v>
      </x:c>
      <x:c r="S19" s="62" t="str">
        <x:v>万元</x:v>
      </x:c>
      <x:c r="T19" s="62" t="str">
        <x:v>费用不含税</x:v>
      </x:c>
      <x:c r="U19" s="62" t="str">
        <x:v>2026年预算申报明细汇总.xlsx</x:v>
      </x:c>
      <x:c r="V19" s="62" t="str">
        <x:v>部门公共费用明细</x:v>
      </x:c>
      <x:c r="W19" s="62" t="n">
        <x:v>7</x:v>
      </x:c>
      <x:c r="X19" s="62" t="str">
        <x:v>2026|技术部|培训费</x:v>
      </x:c>
      <x:c r="Y19" s="62" t="str">
        <x:f>IF(M19=SUMIFS($M$2:$M$25,$A$2:$A$25,2025,$G$2:$G$25,G19,$H$2:$H$25,H19),"FAIL","OK")</x:f>
        <x:v>OK</x:v>
      </x:c>
      <x:c r="Z19" s="62" t="str">
        <x:f>IF(ABS(O19-ROUND(M19/(1+K19),2))&lt;0.000001,"OK","FAIL")</x:f>
        <x:v>OK</x:v>
      </x:c>
    </x:row>
    <x:row r="20">
      <x:c r="A20" s="62" t="n">
        <x:v>2026</x:v>
      </x:c>
      <x:c r="B20" s="62" t="str">
        <x:v>FY2026-INITIAL-SUBMISSION-v1</x:v>
      </x:c>
      <x:c r="C20" s="62" t="str">
        <x:v>PROPOSAL</x:v>
      </x:c>
      <x:c r="D20" s="62" t="str">
        <x:v>INITIAL_SUBMITTED</x:v>
      </x:c>
      <x:c r="E20" s="74" t="n">
        <x:v>45961</x:v>
      </x:c>
      <x:c r="F20" s="62" t="str">
        <x:v>SYNTHETIC_FOR_DEMO</x:v>
      </x:c>
      <x:c r="G20" s="62" t="str">
        <x:v>技术部</x:v>
      </x:c>
      <x:c r="H20" s="62" t="str">
        <x:v>水费</x:v>
      </x:c>
      <x:c r="I20" s="62" t="str">
        <x:v>办公用水</x:v>
      </x:c>
      <x:c r="J20" s="62" t="str">
        <x:v>按上年</x:v>
      </x:c>
      <x:c r="K20" s="76" t="n">
        <x:v>0.06</x:v>
      </x:c>
      <x:c r="L20" s="81" t="n">
        <x:v>0.5</x:v>
      </x:c>
      <x:c r="M20" s="86" t="n">
        <x:f>ROUND(L20*(1+P20),2)</x:f>
        <x:v>0.53</x:v>
      </x:c>
      <x:c r="N20" s="81" t="n">
        <x:v>0.47</x:v>
      </x:c>
      <x:c r="O20" s="86" t="n">
        <x:f>ROUND(M20/(1+K20),2)</x:f>
        <x:v>0.5</x:v>
      </x:c>
      <x:c r="P20" s="88" t="n">
        <x:v>0.06</x:v>
      </x:c>
      <x:c r="Q20" s="71" t="str">
        <x:v>SYNTHETIC_FOR_DEMO：按部门与费用类型差异化增长</x:v>
      </x:c>
      <x:c r="R20" s="62" t="str">
        <x:v>CNY</x:v>
      </x:c>
      <x:c r="S20" s="62" t="str">
        <x:v>万元</x:v>
      </x:c>
      <x:c r="T20" s="62" t="str">
        <x:v>费用不含税</x:v>
      </x:c>
      <x:c r="U20" s="62" t="str">
        <x:v>2026年预算申报明细汇总.xlsx</x:v>
      </x:c>
      <x:c r="V20" s="62" t="str">
        <x:v>部门公共费用明细</x:v>
      </x:c>
      <x:c r="W20" s="62" t="n">
        <x:v>8</x:v>
      </x:c>
      <x:c r="X20" s="62" t="str">
        <x:v>2026|技术部|水费</x:v>
      </x:c>
      <x:c r="Y20" s="62" t="str">
        <x:f>IF(M20=SUMIFS($M$2:$M$25,$A$2:$A$25,2025,$G$2:$G$25,G20,$H$2:$H$25,H20),"FAIL","OK")</x:f>
        <x:v>OK</x:v>
      </x:c>
      <x:c r="Z20" s="62" t="str">
        <x:f>IF(ABS(O20-ROUND(M20/(1+K20),2))&lt;0.000001,"OK","FAIL")</x:f>
        <x:v>OK</x:v>
      </x:c>
    </x:row>
    <x:row r="21">
      <x:c r="A21" s="62" t="n">
        <x:v>2026</x:v>
      </x:c>
      <x:c r="B21" s="62" t="str">
        <x:v>FY2026-INITIAL-SUBMISSION-v1</x:v>
      </x:c>
      <x:c r="C21" s="62" t="str">
        <x:v>PROPOSAL</x:v>
      </x:c>
      <x:c r="D21" s="62" t="str">
        <x:v>INITIAL_SUBMITTED</x:v>
      </x:c>
      <x:c r="E21" s="74" t="n">
        <x:v>45961</x:v>
      </x:c>
      <x:c r="F21" s="62" t="str">
        <x:v>SYNTHETIC_FOR_DEMO</x:v>
      </x:c>
      <x:c r="G21" s="62" t="str">
        <x:v>技术部</x:v>
      </x:c>
      <x:c r="H21" s="62" t="str">
        <x:v>电费</x:v>
      </x:c>
      <x:c r="I21" s="62" t="str">
        <x:v>办公用电</x:v>
      </x:c>
      <x:c r="J21" s="62" t="str">
        <x:v>按上年</x:v>
      </x:c>
      <x:c r="K21" s="76" t="n">
        <x:v>0.06</x:v>
      </x:c>
      <x:c r="L21" s="81" t="n">
        <x:v>0.8</x:v>
      </x:c>
      <x:c r="M21" s="86" t="n">
        <x:f>ROUND(L21*(1+P21),2)</x:f>
        <x:v>0.86</x:v>
      </x:c>
      <x:c r="N21" s="81" t="n">
        <x:v>0.75</x:v>
      </x:c>
      <x:c r="O21" s="86" t="n">
        <x:f>ROUND(M21/(1+K21),2)</x:f>
        <x:v>0.81</x:v>
      </x:c>
      <x:c r="P21" s="88" t="n">
        <x:v>0.075</x:v>
      </x:c>
      <x:c r="Q21" s="71" t="str">
        <x:v>SYNTHETIC_FOR_DEMO：按部门与费用类型差异化增长</x:v>
      </x:c>
      <x:c r="R21" s="62" t="str">
        <x:v>CNY</x:v>
      </x:c>
      <x:c r="S21" s="62" t="str">
        <x:v>万元</x:v>
      </x:c>
      <x:c r="T21" s="62" t="str">
        <x:v>费用不含税</x:v>
      </x:c>
      <x:c r="U21" s="62" t="str">
        <x:v>2026年预算申报明细汇总.xlsx</x:v>
      </x:c>
      <x:c r="V21" s="62" t="str">
        <x:v>部门公共费用明细</x:v>
      </x:c>
      <x:c r="W21" s="62" t="n">
        <x:v>9</x:v>
      </x:c>
      <x:c r="X21" s="62" t="str">
        <x:v>2026|技术部|电费</x:v>
      </x:c>
      <x:c r="Y21" s="62" t="str">
        <x:f>IF(M21=SUMIFS($M$2:$M$25,$A$2:$A$25,2025,$G$2:$G$25,G21,$H$2:$H$25,H21),"FAIL","OK")</x:f>
        <x:v>OK</x:v>
      </x:c>
      <x:c r="Z21" s="62" t="str">
        <x:f>IF(ABS(O21-ROUND(M21/(1+K21),2))&lt;0.000001,"OK","FAIL")</x:f>
        <x:v>OK</x:v>
      </x:c>
    </x:row>
    <x:row r="22">
      <x:c r="A22" s="62" t="n">
        <x:v>2026</x:v>
      </x:c>
      <x:c r="B22" s="62" t="str">
        <x:v>FY2026-INITIAL-SUBMISSION-v1</x:v>
      </x:c>
      <x:c r="C22" s="62" t="str">
        <x:v>PROPOSAL</x:v>
      </x:c>
      <x:c r="D22" s="62" t="str">
        <x:v>INITIAL_SUBMITTED</x:v>
      </x:c>
      <x:c r="E22" s="74" t="n">
        <x:v>45961</x:v>
      </x:c>
      <x:c r="F22" s="62" t="str">
        <x:v>SYNTHETIC_FOR_DEMO</x:v>
      </x:c>
      <x:c r="G22" s="62" t="str">
        <x:v>设备管理部</x:v>
      </x:c>
      <x:c r="H22" s="62" t="str">
        <x:v>办公费</x:v>
      </x:c>
      <x:c r="I22" s="62" t="str">
        <x:v>日常办公</x:v>
      </x:c>
      <x:c r="J22" s="62" t="str">
        <x:v>按人均</x:v>
      </x:c>
      <x:c r="K22" s="76" t="n">
        <x:v>0.06</x:v>
      </x:c>
      <x:c r="L22" s="81" t="n">
        <x:v>2.5</x:v>
      </x:c>
      <x:c r="M22" s="86" t="n">
        <x:f>ROUND(L22*(1+P22),2)</x:f>
        <x:v>2.58</x:v>
      </x:c>
      <x:c r="N22" s="81" t="n">
        <x:v>2.36</x:v>
      </x:c>
      <x:c r="O22" s="86" t="n">
        <x:f>ROUND(M22/(1+K22),2)</x:f>
        <x:v>2.43</x:v>
      </x:c>
      <x:c r="P22" s="88" t="n">
        <x:v>0.03</x:v>
      </x:c>
      <x:c r="Q22" s="71" t="str">
        <x:v>SYNTHETIC_FOR_DEMO：按部门与费用类型差异化增长</x:v>
      </x:c>
      <x:c r="R22" s="62" t="str">
        <x:v>CNY</x:v>
      </x:c>
      <x:c r="S22" s="62" t="str">
        <x:v>万元</x:v>
      </x:c>
      <x:c r="T22" s="62" t="str">
        <x:v>费用不含税</x:v>
      </x:c>
      <x:c r="U22" s="62" t="str">
        <x:v>2026年预算申报明细汇总.xlsx</x:v>
      </x:c>
      <x:c r="V22" s="62" t="str">
        <x:v>部门公共费用明细</x:v>
      </x:c>
      <x:c r="W22" s="62" t="n">
        <x:v>10</x:v>
      </x:c>
      <x:c r="X22" s="62" t="str">
        <x:v>2026|设备管理部|办公费</x:v>
      </x:c>
      <x:c r="Y22" s="62" t="str">
        <x:f>IF(M22=SUMIFS($M$2:$M$25,$A$2:$A$25,2025,$G$2:$G$25,G22,$H$2:$H$25,H22),"FAIL","OK")</x:f>
        <x:v>OK</x:v>
      </x:c>
      <x:c r="Z22" s="62" t="str">
        <x:f>IF(ABS(O22-ROUND(M22/(1+K22),2))&lt;0.000001,"OK","FAIL")</x:f>
        <x:v>OK</x:v>
      </x:c>
    </x:row>
    <x:row r="23">
      <x:c r="A23" s="62" t="n">
        <x:v>2026</x:v>
      </x:c>
      <x:c r="B23" s="62" t="str">
        <x:v>FY2026-INITIAL-SUBMISSION-v1</x:v>
      </x:c>
      <x:c r="C23" s="62" t="str">
        <x:v>PROPOSAL</x:v>
      </x:c>
      <x:c r="D23" s="62" t="str">
        <x:v>INITIAL_SUBMITTED</x:v>
      </x:c>
      <x:c r="E23" s="74" t="n">
        <x:v>45961</x:v>
      </x:c>
      <x:c r="F23" s="62" t="str">
        <x:v>SYNTHETIC_FOR_DEMO</x:v>
      </x:c>
      <x:c r="G23" s="62" t="str">
        <x:v>设备管理部</x:v>
      </x:c>
      <x:c r="H23" s="62" t="str">
        <x:v>培训费</x:v>
      </x:c>
      <x:c r="I23" s="62" t="str">
        <x:v>技能培训</x:v>
      </x:c>
      <x:c r="J23" s="62" t="str">
        <x:v>按计划</x:v>
      </x:c>
      <x:c r="K23" s="76" t="n">
        <x:v>0.06</x:v>
      </x:c>
      <x:c r="L23" s="81" t="n">
        <x:v>1.5</x:v>
      </x:c>
      <x:c r="M23" s="86" t="n">
        <x:f>ROUND(L23*(1+P23),2)</x:f>
        <x:v>1.62</x:v>
      </x:c>
      <x:c r="N23" s="81" t="n">
        <x:v>1.42</x:v>
      </x:c>
      <x:c r="O23" s="86" t="n">
        <x:f>ROUND(M23/(1+K23),2)</x:f>
        <x:v>1.53</x:v>
      </x:c>
      <x:c r="P23" s="88" t="n">
        <x:v>0.08</x:v>
      </x:c>
      <x:c r="Q23" s="71" t="str">
        <x:v>SYNTHETIC_FOR_DEMO：按部门与费用类型差异化增长</x:v>
      </x:c>
      <x:c r="R23" s="62" t="str">
        <x:v>CNY</x:v>
      </x:c>
      <x:c r="S23" s="62" t="str">
        <x:v>万元</x:v>
      </x:c>
      <x:c r="T23" s="62" t="str">
        <x:v>费用不含税</x:v>
      </x:c>
      <x:c r="U23" s="62" t="str">
        <x:v>2026年预算申报明细汇总.xlsx</x:v>
      </x:c>
      <x:c r="V23" s="62" t="str">
        <x:v>部门公共费用明细</x:v>
      </x:c>
      <x:c r="W23" s="62" t="n">
        <x:v>11</x:v>
      </x:c>
      <x:c r="X23" s="62" t="str">
        <x:v>2026|设备管理部|培训费</x:v>
      </x:c>
      <x:c r="Y23" s="62" t="str">
        <x:f>IF(M23=SUMIFS($M$2:$M$25,$A$2:$A$25,2025,$G$2:$G$25,G23,$H$2:$H$25,H23),"FAIL","OK")</x:f>
        <x:v>OK</x:v>
      </x:c>
      <x:c r="Z23" s="62" t="str">
        <x:f>IF(ABS(O23-ROUND(M23/(1+K23),2))&lt;0.000001,"OK","FAIL")</x:f>
        <x:v>OK</x:v>
      </x:c>
    </x:row>
    <x:row r="24">
      <x:c r="A24" s="62" t="n">
        <x:v>2026</x:v>
      </x:c>
      <x:c r="B24" s="62" t="str">
        <x:v>FY2026-INITIAL-SUBMISSION-v1</x:v>
      </x:c>
      <x:c r="C24" s="62" t="str">
        <x:v>PROPOSAL</x:v>
      </x:c>
      <x:c r="D24" s="62" t="str">
        <x:v>INITIAL_SUBMITTED</x:v>
      </x:c>
      <x:c r="E24" s="74" t="n">
        <x:v>45961</x:v>
      </x:c>
      <x:c r="F24" s="62" t="str">
        <x:v>SYNTHETIC_FOR_DEMO</x:v>
      </x:c>
      <x:c r="G24" s="62" t="str">
        <x:v>设备管理部</x:v>
      </x:c>
      <x:c r="H24" s="62" t="str">
        <x:v>水费</x:v>
      </x:c>
      <x:c r="I24" s="62" t="str">
        <x:v>办公用水</x:v>
      </x:c>
      <x:c r="J24" s="62" t="str">
        <x:v>按上年</x:v>
      </x:c>
      <x:c r="K24" s="76" t="n">
        <x:v>0.06</x:v>
      </x:c>
      <x:c r="L24" s="81" t="n">
        <x:v>0.5</x:v>
      </x:c>
      <x:c r="M24" s="86" t="n">
        <x:f>ROUND(L24*(1+P24),2)</x:f>
        <x:v>0.51</x:v>
      </x:c>
      <x:c r="N24" s="81" t="n">
        <x:v>0.47</x:v>
      </x:c>
      <x:c r="O24" s="86" t="n">
        <x:f>ROUND(M24/(1+K24),2)</x:f>
        <x:v>0.48</x:v>
      </x:c>
      <x:c r="P24" s="88" t="n">
        <x:v>0.02</x:v>
      </x:c>
      <x:c r="Q24" s="71" t="str">
        <x:v>SYNTHETIC_FOR_DEMO：按部门与费用类型差异化增长</x:v>
      </x:c>
      <x:c r="R24" s="62" t="str">
        <x:v>CNY</x:v>
      </x:c>
      <x:c r="S24" s="62" t="str">
        <x:v>万元</x:v>
      </x:c>
      <x:c r="T24" s="62" t="str">
        <x:v>费用不含税</x:v>
      </x:c>
      <x:c r="U24" s="62" t="str">
        <x:v>2026年预算申报明细汇总.xlsx</x:v>
      </x:c>
      <x:c r="V24" s="62" t="str">
        <x:v>部门公共费用明细</x:v>
      </x:c>
      <x:c r="W24" s="62" t="n">
        <x:v>12</x:v>
      </x:c>
      <x:c r="X24" s="62" t="str">
        <x:v>2026|设备管理部|水费</x:v>
      </x:c>
      <x:c r="Y24" s="62" t="str">
        <x:f>IF(M24=SUMIFS($M$2:$M$25,$A$2:$A$25,2025,$G$2:$G$25,G24,$H$2:$H$25,H24),"FAIL","OK")</x:f>
        <x:v>OK</x:v>
      </x:c>
      <x:c r="Z24" s="62" t="str">
        <x:f>IF(ABS(O24-ROUND(M24/(1+K24),2))&lt;0.000001,"OK","FAIL")</x:f>
        <x:v>OK</x:v>
      </x:c>
    </x:row>
    <x:row r="25">
      <x:c r="A25" s="62" t="n">
        <x:v>2026</x:v>
      </x:c>
      <x:c r="B25" s="62" t="str">
        <x:v>FY2026-INITIAL-SUBMISSION-v1</x:v>
      </x:c>
      <x:c r="C25" s="62" t="str">
        <x:v>PROPOSAL</x:v>
      </x:c>
      <x:c r="D25" s="62" t="str">
        <x:v>INITIAL_SUBMITTED</x:v>
      </x:c>
      <x:c r="E25" s="74" t="n">
        <x:v>45961</x:v>
      </x:c>
      <x:c r="F25" s="62" t="str">
        <x:v>SYNTHETIC_FOR_DEMO</x:v>
      </x:c>
      <x:c r="G25" s="62" t="str">
        <x:v>设备管理部</x:v>
      </x:c>
      <x:c r="H25" s="62" t="str">
        <x:v>电费</x:v>
      </x:c>
      <x:c r="I25" s="62" t="str">
        <x:v>办公用电</x:v>
      </x:c>
      <x:c r="J25" s="62" t="str">
        <x:v>按上年</x:v>
      </x:c>
      <x:c r="K25" s="76" t="n">
        <x:v>0.06</x:v>
      </x:c>
      <x:c r="L25" s="81" t="n">
        <x:v>0.8</x:v>
      </x:c>
      <x:c r="M25" s="86" t="n">
        <x:f>ROUND(L25*(1+P25),2)</x:f>
        <x:v>0.83</x:v>
      </x:c>
      <x:c r="N25" s="81" t="n">
        <x:v>0.75</x:v>
      </x:c>
      <x:c r="O25" s="86" t="n">
        <x:f>ROUND(M25/(1+K25),2)</x:f>
        <x:v>0.78</x:v>
      </x:c>
      <x:c r="P25" s="88" t="n">
        <x:v>0.0375</x:v>
      </x:c>
      <x:c r="Q25" s="71" t="str">
        <x:v>SYNTHETIC_FOR_DEMO：按部门与费用类型差异化增长</x:v>
      </x:c>
      <x:c r="R25" s="62" t="str">
        <x:v>CNY</x:v>
      </x:c>
      <x:c r="S25" s="62" t="str">
        <x:v>万元</x:v>
      </x:c>
      <x:c r="T25" s="62" t="str">
        <x:v>费用不含税</x:v>
      </x:c>
      <x:c r="U25" s="62" t="str">
        <x:v>2026年预算申报明细汇总.xlsx</x:v>
      </x:c>
      <x:c r="V25" s="62" t="str">
        <x:v>部门公共费用明细</x:v>
      </x:c>
      <x:c r="W25" s="62" t="n">
        <x:v>13</x:v>
      </x:c>
      <x:c r="X25" s="62" t="str">
        <x:v>2026|设备管理部|电费</x:v>
      </x:c>
      <x:c r="Y25" s="62" t="str">
        <x:f>IF(M25=SUMIFS($M$2:$M$25,$A$2:$A$25,2025,$G$2:$G$25,G25,$H$2:$H$25,H25),"FAIL","OK")</x:f>
        <x:v>OK</x:v>
      </x:c>
      <x:c r="Z25" s="62" t="str">
        <x:f>IF(ABS(O25-ROUND(M25/(1+K25),2))&lt;0.000001,"OK","FAIL")</x:f>
        <x:v>OK</x:v>
      </x:c>
    </x:row>
  </x:sheetData>
  <x:conditionalFormatting sqref="F2:F25">
    <x:cfRule type="containsText" dxfId="26" priority="1" operator="containsText" text="SYNTHETIC_FOR_DEMO"/>
  </x:conditionalFormatting>
  <x:conditionalFormatting sqref="Y2:Z25">
    <x:cfRule type="containsText" dxfId="27" priority="2" operator="containsText" text="OK"/>
    <x:cfRule type="containsText" dxfId="28" priority="3" operator="containsText" text="PASS"/>
    <x:cfRule type="containsText" dxfId="29" priority="4" operator="containsText" text="FAIL"/>
    <x:cfRule type="containsText" dxfId="30" priority="5" operator="containsText" text="阻塞"/>
    <x:cfRule type="containsText" dxfId="31" priority="6" operator="containsText" text="待复核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4" hidden="0" customWidth="1"/>
    <x:col min="4" max="4" width="20" hidden="0" customWidth="1"/>
    <x:col min="5" max="5" width="14" hidden="0" customWidth="1"/>
    <x:col min="6" max="6" width="14" hidden="0" customWidth="1"/>
    <x:col min="7" max="7" width="18" hidden="0" customWidth="1"/>
    <x:col min="8" max="8" width="26" hidden="0" customWidth="1"/>
    <x:col min="9" max="9" width="18" hidden="0" customWidth="1"/>
    <x:col min="10" max="10" width="12" hidden="0" customWidth="1"/>
    <x:col min="11" max="11" width="22" hidden="0" customWidth="1"/>
    <x:col min="12" max="12" width="28" hidden="0" customWidth="1"/>
    <x:col min="13" max="13" width="10" hidden="0" customWidth="1"/>
    <x:col min="14" max="14" width="16" hidden="0" customWidth="1"/>
    <x:col min="15" max="15" width="12" hidden="0" customWidth="1"/>
    <x:col min="16" max="16" width="14" hidden="0" customWidth="1"/>
    <x:col min="17" max="17" width="10" hidden="0" customWidth="1"/>
    <x:col min="18" max="18" width="19" hidden="0" customWidth="1"/>
    <x:col min="19" max="19" width="19" hidden="0" customWidth="1"/>
    <x:col min="20" max="20" width="19" hidden="0" customWidth="1"/>
    <x:col min="21" max="21" width="21" hidden="0" customWidth="1"/>
    <x:col min="22" max="22" width="10" hidden="0" customWidth="1"/>
    <x:col min="23" max="23" width="18" hidden="0" customWidth="1"/>
    <x:col min="24" max="24" width="34" hidden="0" customWidth="1"/>
    <x:col min="25" max="25" width="14" hidden="0" customWidth="1"/>
    <x:col min="26" max="26" width="10" hidden="0" customWidth="1"/>
    <x:col min="27" max="27" width="42" hidden="0" customWidth="1"/>
    <x:col min="28" max="28" width="11" hidden="0" customWidth="1"/>
  </x:cols>
  <x:sheetData>
    <x:row r="1" ht="34" customHeight="1">
      <x:c r="A1" s="68" t="str">
        <x:v>预算年度</x:v>
      </x:c>
      <x:c r="B1" s="69" t="str">
        <x:v>预算版本</x:v>
      </x:c>
      <x:c r="C1" s="69" t="str">
        <x:v>情景</x:v>
      </x:c>
      <x:c r="D1" s="69" t="str">
        <x:v>审批状态</x:v>
      </x:c>
      <x:c r="E1" s="69" t="str">
        <x:v>提交快照</x:v>
      </x:c>
      <x:c r="F1" s="69" t="str">
        <x:v>数据标记</x:v>
      </x:c>
      <x:c r="G1" s="69" t="str">
        <x:v>部门</x:v>
      </x:c>
      <x:c r="H1" s="69" t="str">
        <x:v>预算二级科目</x:v>
      </x:c>
      <x:c r="I1" s="69" t="str">
        <x:v>配置人员分类</x:v>
      </x:c>
      <x:c r="J1" s="69" t="str">
        <x:v>级别</x:v>
      </x:c>
      <x:c r="K1" s="69" t="str">
        <x:v>项目名称</x:v>
      </x:c>
      <x:c r="L1" s="69" t="str">
        <x:v>项目编号</x:v>
      </x:c>
      <x:c r="M1" s="69" t="str">
        <x:v>人数</x:v>
      </x:c>
      <x:c r="N1" s="69" t="str">
        <x:v>供应商</x:v>
      </x:c>
      <x:c r="O1" s="69" t="str">
        <x:v>服务人月</x:v>
      </x:c>
      <x:c r="P1" s="69" t="str">
        <x:v>单价_元</x:v>
      </x:c>
      <x:c r="Q1" s="69" t="str">
        <x:v>税率</x:v>
      </x:c>
      <x:c r="R1" s="69" t="str">
        <x:v>年度预算含税_万元</x:v>
      </x:c>
      <x:c r="S1" s="69" t="str">
        <x:v>年度预算净额_万元</x:v>
      </x:c>
      <x:c r="T1" s="69" t="str">
        <x:v>源平均单价_万元月</x:v>
      </x:c>
      <x:c r="U1" s="69" t="str">
        <x:v>重算平均单价_万元月</x:v>
      </x:c>
      <x:c r="V1" s="69" t="str">
        <x:v>币种</x:v>
      </x:c>
      <x:c r="W1" s="69" t="str">
        <x:v>金额单位</x:v>
      </x:c>
      <x:c r="X1" s="69" t="str">
        <x:v>来源文件</x:v>
      </x:c>
      <x:c r="Y1" s="69" t="str">
        <x:v>来源成员</x:v>
      </x:c>
      <x:c r="Z1" s="69" t="str">
        <x:v>源行</x:v>
      </x:c>
      <x:c r="AA1" s="69" t="str">
        <x:v>稳定键</x:v>
      </x:c>
      <x:c r="AB1" s="70" t="str">
        <x:v>税额QC</x:v>
      </x:c>
    </x:row>
    <x:row r="2">
      <x:c r="A2" s="83" t="n">
        <x:v>2025</x:v>
      </x:c>
      <x:c r="B2" s="83" t="str">
        <x:v>FY2025-INITIAL-SUBMISSION-v1</x:v>
      </x:c>
      <x:c r="C2" s="83" t="str">
        <x:v>PROPOSAL</x:v>
      </x:c>
      <x:c r="D2" s="83" t="str">
        <x:v>INITIAL_SUBMITTED</x:v>
      </x:c>
      <x:c r="E2" s="84" t="n">
        <x:v>45596</x:v>
      </x:c>
      <x:c r="F2" s="83" t="str">
        <x:v>SOURCE</x:v>
      </x:c>
      <x:c r="G2" s="83" t="str">
        <x:v>设备管理部</x:v>
      </x:c>
      <x:c r="H2" s="83" t="str">
        <x:v>业务支持费-技术配置</x:v>
      </x:c>
      <x:c r="I2" s="83" t="str">
        <x:v>技术服务</x:v>
      </x:c>
      <x:c r="J2" s="83" t="str">
        <x:v>初级</x:v>
      </x:c>
      <x:c r="K2" s="83" t="str">
        <x:v>设备维护</x:v>
      </x:c>
      <x:c r="L2" s="83" t="str">
        <x:v>PRJ-SB-设备-2024-001</x:v>
      </x:c>
      <x:c r="M2" s="83" t="n">
        <x:v>2</x:v>
      </x:c>
      <x:c r="N2" s="83" t="str">
        <x:v>供应商2</x:v>
      </x:c>
      <x:c r="O2" s="83" t="n">
        <x:v>12</x:v>
      </x:c>
      <x:c r="P2" s="85" t="n">
        <x:v>12100</x:v>
      </x:c>
      <x:c r="Q2" s="78" t="n">
        <x:v>0.06</x:v>
      </x:c>
      <x:c r="R2" s="81" t="n">
        <x:v>14.52</x:v>
      </x:c>
      <x:c r="S2" s="81" t="n">
        <x:v>13.7</x:v>
      </x:c>
      <x:c r="T2" s="81" t="n">
        <x:v>1.14</x:v>
      </x:c>
      <x:c r="U2" s="86" t="n">
        <x:f>IF(O2=0,0,S2/O2)</x:f>
        <x:v>1.1416666666666666</x:v>
      </x:c>
      <x:c r="V2" s="62" t="str">
        <x:v>CNY</x:v>
      </x:c>
      <x:c r="W2" s="62" t="str">
        <x:v>万元；单价列为元</x:v>
      </x:c>
      <x:c r="X2" s="62" t="str">
        <x:v>2025年预算申报明细汇总.xlsx</x:v>
      </x:c>
      <x:c r="Y2" s="62" t="str">
        <x:v>技术配置</x:v>
      </x:c>
      <x:c r="Z2" s="62" t="n">
        <x:v>2</x:v>
      </x:c>
      <x:c r="AA2" s="62" t="str">
        <x:v>2025|PRJ-SB-设备-2024-001|供应商2|初级|2</x:v>
      </x:c>
      <x:c r="AB2" s="62" t="str">
        <x:f>IF(ABS(S2-ROUND(R2/(1+Q2),2))&lt;=0.01,"OK","FAIL")</x:f>
        <x:v>OK</x:v>
      </x:c>
    </x:row>
    <x:row r="3">
      <x:c r="A3" s="83" t="n">
        <x:v>2025</x:v>
      </x:c>
      <x:c r="B3" s="83" t="str">
        <x:v>FY2025-INITIAL-SUBMISSION-v1</x:v>
      </x:c>
      <x:c r="C3" s="83" t="str">
        <x:v>PROPOSAL</x:v>
      </x:c>
      <x:c r="D3" s="83" t="str">
        <x:v>INITIAL_SUBMITTED</x:v>
      </x:c>
      <x:c r="E3" s="84" t="n">
        <x:v>45596</x:v>
      </x:c>
      <x:c r="F3" s="83" t="str">
        <x:v>SOURCE</x:v>
      </x:c>
      <x:c r="G3" s="83" t="str">
        <x:v>设备管理部</x:v>
      </x:c>
      <x:c r="H3" s="83" t="str">
        <x:v>业务支持费-技术配置</x:v>
      </x:c>
      <x:c r="I3" s="83" t="str">
        <x:v>技术服务</x:v>
      </x:c>
      <x:c r="J3" s="83" t="str">
        <x:v>初级</x:v>
      </x:c>
      <x:c r="K3" s="83" t="str">
        <x:v>设备维护</x:v>
      </x:c>
      <x:c r="L3" s="83" t="str">
        <x:v>PRJ-SB-设备-2025-002</x:v>
      </x:c>
      <x:c r="M3" s="83" t="n">
        <x:v>2</x:v>
      </x:c>
      <x:c r="N3" s="83" t="str">
        <x:v>供应商2</x:v>
      </x:c>
      <x:c r="O3" s="83" t="n">
        <x:v>12</x:v>
      </x:c>
      <x:c r="P3" s="85" t="n">
        <x:v>11800</x:v>
      </x:c>
      <x:c r="Q3" s="78" t="n">
        <x:v>0.06</x:v>
      </x:c>
      <x:c r="R3" s="81" t="n">
        <x:v>14.16</x:v>
      </x:c>
      <x:c r="S3" s="81" t="n">
        <x:v>13.36</x:v>
      </x:c>
      <x:c r="T3" s="81" t="n">
        <x:v>1.11</x:v>
      </x:c>
      <x:c r="U3" s="86" t="n">
        <x:f>IF(O3=0,0,S3/O3)</x:f>
        <x:v>1.1133333333333333</x:v>
      </x:c>
      <x:c r="V3" s="62" t="str">
        <x:v>CNY</x:v>
      </x:c>
      <x:c r="W3" s="62" t="str">
        <x:v>万元；单价列为元</x:v>
      </x:c>
      <x:c r="X3" s="62" t="str">
        <x:v>2025年预算申报明细汇总.xlsx</x:v>
      </x:c>
      <x:c r="Y3" s="62" t="str">
        <x:v>技术配置</x:v>
      </x:c>
      <x:c r="Z3" s="62" t="n">
        <x:v>3</x:v>
      </x:c>
      <x:c r="AA3" s="62" t="str">
        <x:v>2025|PRJ-SB-设备-2025-002|供应商2|初级|3</x:v>
      </x:c>
      <x:c r="AB3" s="62" t="str">
        <x:f>IF(ABS(S3-ROUND(R3/(1+Q3),2))&lt;=0.01,"OK","FAIL")</x:f>
        <x:v>OK</x:v>
      </x:c>
    </x:row>
    <x:row r="4">
      <x:c r="A4" s="83" t="n">
        <x:v>2025</x:v>
      </x:c>
      <x:c r="B4" s="83" t="str">
        <x:v>FY2025-INITIAL-SUBMISSION-v1</x:v>
      </x:c>
      <x:c r="C4" s="83" t="str">
        <x:v>PROPOSAL</x:v>
      </x:c>
      <x:c r="D4" s="83" t="str">
        <x:v>INITIAL_SUBMITTED</x:v>
      </x:c>
      <x:c r="E4" s="84" t="n">
        <x:v>45596</x:v>
      </x:c>
      <x:c r="F4" s="83" t="str">
        <x:v>SOURCE</x:v>
      </x:c>
      <x:c r="G4" s="83" t="str">
        <x:v>设备管理部</x:v>
      </x:c>
      <x:c r="H4" s="83" t="str">
        <x:v>业务支持费-技术配置</x:v>
      </x:c>
      <x:c r="I4" s="83" t="str">
        <x:v>技术服务</x:v>
      </x:c>
      <x:c r="J4" s="83" t="str">
        <x:v>初级</x:v>
      </x:c>
      <x:c r="K4" s="83" t="str">
        <x:v>设备维护</x:v>
      </x:c>
      <x:c r="L4" s="83" t="str">
        <x:v>PRJ-SB-设备-2025-003</x:v>
      </x:c>
      <x:c r="M4" s="83" t="n">
        <x:v>2</x:v>
      </x:c>
      <x:c r="N4" s="83" t="str">
        <x:v>供应商3</x:v>
      </x:c>
      <x:c r="O4" s="83" t="n">
        <x:v>12</x:v>
      </x:c>
      <x:c r="P4" s="85" t="n">
        <x:v>11900</x:v>
      </x:c>
      <x:c r="Q4" s="78" t="n">
        <x:v>0.06</x:v>
      </x:c>
      <x:c r="R4" s="81" t="n">
        <x:v>14.28</x:v>
      </x:c>
      <x:c r="S4" s="81" t="n">
        <x:v>13.47</x:v>
      </x:c>
      <x:c r="T4" s="81" t="n">
        <x:v>1.12</x:v>
      </x:c>
      <x:c r="U4" s="86" t="n">
        <x:f>IF(O4=0,0,S4/O4)</x:f>
        <x:v>1.1225</x:v>
      </x:c>
      <x:c r="V4" s="62" t="str">
        <x:v>CNY</x:v>
      </x:c>
      <x:c r="W4" s="62" t="str">
        <x:v>万元；单价列为元</x:v>
      </x:c>
      <x:c r="X4" s="62" t="str">
        <x:v>2025年预算申报明细汇总.xlsx</x:v>
      </x:c>
      <x:c r="Y4" s="62" t="str">
        <x:v>技术配置</x:v>
      </x:c>
      <x:c r="Z4" s="62" t="n">
        <x:v>4</x:v>
      </x:c>
      <x:c r="AA4" s="62" t="str">
        <x:v>2025|PRJ-SB-设备-2025-003|供应商3|初级|4</x:v>
      </x:c>
      <x:c r="AB4" s="62" t="str">
        <x:f>IF(ABS(S4-ROUND(R4/(1+Q4),2))&lt;=0.01,"OK","FAIL")</x:f>
        <x:v>OK</x:v>
      </x:c>
    </x:row>
    <x:row r="5">
      <x:c r="A5" s="83" t="n">
        <x:v>2025</x:v>
      </x:c>
      <x:c r="B5" s="83" t="str">
        <x:v>FY2025-INITIAL-SUBMISSION-v1</x:v>
      </x:c>
      <x:c r="C5" s="83" t="str">
        <x:v>PROPOSAL</x:v>
      </x:c>
      <x:c r="D5" s="83" t="str">
        <x:v>INITIAL_SUBMITTED</x:v>
      </x:c>
      <x:c r="E5" s="84" t="n">
        <x:v>45596</x:v>
      </x:c>
      <x:c r="F5" s="83" t="str">
        <x:v>SOURCE</x:v>
      </x:c>
      <x:c r="G5" s="83" t="str">
        <x:v>技术部</x:v>
      </x:c>
      <x:c r="H5" s="83" t="str">
        <x:v>业务支持费-技术配置</x:v>
      </x:c>
      <x:c r="I5" s="83" t="str">
        <x:v>技术服务</x:v>
      </x:c>
      <x:c r="J5" s="83" t="str">
        <x:v>专家</x:v>
      </x:c>
      <x:c r="K5" s="83" t="str">
        <x:v>热能动力研究</x:v>
      </x:c>
      <x:c r="L5" s="83" t="str">
        <x:v>PRJ-JS-热能-2024-001</x:v>
      </x:c>
      <x:c r="M5" s="83" t="n">
        <x:v>5</x:v>
      </x:c>
      <x:c r="N5" s="83" t="str">
        <x:v>供应商1</x:v>
      </x:c>
      <x:c r="O5" s="83" t="n">
        <x:v>36</x:v>
      </x:c>
      <x:c r="P5" s="85" t="n">
        <x:v>29700</x:v>
      </x:c>
      <x:c r="Q5" s="78" t="n">
        <x:v>0.06</x:v>
      </x:c>
      <x:c r="R5" s="81" t="n">
        <x:v>106.92</x:v>
      </x:c>
      <x:c r="S5" s="81" t="n">
        <x:v>100.87</x:v>
      </x:c>
      <x:c r="T5" s="81" t="n">
        <x:v>2.8</x:v>
      </x:c>
      <x:c r="U5" s="86" t="n">
        <x:f>IF(O5=0,0,S5/O5)</x:f>
        <x:v>2.8019444444444446</x:v>
      </x:c>
      <x:c r="V5" s="62" t="str">
        <x:v>CNY</x:v>
      </x:c>
      <x:c r="W5" s="62" t="str">
        <x:v>万元；单价列为元</x:v>
      </x:c>
      <x:c r="X5" s="62" t="str">
        <x:v>2025年预算申报明细汇总.xlsx</x:v>
      </x:c>
      <x:c r="Y5" s="62" t="str">
        <x:v>技术配置</x:v>
      </x:c>
      <x:c r="Z5" s="62" t="n">
        <x:v>5</x:v>
      </x:c>
      <x:c r="AA5" s="62" t="str">
        <x:v>2025|PRJ-JS-热能-2024-001|供应商1|专家|5</x:v>
      </x:c>
      <x:c r="AB5" s="62" t="str">
        <x:f>IF(ABS(S5-ROUND(R5/(1+Q5),2))&lt;=0.01,"OK","FAIL")</x:f>
        <x:v>OK</x:v>
      </x:c>
    </x:row>
    <x:row r="6">
      <x:c r="A6" s="83" t="n">
        <x:v>2025</x:v>
      </x:c>
      <x:c r="B6" s="83" t="str">
        <x:v>FY2025-INITIAL-SUBMISSION-v1</x:v>
      </x:c>
      <x:c r="C6" s="83" t="str">
        <x:v>PROPOSAL</x:v>
      </x:c>
      <x:c r="D6" s="83" t="str">
        <x:v>INITIAL_SUBMITTED</x:v>
      </x:c>
      <x:c r="E6" s="84" t="n">
        <x:v>45596</x:v>
      </x:c>
      <x:c r="F6" s="83" t="str">
        <x:v>SOURCE</x:v>
      </x:c>
      <x:c r="G6" s="83" t="str">
        <x:v>技术部</x:v>
      </x:c>
      <x:c r="H6" s="83" t="str">
        <x:v>业务支持费-技术配置</x:v>
      </x:c>
      <x:c r="I6" s="83" t="str">
        <x:v>技术服务</x:v>
      </x:c>
      <x:c r="J6" s="83" t="str">
        <x:v>专家</x:v>
      </x:c>
      <x:c r="K6" s="83" t="str">
        <x:v>热能动力研究</x:v>
      </x:c>
      <x:c r="L6" s="83" t="str">
        <x:v>PRJ-JS-热能-2025-002</x:v>
      </x:c>
      <x:c r="M6" s="83" t="n">
        <x:v>5</x:v>
      </x:c>
      <x:c r="N6" s="83" t="str">
        <x:v>供应商3</x:v>
      </x:c>
      <x:c r="O6" s="83" t="n">
        <x:v>36</x:v>
      </x:c>
      <x:c r="P6" s="85" t="n">
        <x:v>27599</x:v>
      </x:c>
      <x:c r="Q6" s="78" t="n">
        <x:v>0.06</x:v>
      </x:c>
      <x:c r="R6" s="81" t="n">
        <x:v>99.36</x:v>
      </x:c>
      <x:c r="S6" s="81" t="n">
        <x:v>93.74</x:v>
      </x:c>
      <x:c r="T6" s="81" t="n">
        <x:v>2.6</x:v>
      </x:c>
      <x:c r="U6" s="86" t="n">
        <x:f>IF(O6=0,0,S6/O6)</x:f>
        <x:v>2.6038888888888887</x:v>
      </x:c>
      <x:c r="V6" s="62" t="str">
        <x:v>CNY</x:v>
      </x:c>
      <x:c r="W6" s="62" t="str">
        <x:v>万元；单价列为元</x:v>
      </x:c>
      <x:c r="X6" s="62" t="str">
        <x:v>2025年预算申报明细汇总.xlsx</x:v>
      </x:c>
      <x:c r="Y6" s="62" t="str">
        <x:v>技术配置</x:v>
      </x:c>
      <x:c r="Z6" s="62" t="n">
        <x:v>6</x:v>
      </x:c>
      <x:c r="AA6" s="62" t="str">
        <x:v>2025|PRJ-JS-热能-2025-002|供应商3|专家|6</x:v>
      </x:c>
      <x:c r="AB6" s="62" t="str">
        <x:f>IF(ABS(S6-ROUND(R6/(1+Q6),2))&lt;=0.01,"OK","FAIL")</x:f>
        <x:v>OK</x:v>
      </x:c>
    </x:row>
    <x:row r="7">
      <x:c r="A7" s="83" t="n">
        <x:v>2025</x:v>
      </x:c>
      <x:c r="B7" s="83" t="str">
        <x:v>FY2025-INITIAL-SUBMISSION-v1</x:v>
      </x:c>
      <x:c r="C7" s="83" t="str">
        <x:v>PROPOSAL</x:v>
      </x:c>
      <x:c r="D7" s="83" t="str">
        <x:v>INITIAL_SUBMITTED</x:v>
      </x:c>
      <x:c r="E7" s="84" t="n">
        <x:v>45596</x:v>
      </x:c>
      <x:c r="F7" s="83" t="str">
        <x:v>SOURCE</x:v>
      </x:c>
      <x:c r="G7" s="83" t="str">
        <x:v>技术部</x:v>
      </x:c>
      <x:c r="H7" s="83" t="str">
        <x:v>业务支持费-技术配置</x:v>
      </x:c>
      <x:c r="I7" s="83" t="str">
        <x:v>技术服务</x:v>
      </x:c>
      <x:c r="J7" s="83" t="str">
        <x:v>专家</x:v>
      </x:c>
      <x:c r="K7" s="83" t="str">
        <x:v>热能动力研究</x:v>
      </x:c>
      <x:c r="L7" s="83" t="str">
        <x:v>PRJ-JS-热能-2025-003</x:v>
      </x:c>
      <x:c r="M7" s="83" t="n">
        <x:v>5</x:v>
      </x:c>
      <x:c r="N7" s="83" t="str">
        <x:v>供应商3</x:v>
      </x:c>
      <x:c r="O7" s="83" t="n">
        <x:v>36</x:v>
      </x:c>
      <x:c r="P7" s="85" t="n">
        <x:v>33000</x:v>
      </x:c>
      <x:c r="Q7" s="78" t="n">
        <x:v>0.06</x:v>
      </x:c>
      <x:c r="R7" s="81" t="n">
        <x:v>118.8</x:v>
      </x:c>
      <x:c r="S7" s="81" t="n">
        <x:v>112.08</x:v>
      </x:c>
      <x:c r="T7" s="81" t="n">
        <x:v>3.11</x:v>
      </x:c>
      <x:c r="U7" s="86" t="n">
        <x:f>IF(O7=0,0,S7/O7)</x:f>
        <x:v>3.1133333333333333</x:v>
      </x:c>
      <x:c r="V7" s="62" t="str">
        <x:v>CNY</x:v>
      </x:c>
      <x:c r="W7" s="62" t="str">
        <x:v>万元；单价列为元</x:v>
      </x:c>
      <x:c r="X7" s="62" t="str">
        <x:v>2025年预算申报明细汇总.xlsx</x:v>
      </x:c>
      <x:c r="Y7" s="62" t="str">
        <x:v>技术配置</x:v>
      </x:c>
      <x:c r="Z7" s="62" t="n">
        <x:v>7</x:v>
      </x:c>
      <x:c r="AA7" s="62" t="str">
        <x:v>2025|PRJ-JS-热能-2025-003|供应商3|专家|7</x:v>
      </x:c>
      <x:c r="AB7" s="62" t="str">
        <x:f>IF(ABS(S7-ROUND(R7/(1+Q7),2))&lt;=0.01,"OK","FAIL")</x:f>
        <x:v>OK</x:v>
      </x:c>
    </x:row>
    <x:row r="8">
      <x:c r="A8" s="83" t="n">
        <x:v>2025</x:v>
      </x:c>
      <x:c r="B8" s="83" t="str">
        <x:v>FY2025-INITIAL-SUBMISSION-v1</x:v>
      </x:c>
      <x:c r="C8" s="83" t="str">
        <x:v>PROPOSAL</x:v>
      </x:c>
      <x:c r="D8" s="83" t="str">
        <x:v>INITIAL_SUBMITTED</x:v>
      </x:c>
      <x:c r="E8" s="84" t="n">
        <x:v>45596</x:v>
      </x:c>
      <x:c r="F8" s="83" t="str">
        <x:v>SOURCE</x:v>
      </x:c>
      <x:c r="G8" s="83" t="str">
        <x:v>技术部</x:v>
      </x:c>
      <x:c r="H8" s="83" t="str">
        <x:v>业务支持费-技术配置</x:v>
      </x:c>
      <x:c r="I8" s="83" t="str">
        <x:v>技术服务</x:v>
      </x:c>
      <x:c r="J8" s="83" t="str">
        <x:v>高级</x:v>
      </x:c>
      <x:c r="K8" s="83" t="str">
        <x:v>经验反馈改进</x:v>
      </x:c>
      <x:c r="L8" s="83" t="str">
        <x:v>PRJ-JS-经验-2024-001</x:v>
      </x:c>
      <x:c r="M8" s="83" t="n">
        <x:v>4</x:v>
      </x:c>
      <x:c r="N8" s="83" t="str">
        <x:v>供应商2</x:v>
      </x:c>
      <x:c r="O8" s="83" t="n">
        <x:v>30</x:v>
      </x:c>
      <x:c r="P8" s="85" t="n">
        <x:v>24100</x:v>
      </x:c>
      <x:c r="Q8" s="78" t="n">
        <x:v>0.06</x:v>
      </x:c>
      <x:c r="R8" s="81" t="n">
        <x:v>72.3</x:v>
      </x:c>
      <x:c r="S8" s="81" t="n">
        <x:v>68.21</x:v>
      </x:c>
      <x:c r="T8" s="81" t="n">
        <x:v>2.27</x:v>
      </x:c>
      <x:c r="U8" s="86" t="n">
        <x:f>IF(O8=0,0,S8/O8)</x:f>
        <x:v>2.2736666666666663</x:v>
      </x:c>
      <x:c r="V8" s="62" t="str">
        <x:v>CNY</x:v>
      </x:c>
      <x:c r="W8" s="62" t="str">
        <x:v>万元；单价列为元</x:v>
      </x:c>
      <x:c r="X8" s="62" t="str">
        <x:v>2025年预算申报明细汇总.xlsx</x:v>
      </x:c>
      <x:c r="Y8" s="62" t="str">
        <x:v>技术配置</x:v>
      </x:c>
      <x:c r="Z8" s="62" t="n">
        <x:v>8</x:v>
      </x:c>
      <x:c r="AA8" s="62" t="str">
        <x:v>2025|PRJ-JS-经验-2024-001|供应商2|高级|8</x:v>
      </x:c>
      <x:c r="AB8" s="62" t="str">
        <x:f>IF(ABS(S8-ROUND(R8/(1+Q8),2))&lt;=0.01,"OK","FAIL")</x:f>
        <x:v>OK</x:v>
      </x:c>
    </x:row>
    <x:row r="9">
      <x:c r="A9" s="83" t="n">
        <x:v>2025</x:v>
      </x:c>
      <x:c r="B9" s="83" t="str">
        <x:v>FY2025-INITIAL-SUBMISSION-v1</x:v>
      </x:c>
      <x:c r="C9" s="83" t="str">
        <x:v>PROPOSAL</x:v>
      </x:c>
      <x:c r="D9" s="83" t="str">
        <x:v>INITIAL_SUBMITTED</x:v>
      </x:c>
      <x:c r="E9" s="84" t="n">
        <x:v>45596</x:v>
      </x:c>
      <x:c r="F9" s="83" t="str">
        <x:v>SOURCE</x:v>
      </x:c>
      <x:c r="G9" s="83" t="str">
        <x:v>技术部</x:v>
      </x:c>
      <x:c r="H9" s="83" t="str">
        <x:v>业务支持费-技术配置</x:v>
      </x:c>
      <x:c r="I9" s="83" t="str">
        <x:v>技术服务</x:v>
      </x:c>
      <x:c r="J9" s="83" t="str">
        <x:v>高级</x:v>
      </x:c>
      <x:c r="K9" s="83" t="str">
        <x:v>经验反馈改进</x:v>
      </x:c>
      <x:c r="L9" s="83" t="str">
        <x:v>PRJ-JS-经验-2025-002</x:v>
      </x:c>
      <x:c r="M9" s="83" t="n">
        <x:v>4</x:v>
      </x:c>
      <x:c r="N9" s="83" t="str">
        <x:v>供应商1</x:v>
      </x:c>
      <x:c r="O9" s="83" t="n">
        <x:v>30</x:v>
      </x:c>
      <x:c r="P9" s="85" t="n">
        <x:v>20500</x:v>
      </x:c>
      <x:c r="Q9" s="78" t="n">
        <x:v>0.06</x:v>
      </x:c>
      <x:c r="R9" s="81" t="n">
        <x:v>61.5</x:v>
      </x:c>
      <x:c r="S9" s="81" t="n">
        <x:v>58.02</x:v>
      </x:c>
      <x:c r="T9" s="81" t="n">
        <x:v>1.93</x:v>
      </x:c>
      <x:c r="U9" s="86" t="n">
        <x:f>IF(O9=0,0,S9/O9)</x:f>
        <x:v>1.9340000000000002</x:v>
      </x:c>
      <x:c r="V9" s="62" t="str">
        <x:v>CNY</x:v>
      </x:c>
      <x:c r="W9" s="62" t="str">
        <x:v>万元；单价列为元</x:v>
      </x:c>
      <x:c r="X9" s="62" t="str">
        <x:v>2025年预算申报明细汇总.xlsx</x:v>
      </x:c>
      <x:c r="Y9" s="62" t="str">
        <x:v>技术配置</x:v>
      </x:c>
      <x:c r="Z9" s="62" t="n">
        <x:v>9</x:v>
      </x:c>
      <x:c r="AA9" s="62" t="str">
        <x:v>2025|PRJ-JS-经验-2025-002|供应商1|高级|9</x:v>
      </x:c>
      <x:c r="AB9" s="62" t="str">
        <x:f>IF(ABS(S9-ROUND(R9/(1+Q9),2))&lt;=0.01,"OK","FAIL")</x:f>
        <x:v>OK</x:v>
      </x:c>
    </x:row>
    <x:row r="10">
      <x:c r="A10" s="83" t="n">
        <x:v>2025</x:v>
      </x:c>
      <x:c r="B10" s="83" t="str">
        <x:v>FY2025-INITIAL-SUBMISSION-v1</x:v>
      </x:c>
      <x:c r="C10" s="83" t="str">
        <x:v>PROPOSAL</x:v>
      </x:c>
      <x:c r="D10" s="83" t="str">
        <x:v>INITIAL_SUBMITTED</x:v>
      </x:c>
      <x:c r="E10" s="84" t="n">
        <x:v>45596</x:v>
      </x:c>
      <x:c r="F10" s="83" t="str">
        <x:v>SOURCE</x:v>
      </x:c>
      <x:c r="G10" s="83" t="str">
        <x:v>技术部</x:v>
      </x:c>
      <x:c r="H10" s="83" t="str">
        <x:v>业务支持费-技术配置</x:v>
      </x:c>
      <x:c r="I10" s="83" t="str">
        <x:v>技术服务</x:v>
      </x:c>
      <x:c r="J10" s="83" t="str">
        <x:v>高级</x:v>
      </x:c>
      <x:c r="K10" s="83" t="str">
        <x:v>经验反馈改进</x:v>
      </x:c>
      <x:c r="L10" s="83" t="str">
        <x:v>PRJ-JS-经验-2025-003</x:v>
      </x:c>
      <x:c r="M10" s="83" t="n">
        <x:v>4</x:v>
      </x:c>
      <x:c r="N10" s="83" t="str">
        <x:v>供应商1</x:v>
      </x:c>
      <x:c r="O10" s="83" t="n">
        <x:v>30</x:v>
      </x:c>
      <x:c r="P10" s="85" t="n">
        <x:v>21900</x:v>
      </x:c>
      <x:c r="Q10" s="78" t="n">
        <x:v>0.06</x:v>
      </x:c>
      <x:c r="R10" s="81" t="n">
        <x:v>65.7</x:v>
      </x:c>
      <x:c r="S10" s="81" t="n">
        <x:v>61.98</x:v>
      </x:c>
      <x:c r="T10" s="81" t="n">
        <x:v>2.07</x:v>
      </x:c>
      <x:c r="U10" s="86" t="n">
        <x:f>IF(O10=0,0,S10/O10)</x:f>
        <x:v>2.066</x:v>
      </x:c>
      <x:c r="V10" s="62" t="str">
        <x:v>CNY</x:v>
      </x:c>
      <x:c r="W10" s="62" t="str">
        <x:v>万元；单价列为元</x:v>
      </x:c>
      <x:c r="X10" s="62" t="str">
        <x:v>2025年预算申报明细汇总.xlsx</x:v>
      </x:c>
      <x:c r="Y10" s="62" t="str">
        <x:v>技术配置</x:v>
      </x:c>
      <x:c r="Z10" s="62" t="n">
        <x:v>10</x:v>
      </x:c>
      <x:c r="AA10" s="62" t="str">
        <x:v>2025|PRJ-JS-经验-2025-003|供应商1|高级|10</x:v>
      </x:c>
      <x:c r="AB10" s="62" t="str">
        <x:f>IF(ABS(S10-ROUND(R10/(1+Q10),2))&lt;=0.01,"OK","FAIL")</x:f>
        <x:v>OK</x:v>
      </x:c>
    </x:row>
    <x:row r="11">
      <x:c r="A11" s="83" t="n">
        <x:v>2025</x:v>
      </x:c>
      <x:c r="B11" s="83" t="str">
        <x:v>FY2025-INITIAL-SUBMISSION-v1</x:v>
      </x:c>
      <x:c r="C11" s="83" t="str">
        <x:v>PROPOSAL</x:v>
      </x:c>
      <x:c r="D11" s="83" t="str">
        <x:v>INITIAL_SUBMITTED</x:v>
      </x:c>
      <x:c r="E11" s="84" t="n">
        <x:v>45596</x:v>
      </x:c>
      <x:c r="F11" s="83" t="str">
        <x:v>SOURCE</x:v>
      </x:c>
      <x:c r="G11" s="83" t="str">
        <x:v>技术部</x:v>
      </x:c>
      <x:c r="H11" s="83" t="str">
        <x:v>业务支持费-技术配置</x:v>
      </x:c>
      <x:c r="I11" s="83" t="str">
        <x:v>技术服务</x:v>
      </x:c>
      <x:c r="J11" s="83" t="str">
        <x:v>专家</x:v>
      </x:c>
      <x:c r="K11" s="83" t="str">
        <x:v>新技术应用</x:v>
      </x:c>
      <x:c r="L11" s="83" t="str">
        <x:v>PRJ-JS-新技-2024-001</x:v>
      </x:c>
      <x:c r="M11" s="83" t="n">
        <x:v>5</x:v>
      </x:c>
      <x:c r="N11" s="83" t="str">
        <x:v>供应商2</x:v>
      </x:c>
      <x:c r="O11" s="83" t="n">
        <x:v>36</x:v>
      </x:c>
      <x:c r="P11" s="85" t="n">
        <x:v>32400</x:v>
      </x:c>
      <x:c r="Q11" s="78" t="n">
        <x:v>0.06</x:v>
      </x:c>
      <x:c r="R11" s="81" t="n">
        <x:v>116.64</x:v>
      </x:c>
      <x:c r="S11" s="81" t="n">
        <x:v>110.04</x:v>
      </x:c>
      <x:c r="T11" s="81" t="n">
        <x:v>3.06</x:v>
      </x:c>
      <x:c r="U11" s="86" t="n">
        <x:f>IF(O11=0,0,S11/O11)</x:f>
        <x:v>3.0566666666666666</x:v>
      </x:c>
      <x:c r="V11" s="62" t="str">
        <x:v>CNY</x:v>
      </x:c>
      <x:c r="W11" s="62" t="str">
        <x:v>万元；单价列为元</x:v>
      </x:c>
      <x:c r="X11" s="62" t="str">
        <x:v>2025年预算申报明细汇总.xlsx</x:v>
      </x:c>
      <x:c r="Y11" s="62" t="str">
        <x:v>技术配置</x:v>
      </x:c>
      <x:c r="Z11" s="62" t="n">
        <x:v>11</x:v>
      </x:c>
      <x:c r="AA11" s="62" t="str">
        <x:v>2025|PRJ-JS-新技-2024-001|供应商2|专家|11</x:v>
      </x:c>
      <x:c r="AB11" s="62" t="str">
        <x:f>IF(ABS(S11-ROUND(R11/(1+Q11),2))&lt;=0.01,"OK","FAIL")</x:f>
        <x:v>OK</x:v>
      </x:c>
    </x:row>
    <x:row r="12">
      <x:c r="A12" s="83" t="n">
        <x:v>2025</x:v>
      </x:c>
      <x:c r="B12" s="83" t="str">
        <x:v>FY2025-INITIAL-SUBMISSION-v1</x:v>
      </x:c>
      <x:c r="C12" s="83" t="str">
        <x:v>PROPOSAL</x:v>
      </x:c>
      <x:c r="D12" s="83" t="str">
        <x:v>INITIAL_SUBMITTED</x:v>
      </x:c>
      <x:c r="E12" s="84" t="n">
        <x:v>45596</x:v>
      </x:c>
      <x:c r="F12" s="83" t="str">
        <x:v>SOURCE</x:v>
      </x:c>
      <x:c r="G12" s="83" t="str">
        <x:v>技术部</x:v>
      </x:c>
      <x:c r="H12" s="83" t="str">
        <x:v>业务支持费-技术配置</x:v>
      </x:c>
      <x:c r="I12" s="83" t="str">
        <x:v>技术服务</x:v>
      </x:c>
      <x:c r="J12" s="83" t="str">
        <x:v>专家</x:v>
      </x:c>
      <x:c r="K12" s="83" t="str">
        <x:v>新技术应用</x:v>
      </x:c>
      <x:c r="L12" s="83" t="str">
        <x:v>PRJ-JS-新技-2025-002</x:v>
      </x:c>
      <x:c r="M12" s="83" t="n">
        <x:v>5</x:v>
      </x:c>
      <x:c r="N12" s="83" t="str">
        <x:v>供应商1</x:v>
      </x:c>
      <x:c r="O12" s="83" t="n">
        <x:v>36</x:v>
      </x:c>
      <x:c r="P12" s="85" t="n">
        <x:v>29300</x:v>
      </x:c>
      <x:c r="Q12" s="78" t="n">
        <x:v>0.06</x:v>
      </x:c>
      <x:c r="R12" s="81" t="n">
        <x:v>105.48</x:v>
      </x:c>
      <x:c r="S12" s="81" t="n">
        <x:v>99.51</x:v>
      </x:c>
      <x:c r="T12" s="81" t="n">
        <x:v>2.76</x:v>
      </x:c>
      <x:c r="U12" s="86" t="n">
        <x:f>IF(O12=0,0,S12/O12)</x:f>
        <x:v>2.7641666666666667</x:v>
      </x:c>
      <x:c r="V12" s="62" t="str">
        <x:v>CNY</x:v>
      </x:c>
      <x:c r="W12" s="62" t="str">
        <x:v>万元；单价列为元</x:v>
      </x:c>
      <x:c r="X12" s="62" t="str">
        <x:v>2025年预算申报明细汇总.xlsx</x:v>
      </x:c>
      <x:c r="Y12" s="62" t="str">
        <x:v>技术配置</x:v>
      </x:c>
      <x:c r="Z12" s="62" t="n">
        <x:v>12</x:v>
      </x:c>
      <x:c r="AA12" s="62" t="str">
        <x:v>2025|PRJ-JS-新技-2025-002|供应商1|专家|12</x:v>
      </x:c>
      <x:c r="AB12" s="62" t="str">
        <x:f>IF(ABS(S12-ROUND(R12/(1+Q12),2))&lt;=0.01,"OK","FAIL")</x:f>
        <x:v>OK</x:v>
      </x:c>
    </x:row>
    <x:row r="13">
      <x:c r="A13" s="83" t="n">
        <x:v>2025</x:v>
      </x:c>
      <x:c r="B13" s="83" t="str">
        <x:v>FY2025-INITIAL-SUBMISSION-v1</x:v>
      </x:c>
      <x:c r="C13" s="83" t="str">
        <x:v>PROPOSAL</x:v>
      </x:c>
      <x:c r="D13" s="83" t="str">
        <x:v>INITIAL_SUBMITTED</x:v>
      </x:c>
      <x:c r="E13" s="84" t="n">
        <x:v>45596</x:v>
      </x:c>
      <x:c r="F13" s="83" t="str">
        <x:v>SOURCE</x:v>
      </x:c>
      <x:c r="G13" s="83" t="str">
        <x:v>技术部</x:v>
      </x:c>
      <x:c r="H13" s="83" t="str">
        <x:v>业务支持费-技术配置</x:v>
      </x:c>
      <x:c r="I13" s="83" t="str">
        <x:v>技术服务</x:v>
      </x:c>
      <x:c r="J13" s="83" t="str">
        <x:v>专家</x:v>
      </x:c>
      <x:c r="K13" s="83" t="str">
        <x:v>新技术应用</x:v>
      </x:c>
      <x:c r="L13" s="83" t="str">
        <x:v>PRJ-JS-新技-2025-003</x:v>
      </x:c>
      <x:c r="M13" s="83" t="n">
        <x:v>5</x:v>
      </x:c>
      <x:c r="N13" s="83" t="str">
        <x:v>供应商1</x:v>
      </x:c>
      <x:c r="O13" s="83" t="n">
        <x:v>36</x:v>
      </x:c>
      <x:c r="P13" s="85" t="n">
        <x:v>28600</x:v>
      </x:c>
      <x:c r="Q13" s="78" t="n">
        <x:v>0.06</x:v>
      </x:c>
      <x:c r="R13" s="81" t="n">
        <x:v>102.96</x:v>
      </x:c>
      <x:c r="S13" s="81" t="n">
        <x:v>97.13</x:v>
      </x:c>
      <x:c r="T13" s="81" t="n">
        <x:v>2.7</x:v>
      </x:c>
      <x:c r="U13" s="86" t="n">
        <x:f>IF(O13=0,0,S13/O13)</x:f>
        <x:v>2.6980555555555554</x:v>
      </x:c>
      <x:c r="V13" s="62" t="str">
        <x:v>CNY</x:v>
      </x:c>
      <x:c r="W13" s="62" t="str">
        <x:v>万元；单价列为元</x:v>
      </x:c>
      <x:c r="X13" s="62" t="str">
        <x:v>2025年预算申报明细汇总.xlsx</x:v>
      </x:c>
      <x:c r="Y13" s="62" t="str">
        <x:v>技术配置</x:v>
      </x:c>
      <x:c r="Z13" s="62" t="n">
        <x:v>13</x:v>
      </x:c>
      <x:c r="AA13" s="62" t="str">
        <x:v>2025|PRJ-JS-新技-2025-003|供应商1|专家|13</x:v>
      </x:c>
      <x:c r="AB13" s="62" t="str">
        <x:f>IF(ABS(S13-ROUND(R13/(1+Q13),2))&lt;=0.01,"OK","FAIL")</x:f>
        <x:v>OK</x:v>
      </x:c>
    </x:row>
    <x:row r="14">
      <x:c r="A14" s="83" t="n">
        <x:v>2025</x:v>
      </x:c>
      <x:c r="B14" s="83" t="str">
        <x:v>FY2025-INITIAL-SUBMISSION-v1</x:v>
      </x:c>
      <x:c r="C14" s="83" t="str">
        <x:v>PROPOSAL</x:v>
      </x:c>
      <x:c r="D14" s="83" t="str">
        <x:v>INITIAL_SUBMITTED</x:v>
      </x:c>
      <x:c r="E14" s="84" t="n">
        <x:v>45596</x:v>
      </x:c>
      <x:c r="F14" s="83" t="str">
        <x:v>SOURCE</x:v>
      </x:c>
      <x:c r="G14" s="83" t="str">
        <x:v>安全运行部</x:v>
      </x:c>
      <x:c r="H14" s="83" t="str">
        <x:v>业务支持费-技术配置</x:v>
      </x:c>
      <x:c r="I14" s="83" t="str">
        <x:v>技术服务</x:v>
      </x:c>
      <x:c r="J14" s="83" t="str">
        <x:v>中级</x:v>
      </x:c>
      <x:c r="K14" s="83" t="str">
        <x:v>概率安全分析</x:v>
      </x:c>
      <x:c r="L14" s="83" t="str">
        <x:v>PRJ-AQ-概率-2024-001</x:v>
      </x:c>
      <x:c r="M14" s="83" t="n">
        <x:v>3</x:v>
      </x:c>
      <x:c r="N14" s="83" t="str">
        <x:v>供应商3</x:v>
      </x:c>
      <x:c r="O14" s="83" t="n">
        <x:v>24</x:v>
      </x:c>
      <x:c r="P14" s="85" t="n">
        <x:v>17200</x:v>
      </x:c>
      <x:c r="Q14" s="78" t="n">
        <x:v>0.06</x:v>
      </x:c>
      <x:c r="R14" s="81" t="n">
        <x:v>41.28</x:v>
      </x:c>
      <x:c r="S14" s="81" t="n">
        <x:v>38.94</x:v>
      </x:c>
      <x:c r="T14" s="81" t="n">
        <x:v>1.62</x:v>
      </x:c>
      <x:c r="U14" s="86" t="n">
        <x:f>IF(O14=0,0,S14/O14)</x:f>
        <x:v>1.6224999999999998</x:v>
      </x:c>
      <x:c r="V14" s="62" t="str">
        <x:v>CNY</x:v>
      </x:c>
      <x:c r="W14" s="62" t="str">
        <x:v>万元；单价列为元</x:v>
      </x:c>
      <x:c r="X14" s="62" t="str">
        <x:v>2025年预算申报明细汇总.xlsx</x:v>
      </x:c>
      <x:c r="Y14" s="62" t="str">
        <x:v>技术配置</x:v>
      </x:c>
      <x:c r="Z14" s="62" t="n">
        <x:v>14</x:v>
      </x:c>
      <x:c r="AA14" s="62" t="str">
        <x:v>2025|PRJ-AQ-概率-2024-001|供应商3|中级|14</x:v>
      </x:c>
      <x:c r="AB14" s="62" t="str">
        <x:f>IF(ABS(S14-ROUND(R14/(1+Q14),2))&lt;=0.01,"OK","FAIL")</x:f>
        <x:v>OK</x:v>
      </x:c>
    </x:row>
    <x:row r="15">
      <x:c r="A15" s="83" t="n">
        <x:v>2025</x:v>
      </x:c>
      <x:c r="B15" s="83" t="str">
        <x:v>FY2025-INITIAL-SUBMISSION-v1</x:v>
      </x:c>
      <x:c r="C15" s="83" t="str">
        <x:v>PROPOSAL</x:v>
      </x:c>
      <x:c r="D15" s="83" t="str">
        <x:v>INITIAL_SUBMITTED</x:v>
      </x:c>
      <x:c r="E15" s="84" t="n">
        <x:v>45596</x:v>
      </x:c>
      <x:c r="F15" s="83" t="str">
        <x:v>SOURCE</x:v>
      </x:c>
      <x:c r="G15" s="83" t="str">
        <x:v>安全运行部</x:v>
      </x:c>
      <x:c r="H15" s="83" t="str">
        <x:v>业务支持费-技术配置</x:v>
      </x:c>
      <x:c r="I15" s="83" t="str">
        <x:v>技术服务</x:v>
      </x:c>
      <x:c r="J15" s="83" t="str">
        <x:v>中级</x:v>
      </x:c>
      <x:c r="K15" s="83" t="str">
        <x:v>概率安全分析</x:v>
      </x:c>
      <x:c r="L15" s="83" t="str">
        <x:v>PRJ-AQ-概率-2025-002</x:v>
      </x:c>
      <x:c r="M15" s="83" t="n">
        <x:v>3</x:v>
      </x:c>
      <x:c r="N15" s="83" t="str">
        <x:v>供应商1</x:v>
      </x:c>
      <x:c r="O15" s="83" t="n">
        <x:v>24</x:v>
      </x:c>
      <x:c r="P15" s="85" t="n">
        <x:v>19600</x:v>
      </x:c>
      <x:c r="Q15" s="78" t="n">
        <x:v>0.06</x:v>
      </x:c>
      <x:c r="R15" s="81" t="n">
        <x:v>47.04</x:v>
      </x:c>
      <x:c r="S15" s="81" t="n">
        <x:v>44.38</x:v>
      </x:c>
      <x:c r="T15" s="81" t="n">
        <x:v>1.85</x:v>
      </x:c>
      <x:c r="U15" s="86" t="n">
        <x:f>IF(O15=0,0,S15/O15)</x:f>
        <x:v>1.8491666666666668</x:v>
      </x:c>
      <x:c r="V15" s="62" t="str">
        <x:v>CNY</x:v>
      </x:c>
      <x:c r="W15" s="62" t="str">
        <x:v>万元；单价列为元</x:v>
      </x:c>
      <x:c r="X15" s="62" t="str">
        <x:v>2025年预算申报明细汇总.xlsx</x:v>
      </x:c>
      <x:c r="Y15" s="62" t="str">
        <x:v>技术配置</x:v>
      </x:c>
      <x:c r="Z15" s="62" t="n">
        <x:v>15</x:v>
      </x:c>
      <x:c r="AA15" s="62" t="str">
        <x:v>2025|PRJ-AQ-概率-2025-002|供应商1|中级|15</x:v>
      </x:c>
      <x:c r="AB15" s="62" t="str">
        <x:f>IF(ABS(S15-ROUND(R15/(1+Q15),2))&lt;=0.01,"OK","FAIL")</x:f>
        <x:v>OK</x:v>
      </x:c>
    </x:row>
    <x:row r="16">
      <x:c r="A16" s="83" t="n">
        <x:v>2025</x:v>
      </x:c>
      <x:c r="B16" s="83" t="str">
        <x:v>FY2025-INITIAL-SUBMISSION-v1</x:v>
      </x:c>
      <x:c r="C16" s="83" t="str">
        <x:v>PROPOSAL</x:v>
      </x:c>
      <x:c r="D16" s="83" t="str">
        <x:v>INITIAL_SUBMITTED</x:v>
      </x:c>
      <x:c r="E16" s="84" t="n">
        <x:v>45596</x:v>
      </x:c>
      <x:c r="F16" s="83" t="str">
        <x:v>SOURCE</x:v>
      </x:c>
      <x:c r="G16" s="83" t="str">
        <x:v>安全运行部</x:v>
      </x:c>
      <x:c r="H16" s="83" t="str">
        <x:v>业务支持费-技术配置</x:v>
      </x:c>
      <x:c r="I16" s="83" t="str">
        <x:v>技术服务</x:v>
      </x:c>
      <x:c r="J16" s="83" t="str">
        <x:v>中级</x:v>
      </x:c>
      <x:c r="K16" s="83" t="str">
        <x:v>概率安全分析</x:v>
      </x:c>
      <x:c r="L16" s="83" t="str">
        <x:v>PRJ-AQ-概率-2025-003</x:v>
      </x:c>
      <x:c r="M16" s="83" t="n">
        <x:v>3</x:v>
      </x:c>
      <x:c r="N16" s="83" t="str">
        <x:v>供应商1</x:v>
      </x:c>
      <x:c r="O16" s="83" t="n">
        <x:v>24</x:v>
      </x:c>
      <x:c r="P16" s="85" t="n">
        <x:v>18600</x:v>
      </x:c>
      <x:c r="Q16" s="78" t="n">
        <x:v>0.06</x:v>
      </x:c>
      <x:c r="R16" s="81" t="n">
        <x:v>44.64</x:v>
      </x:c>
      <x:c r="S16" s="81" t="n">
        <x:v>42.11</x:v>
      </x:c>
      <x:c r="T16" s="81" t="n">
        <x:v>1.75</x:v>
      </x:c>
      <x:c r="U16" s="86" t="n">
        <x:f>IF(O16=0,0,S16/O16)</x:f>
        <x:v>1.7545833333333334</x:v>
      </x:c>
      <x:c r="V16" s="62" t="str">
        <x:v>CNY</x:v>
      </x:c>
      <x:c r="W16" s="62" t="str">
        <x:v>万元；单价列为元</x:v>
      </x:c>
      <x:c r="X16" s="62" t="str">
        <x:v>2025年预算申报明细汇总.xlsx</x:v>
      </x:c>
      <x:c r="Y16" s="62" t="str">
        <x:v>技术配置</x:v>
      </x:c>
      <x:c r="Z16" s="62" t="n">
        <x:v>16</x:v>
      </x:c>
      <x:c r="AA16" s="62" t="str">
        <x:v>2025|PRJ-AQ-概率-2025-003|供应商1|中级|16</x:v>
      </x:c>
      <x:c r="AB16" s="62" t="str">
        <x:f>IF(ABS(S16-ROUND(R16/(1+Q16),2))&lt;=0.01,"OK","FAIL")</x:f>
        <x:v>OK</x:v>
      </x:c>
    </x:row>
    <x:row r="17">
      <x:c r="A17" s="83" t="n">
        <x:v>2025</x:v>
      </x:c>
      <x:c r="B17" s="83" t="str">
        <x:v>FY2025-INITIAL-SUBMISSION-v1</x:v>
      </x:c>
      <x:c r="C17" s="83" t="str">
        <x:v>PROPOSAL</x:v>
      </x:c>
      <x:c r="D17" s="83" t="str">
        <x:v>INITIAL_SUBMITTED</x:v>
      </x:c>
      <x:c r="E17" s="84" t="n">
        <x:v>45596</x:v>
      </x:c>
      <x:c r="F17" s="83" t="str">
        <x:v>SOURCE</x:v>
      </x:c>
      <x:c r="G17" s="83" t="str">
        <x:v>安全运行部</x:v>
      </x:c>
      <x:c r="H17" s="83" t="str">
        <x:v>业务支持费-技术配置</x:v>
      </x:c>
      <x:c r="I17" s="83" t="str">
        <x:v>技术服务</x:v>
      </x:c>
      <x:c r="J17" s="83" t="str">
        <x:v>初级</x:v>
      </x:c>
      <x:c r="K17" s="83" t="str">
        <x:v>灾害防护</x:v>
      </x:c>
      <x:c r="L17" s="83" t="str">
        <x:v>PRJ-AQ-灾害-2024-001</x:v>
      </x:c>
      <x:c r="M17" s="83" t="n">
        <x:v>2</x:v>
      </x:c>
      <x:c r="N17" s="83" t="str">
        <x:v>供应商2</x:v>
      </x:c>
      <x:c r="O17" s="83" t="n">
        <x:v>12</x:v>
      </x:c>
      <x:c r="P17" s="85" t="n">
        <x:v>11200</x:v>
      </x:c>
      <x:c r="Q17" s="78" t="n">
        <x:v>0.06</x:v>
      </x:c>
      <x:c r="R17" s="81" t="n">
        <x:v>13.44</x:v>
      </x:c>
      <x:c r="S17" s="81" t="n">
        <x:v>12.68</x:v>
      </x:c>
      <x:c r="T17" s="81" t="n">
        <x:v>1.06</x:v>
      </x:c>
      <x:c r="U17" s="86" t="n">
        <x:f>IF(O17=0,0,S17/O17)</x:f>
        <x:v>1.0566666666666666</x:v>
      </x:c>
      <x:c r="V17" s="62" t="str">
        <x:v>CNY</x:v>
      </x:c>
      <x:c r="W17" s="62" t="str">
        <x:v>万元；单价列为元</x:v>
      </x:c>
      <x:c r="X17" s="62" t="str">
        <x:v>2025年预算申报明细汇总.xlsx</x:v>
      </x:c>
      <x:c r="Y17" s="62" t="str">
        <x:v>技术配置</x:v>
      </x:c>
      <x:c r="Z17" s="62" t="n">
        <x:v>17</x:v>
      </x:c>
      <x:c r="AA17" s="62" t="str">
        <x:v>2025|PRJ-AQ-灾害-2024-001|供应商2|初级|17</x:v>
      </x:c>
      <x:c r="AB17" s="62" t="str">
        <x:f>IF(ABS(S17-ROUND(R17/(1+Q17),2))&lt;=0.01,"OK","FAIL")</x:f>
        <x:v>OK</x:v>
      </x:c>
    </x:row>
    <x:row r="18">
      <x:c r="A18" s="83" t="n">
        <x:v>2025</x:v>
      </x:c>
      <x:c r="B18" s="83" t="str">
        <x:v>FY2025-INITIAL-SUBMISSION-v1</x:v>
      </x:c>
      <x:c r="C18" s="83" t="str">
        <x:v>PROPOSAL</x:v>
      </x:c>
      <x:c r="D18" s="83" t="str">
        <x:v>INITIAL_SUBMITTED</x:v>
      </x:c>
      <x:c r="E18" s="84" t="n">
        <x:v>45596</x:v>
      </x:c>
      <x:c r="F18" s="83" t="str">
        <x:v>SOURCE</x:v>
      </x:c>
      <x:c r="G18" s="83" t="str">
        <x:v>安全运行部</x:v>
      </x:c>
      <x:c r="H18" s="83" t="str">
        <x:v>业务支持费-技术配置</x:v>
      </x:c>
      <x:c r="I18" s="83" t="str">
        <x:v>技术服务</x:v>
      </x:c>
      <x:c r="J18" s="83" t="str">
        <x:v>初级</x:v>
      </x:c>
      <x:c r="K18" s="83" t="str">
        <x:v>灾害防护</x:v>
      </x:c>
      <x:c r="L18" s="83" t="str">
        <x:v>PRJ-AQ-灾害-2025-002</x:v>
      </x:c>
      <x:c r="M18" s="83" t="n">
        <x:v>2</x:v>
      </x:c>
      <x:c r="N18" s="83" t="str">
        <x:v>供应商3</x:v>
      </x:c>
      <x:c r="O18" s="83" t="n">
        <x:v>12</x:v>
      </x:c>
      <x:c r="P18" s="85" t="n">
        <x:v>11299</x:v>
      </x:c>
      <x:c r="Q18" s="78" t="n">
        <x:v>0.06</x:v>
      </x:c>
      <x:c r="R18" s="81" t="n">
        <x:v>13.56</x:v>
      </x:c>
      <x:c r="S18" s="81" t="n">
        <x:v>12.79</x:v>
      </x:c>
      <x:c r="T18" s="81" t="n">
        <x:v>1.07</x:v>
      </x:c>
      <x:c r="U18" s="86" t="n">
        <x:f>IF(O18=0,0,S18/O18)</x:f>
        <x:v>1.0658333333333332</x:v>
      </x:c>
      <x:c r="V18" s="62" t="str">
        <x:v>CNY</x:v>
      </x:c>
      <x:c r="W18" s="62" t="str">
        <x:v>万元；单价列为元</x:v>
      </x:c>
      <x:c r="X18" s="62" t="str">
        <x:v>2025年预算申报明细汇总.xlsx</x:v>
      </x:c>
      <x:c r="Y18" s="62" t="str">
        <x:v>技术配置</x:v>
      </x:c>
      <x:c r="Z18" s="62" t="n">
        <x:v>18</x:v>
      </x:c>
      <x:c r="AA18" s="62" t="str">
        <x:v>2025|PRJ-AQ-灾害-2025-002|供应商3|初级|18</x:v>
      </x:c>
      <x:c r="AB18" s="62" t="str">
        <x:f>IF(ABS(S18-ROUND(R18/(1+Q18),2))&lt;=0.01,"OK","FAIL")</x:f>
        <x:v>OK</x:v>
      </x:c>
    </x:row>
    <x:row r="19">
      <x:c r="A19" s="83" t="n">
        <x:v>2025</x:v>
      </x:c>
      <x:c r="B19" s="83" t="str">
        <x:v>FY2025-INITIAL-SUBMISSION-v1</x:v>
      </x:c>
      <x:c r="C19" s="83" t="str">
        <x:v>PROPOSAL</x:v>
      </x:c>
      <x:c r="D19" s="83" t="str">
        <x:v>INITIAL_SUBMITTED</x:v>
      </x:c>
      <x:c r="E19" s="84" t="n">
        <x:v>45596</x:v>
      </x:c>
      <x:c r="F19" s="83" t="str">
        <x:v>SOURCE</x:v>
      </x:c>
      <x:c r="G19" s="83" t="str">
        <x:v>安全运行部</x:v>
      </x:c>
      <x:c r="H19" s="83" t="str">
        <x:v>业务支持费-技术配置</x:v>
      </x:c>
      <x:c r="I19" s="83" t="str">
        <x:v>技术服务</x:v>
      </x:c>
      <x:c r="J19" s="83" t="str">
        <x:v>初级</x:v>
      </x:c>
      <x:c r="K19" s="83" t="str">
        <x:v>灾害防护</x:v>
      </x:c>
      <x:c r="L19" s="83" t="str">
        <x:v>PRJ-AQ-灾害-2025-003</x:v>
      </x:c>
      <x:c r="M19" s="83" t="n">
        <x:v>2</x:v>
      </x:c>
      <x:c r="N19" s="83" t="str">
        <x:v>供应商1</x:v>
      </x:c>
      <x:c r="O19" s="83" t="n">
        <x:v>12</x:v>
      </x:c>
      <x:c r="P19" s="85" t="n">
        <x:v>12200</x:v>
      </x:c>
      <x:c r="Q19" s="78" t="n">
        <x:v>0.06</x:v>
      </x:c>
      <x:c r="R19" s="81" t="n">
        <x:v>14.64</x:v>
      </x:c>
      <x:c r="S19" s="81" t="n">
        <x:v>13.81</x:v>
      </x:c>
      <x:c r="T19" s="81" t="n">
        <x:v>1.15</x:v>
      </x:c>
      <x:c r="U19" s="86" t="n">
        <x:f>IF(O19=0,0,S19/O19)</x:f>
        <x:v>1.1508333333333334</x:v>
      </x:c>
      <x:c r="V19" s="62" t="str">
        <x:v>CNY</x:v>
      </x:c>
      <x:c r="W19" s="62" t="str">
        <x:v>万元；单价列为元</x:v>
      </x:c>
      <x:c r="X19" s="62" t="str">
        <x:v>2025年预算申报明细汇总.xlsx</x:v>
      </x:c>
      <x:c r="Y19" s="62" t="str">
        <x:v>技术配置</x:v>
      </x:c>
      <x:c r="Z19" s="62" t="n">
        <x:v>19</x:v>
      </x:c>
      <x:c r="AA19" s="62" t="str">
        <x:v>2025|PRJ-AQ-灾害-2025-003|供应商1|初级|19</x:v>
      </x:c>
      <x:c r="AB19" s="62" t="str">
        <x:f>IF(ABS(S19-ROUND(R19/(1+Q19),2))&lt;=0.01,"OK","FAIL")</x:f>
        <x:v>OK</x:v>
      </x:c>
    </x:row>
    <x:row r="20">
      <x:c r="A20" s="83" t="n">
        <x:v>2025</x:v>
      </x:c>
      <x:c r="B20" s="83" t="str">
        <x:v>FY2025-INITIAL-SUBMISSION-v1</x:v>
      </x:c>
      <x:c r="C20" s="83" t="str">
        <x:v>PROPOSAL</x:v>
      </x:c>
      <x:c r="D20" s="83" t="str">
        <x:v>INITIAL_SUBMITTED</x:v>
      </x:c>
      <x:c r="E20" s="84" t="n">
        <x:v>45596</x:v>
      </x:c>
      <x:c r="F20" s="83" t="str">
        <x:v>SOURCE</x:v>
      </x:c>
      <x:c r="G20" s="83" t="str">
        <x:v>安全运行部</x:v>
      </x:c>
      <x:c r="H20" s="83" t="str">
        <x:v>业务支持费-技术配置</x:v>
      </x:c>
      <x:c r="I20" s="83" t="str">
        <x:v>技术服务</x:v>
      </x:c>
      <x:c r="J20" s="83" t="str">
        <x:v>中级</x:v>
      </x:c>
      <x:c r="K20" s="83" t="str">
        <x:v>安全评估</x:v>
      </x:c>
      <x:c r="L20" s="83" t="str">
        <x:v>PRJ-AQ-安全-2024-001</x:v>
      </x:c>
      <x:c r="M20" s="83" t="n">
        <x:v>3</x:v>
      </x:c>
      <x:c r="N20" s="83" t="str">
        <x:v>供应商2</x:v>
      </x:c>
      <x:c r="O20" s="83" t="n">
        <x:v>24</x:v>
      </x:c>
      <x:c r="P20" s="85" t="n">
        <x:v>16400</x:v>
      </x:c>
      <x:c r="Q20" s="78" t="n">
        <x:v>0.06</x:v>
      </x:c>
      <x:c r="R20" s="81" t="n">
        <x:v>39.36</x:v>
      </x:c>
      <x:c r="S20" s="81" t="n">
        <x:v>37.13</x:v>
      </x:c>
      <x:c r="T20" s="81" t="n">
        <x:v>1.55</x:v>
      </x:c>
      <x:c r="U20" s="86" t="n">
        <x:f>IF(O20=0,0,S20/O20)</x:f>
        <x:v>1.5470833333333334</x:v>
      </x:c>
      <x:c r="V20" s="62" t="str">
        <x:v>CNY</x:v>
      </x:c>
      <x:c r="W20" s="62" t="str">
        <x:v>万元；单价列为元</x:v>
      </x:c>
      <x:c r="X20" s="62" t="str">
        <x:v>2025年预算申报明细汇总.xlsx</x:v>
      </x:c>
      <x:c r="Y20" s="62" t="str">
        <x:v>技术配置</x:v>
      </x:c>
      <x:c r="Z20" s="62" t="n">
        <x:v>20</x:v>
      </x:c>
      <x:c r="AA20" s="62" t="str">
        <x:v>2025|PRJ-AQ-安全-2024-001|供应商2|中级|20</x:v>
      </x:c>
      <x:c r="AB20" s="62" t="str">
        <x:f>IF(ABS(S20-ROUND(R20/(1+Q20),2))&lt;=0.01,"OK","FAIL")</x:f>
        <x:v>OK</x:v>
      </x:c>
    </x:row>
    <x:row r="21">
      <x:c r="A21" s="83" t="n">
        <x:v>2025</x:v>
      </x:c>
      <x:c r="B21" s="83" t="str">
        <x:v>FY2025-INITIAL-SUBMISSION-v1</x:v>
      </x:c>
      <x:c r="C21" s="83" t="str">
        <x:v>PROPOSAL</x:v>
      </x:c>
      <x:c r="D21" s="83" t="str">
        <x:v>INITIAL_SUBMITTED</x:v>
      </x:c>
      <x:c r="E21" s="84" t="n">
        <x:v>45596</x:v>
      </x:c>
      <x:c r="F21" s="83" t="str">
        <x:v>SOURCE</x:v>
      </x:c>
      <x:c r="G21" s="83" t="str">
        <x:v>安全运行部</x:v>
      </x:c>
      <x:c r="H21" s="83" t="str">
        <x:v>业务支持费-技术配置</x:v>
      </x:c>
      <x:c r="I21" s="83" t="str">
        <x:v>技术服务</x:v>
      </x:c>
      <x:c r="J21" s="83" t="str">
        <x:v>中级</x:v>
      </x:c>
      <x:c r="K21" s="83" t="str">
        <x:v>安全评估</x:v>
      </x:c>
      <x:c r="L21" s="83" t="str">
        <x:v>PRJ-AQ-安全-2025-002</x:v>
      </x:c>
      <x:c r="M21" s="83" t="n">
        <x:v>3</x:v>
      </x:c>
      <x:c r="N21" s="83" t="str">
        <x:v>供应商1</x:v>
      </x:c>
      <x:c r="O21" s="83" t="n">
        <x:v>24</x:v>
      </x:c>
      <x:c r="P21" s="85" t="n">
        <x:v>16400</x:v>
      </x:c>
      <x:c r="Q21" s="78" t="n">
        <x:v>0.06</x:v>
      </x:c>
      <x:c r="R21" s="81" t="n">
        <x:v>39.36</x:v>
      </x:c>
      <x:c r="S21" s="81" t="n">
        <x:v>37.13</x:v>
      </x:c>
      <x:c r="T21" s="81" t="n">
        <x:v>1.55</x:v>
      </x:c>
      <x:c r="U21" s="86" t="n">
        <x:f>IF(O21=0,0,S21/O21)</x:f>
        <x:v>1.5470833333333334</x:v>
      </x:c>
      <x:c r="V21" s="62" t="str">
        <x:v>CNY</x:v>
      </x:c>
      <x:c r="W21" s="62" t="str">
        <x:v>万元；单价列为元</x:v>
      </x:c>
      <x:c r="X21" s="62" t="str">
        <x:v>2025年预算申报明细汇总.xlsx</x:v>
      </x:c>
      <x:c r="Y21" s="62" t="str">
        <x:v>技术配置</x:v>
      </x:c>
      <x:c r="Z21" s="62" t="n">
        <x:v>21</x:v>
      </x:c>
      <x:c r="AA21" s="62" t="str">
        <x:v>2025|PRJ-AQ-安全-2025-002|供应商1|中级|21</x:v>
      </x:c>
      <x:c r="AB21" s="62" t="str">
        <x:f>IF(ABS(S21-ROUND(R21/(1+Q21),2))&lt;=0.01,"OK","FAIL")</x:f>
        <x:v>OK</x:v>
      </x:c>
    </x:row>
    <x:row r="22">
      <x:c r="A22" s="83" t="n">
        <x:v>2025</x:v>
      </x:c>
      <x:c r="B22" s="83" t="str">
        <x:v>FY2025-INITIAL-SUBMISSION-v1</x:v>
      </x:c>
      <x:c r="C22" s="83" t="str">
        <x:v>PROPOSAL</x:v>
      </x:c>
      <x:c r="D22" s="83" t="str">
        <x:v>INITIAL_SUBMITTED</x:v>
      </x:c>
      <x:c r="E22" s="84" t="n">
        <x:v>45596</x:v>
      </x:c>
      <x:c r="F22" s="83" t="str">
        <x:v>SOURCE</x:v>
      </x:c>
      <x:c r="G22" s="83" t="str">
        <x:v>安全运行部</x:v>
      </x:c>
      <x:c r="H22" s="83" t="str">
        <x:v>业务支持费-技术配置</x:v>
      </x:c>
      <x:c r="I22" s="83" t="str">
        <x:v>技术服务</x:v>
      </x:c>
      <x:c r="J22" s="83" t="str">
        <x:v>中级</x:v>
      </x:c>
      <x:c r="K22" s="83" t="str">
        <x:v>安全评估</x:v>
      </x:c>
      <x:c r="L22" s="83" t="str">
        <x:v>PRJ-AQ-安全-2025-003</x:v>
      </x:c>
      <x:c r="M22" s="83" t="n">
        <x:v>3</x:v>
      </x:c>
      <x:c r="N22" s="83" t="str">
        <x:v>供应商1</x:v>
      </x:c>
      <x:c r="O22" s="83" t="n">
        <x:v>24</x:v>
      </x:c>
      <x:c r="P22" s="85" t="n">
        <x:v>17900</x:v>
      </x:c>
      <x:c r="Q22" s="78" t="n">
        <x:v>0.06</x:v>
      </x:c>
      <x:c r="R22" s="81" t="n">
        <x:v>42.96</x:v>
      </x:c>
      <x:c r="S22" s="81" t="n">
        <x:v>40.53</x:v>
      </x:c>
      <x:c r="T22" s="81" t="n">
        <x:v>1.69</x:v>
      </x:c>
      <x:c r="U22" s="86" t="n">
        <x:f>IF(O22=0,0,S22/O22)</x:f>
        <x:v>1.68875</x:v>
      </x:c>
      <x:c r="V22" s="62" t="str">
        <x:v>CNY</x:v>
      </x:c>
      <x:c r="W22" s="62" t="str">
        <x:v>万元；单价列为元</x:v>
      </x:c>
      <x:c r="X22" s="62" t="str">
        <x:v>2025年预算申报明细汇总.xlsx</x:v>
      </x:c>
      <x:c r="Y22" s="62" t="str">
        <x:v>技术配置</x:v>
      </x:c>
      <x:c r="Z22" s="62" t="n">
        <x:v>22</x:v>
      </x:c>
      <x:c r="AA22" s="62" t="str">
        <x:v>2025|PRJ-AQ-安全-2025-003|供应商1|中级|22</x:v>
      </x:c>
      <x:c r="AB22" s="62" t="str">
        <x:f>IF(ABS(S22-ROUND(R22/(1+Q22),2))&lt;=0.01,"OK","FAIL")</x:f>
        <x:v>OK</x:v>
      </x:c>
    </x:row>
    <x:row r="23">
      <x:c r="A23" s="83" t="n">
        <x:v>2026</x:v>
      </x:c>
      <x:c r="B23" s="83" t="str">
        <x:v>FY2026-INITIAL-SUBMISSION-v1</x:v>
      </x:c>
      <x:c r="C23" s="83" t="str">
        <x:v>PROPOSAL</x:v>
      </x:c>
      <x:c r="D23" s="83" t="str">
        <x:v>INITIAL_SUBMITTED</x:v>
      </x:c>
      <x:c r="E23" s="84" t="n">
        <x:v>45961</x:v>
      </x:c>
      <x:c r="F23" s="83" t="str">
        <x:v>SOURCE</x:v>
      </x:c>
      <x:c r="G23" s="83" t="str">
        <x:v>设备管理部</x:v>
      </x:c>
      <x:c r="H23" s="83" t="str">
        <x:v>业务支持费-技术配置</x:v>
      </x:c>
      <x:c r="I23" s="83" t="str">
        <x:v>技术服务</x:v>
      </x:c>
      <x:c r="J23" s="83" t="str">
        <x:v>初级</x:v>
      </x:c>
      <x:c r="K23" s="83" t="str">
        <x:v>设备维护</x:v>
      </x:c>
      <x:c r="L23" s="83" t="str">
        <x:v>PRJ-SB-设备-2024-001</x:v>
      </x:c>
      <x:c r="M23" s="83" t="n">
        <x:v>2</x:v>
      </x:c>
      <x:c r="N23" s="83" t="str">
        <x:v>供应商1</x:v>
      </x:c>
      <x:c r="O23" s="83" t="n">
        <x:v>12</x:v>
      </x:c>
      <x:c r="P23" s="85" t="n">
        <x:v>11200</x:v>
      </x:c>
      <x:c r="Q23" s="78" t="n">
        <x:v>0.06</x:v>
      </x:c>
      <x:c r="R23" s="81" t="n">
        <x:v>13.44</x:v>
      </x:c>
      <x:c r="S23" s="81" t="n">
        <x:v>12.68</x:v>
      </x:c>
      <x:c r="T23" s="81" t="n">
        <x:v>1.06</x:v>
      </x:c>
      <x:c r="U23" s="86" t="n">
        <x:f>IF(O23=0,0,S23/O23)</x:f>
        <x:v>1.0566666666666666</x:v>
      </x:c>
      <x:c r="V23" s="62" t="str">
        <x:v>CNY</x:v>
      </x:c>
      <x:c r="W23" s="62" t="str">
        <x:v>万元；单价列为元</x:v>
      </x:c>
      <x:c r="X23" s="62" t="str">
        <x:v>2026年预算申报明细汇总.xlsx</x:v>
      </x:c>
      <x:c r="Y23" s="62" t="str">
        <x:v>技术配置</x:v>
      </x:c>
      <x:c r="Z23" s="62" t="n">
        <x:v>2</x:v>
      </x:c>
      <x:c r="AA23" s="62" t="str">
        <x:v>2026|PRJ-SB-设备-2024-001|供应商1|初级|2</x:v>
      </x:c>
      <x:c r="AB23" s="62" t="str">
        <x:f>IF(ABS(S23-ROUND(R23/(1+Q23),2))&lt;=0.01,"OK","FAIL")</x:f>
        <x:v>OK</x:v>
      </x:c>
    </x:row>
    <x:row r="24">
      <x:c r="A24" s="83" t="n">
        <x:v>2026</x:v>
      </x:c>
      <x:c r="B24" s="83" t="str">
        <x:v>FY2026-INITIAL-SUBMISSION-v1</x:v>
      </x:c>
      <x:c r="C24" s="83" t="str">
        <x:v>PROPOSAL</x:v>
      </x:c>
      <x:c r="D24" s="83" t="str">
        <x:v>INITIAL_SUBMITTED</x:v>
      </x:c>
      <x:c r="E24" s="84" t="n">
        <x:v>45961</x:v>
      </x:c>
      <x:c r="F24" s="83" t="str">
        <x:v>SOURCE</x:v>
      </x:c>
      <x:c r="G24" s="83" t="str">
        <x:v>设备管理部</x:v>
      </x:c>
      <x:c r="H24" s="83" t="str">
        <x:v>业务支持费-技术配置</x:v>
      </x:c>
      <x:c r="I24" s="83" t="str">
        <x:v>技术服务</x:v>
      </x:c>
      <x:c r="J24" s="83" t="str">
        <x:v>初级</x:v>
      </x:c>
      <x:c r="K24" s="83" t="str">
        <x:v>设备维护</x:v>
      </x:c>
      <x:c r="L24" s="83" t="str">
        <x:v>PRJ-SB-设备-2025-002</x:v>
      </x:c>
      <x:c r="M24" s="83" t="n">
        <x:v>2</x:v>
      </x:c>
      <x:c r="N24" s="83" t="str">
        <x:v>供应商2</x:v>
      </x:c>
      <x:c r="O24" s="83" t="n">
        <x:v>12</x:v>
      </x:c>
      <x:c r="P24" s="85" t="n">
        <x:v>11000</x:v>
      </x:c>
      <x:c r="Q24" s="78" t="n">
        <x:v>0.06</x:v>
      </x:c>
      <x:c r="R24" s="81" t="n">
        <x:v>13.2</x:v>
      </x:c>
      <x:c r="S24" s="81" t="n">
        <x:v>12.45</x:v>
      </x:c>
      <x:c r="T24" s="81" t="n">
        <x:v>1.04</x:v>
      </x:c>
      <x:c r="U24" s="86" t="n">
        <x:f>IF(O24=0,0,S24/O24)</x:f>
        <x:v>1.0374999999999999</x:v>
      </x:c>
      <x:c r="V24" s="62" t="str">
        <x:v>CNY</x:v>
      </x:c>
      <x:c r="W24" s="62" t="str">
        <x:v>万元；单价列为元</x:v>
      </x:c>
      <x:c r="X24" s="62" t="str">
        <x:v>2026年预算申报明细汇总.xlsx</x:v>
      </x:c>
      <x:c r="Y24" s="62" t="str">
        <x:v>技术配置</x:v>
      </x:c>
      <x:c r="Z24" s="62" t="n">
        <x:v>3</x:v>
      </x:c>
      <x:c r="AA24" s="62" t="str">
        <x:v>2026|PRJ-SB-设备-2025-002|供应商2|初级|3</x:v>
      </x:c>
      <x:c r="AB24" s="62" t="str">
        <x:f>IF(ABS(S24-ROUND(R24/(1+Q24),2))&lt;=0.01,"OK","FAIL")</x:f>
        <x:v>OK</x:v>
      </x:c>
    </x:row>
    <x:row r="25">
      <x:c r="A25" s="83" t="n">
        <x:v>2026</x:v>
      </x:c>
      <x:c r="B25" s="83" t="str">
        <x:v>FY2026-INITIAL-SUBMISSION-v1</x:v>
      </x:c>
      <x:c r="C25" s="83" t="str">
        <x:v>PROPOSAL</x:v>
      </x:c>
      <x:c r="D25" s="83" t="str">
        <x:v>INITIAL_SUBMITTED</x:v>
      </x:c>
      <x:c r="E25" s="84" t="n">
        <x:v>45961</x:v>
      </x:c>
      <x:c r="F25" s="83" t="str">
        <x:v>SOURCE</x:v>
      </x:c>
      <x:c r="G25" s="83" t="str">
        <x:v>设备管理部</x:v>
      </x:c>
      <x:c r="H25" s="83" t="str">
        <x:v>业务支持费-技术配置</x:v>
      </x:c>
      <x:c r="I25" s="83" t="str">
        <x:v>技术服务</x:v>
      </x:c>
      <x:c r="J25" s="83" t="str">
        <x:v>初级</x:v>
      </x:c>
      <x:c r="K25" s="83" t="str">
        <x:v>设备维护</x:v>
      </x:c>
      <x:c r="L25" s="83" t="str">
        <x:v>PRJ-SB-设备-2025-003</x:v>
      </x:c>
      <x:c r="M25" s="83" t="n">
        <x:v>2</x:v>
      </x:c>
      <x:c r="N25" s="83" t="str">
        <x:v>供应商3</x:v>
      </x:c>
      <x:c r="O25" s="83" t="n">
        <x:v>12</x:v>
      </x:c>
      <x:c r="P25" s="85" t="n">
        <x:v>11000</x:v>
      </x:c>
      <x:c r="Q25" s="78" t="n">
        <x:v>0.06</x:v>
      </x:c>
      <x:c r="R25" s="81" t="n">
        <x:v>13.2</x:v>
      </x:c>
      <x:c r="S25" s="81" t="n">
        <x:v>12.45</x:v>
      </x:c>
      <x:c r="T25" s="81" t="n">
        <x:v>1.04</x:v>
      </x:c>
      <x:c r="U25" s="86" t="n">
        <x:f>IF(O25=0,0,S25/O25)</x:f>
        <x:v>1.0374999999999999</x:v>
      </x:c>
      <x:c r="V25" s="62" t="str">
        <x:v>CNY</x:v>
      </x:c>
      <x:c r="W25" s="62" t="str">
        <x:v>万元；单价列为元</x:v>
      </x:c>
      <x:c r="X25" s="62" t="str">
        <x:v>2026年预算申报明细汇总.xlsx</x:v>
      </x:c>
      <x:c r="Y25" s="62" t="str">
        <x:v>技术配置</x:v>
      </x:c>
      <x:c r="Z25" s="62" t="n">
        <x:v>4</x:v>
      </x:c>
      <x:c r="AA25" s="62" t="str">
        <x:v>2026|PRJ-SB-设备-2025-003|供应商3|初级|4</x:v>
      </x:c>
      <x:c r="AB25" s="62" t="str">
        <x:f>IF(ABS(S25-ROUND(R25/(1+Q25),2))&lt;=0.01,"OK","FAIL")</x:f>
        <x:v>OK</x:v>
      </x:c>
    </x:row>
    <x:row r="26">
      <x:c r="A26" s="83" t="n">
        <x:v>2026</x:v>
      </x:c>
      <x:c r="B26" s="83" t="str">
        <x:v>FY2026-INITIAL-SUBMISSION-v1</x:v>
      </x:c>
      <x:c r="C26" s="83" t="str">
        <x:v>PROPOSAL</x:v>
      </x:c>
      <x:c r="D26" s="83" t="str">
        <x:v>INITIAL_SUBMITTED</x:v>
      </x:c>
      <x:c r="E26" s="84" t="n">
        <x:v>45961</x:v>
      </x:c>
      <x:c r="F26" s="83" t="str">
        <x:v>SOURCE</x:v>
      </x:c>
      <x:c r="G26" s="83" t="str">
        <x:v>技术部</x:v>
      </x:c>
      <x:c r="H26" s="83" t="str">
        <x:v>业务支持费-技术配置</x:v>
      </x:c>
      <x:c r="I26" s="83" t="str">
        <x:v>技术服务</x:v>
      </x:c>
      <x:c r="J26" s="83" t="str">
        <x:v>专家</x:v>
      </x:c>
      <x:c r="K26" s="83" t="str">
        <x:v>热能动力研究</x:v>
      </x:c>
      <x:c r="L26" s="83" t="str">
        <x:v>PRJ-JS-热能-2024-001</x:v>
      </x:c>
      <x:c r="M26" s="83" t="n">
        <x:v>5</x:v>
      </x:c>
      <x:c r="N26" s="83" t="str">
        <x:v>供应商2</x:v>
      </x:c>
      <x:c r="O26" s="83" t="n">
        <x:v>36</x:v>
      </x:c>
      <x:c r="P26" s="85" t="n">
        <x:v>31100</x:v>
      </x:c>
      <x:c r="Q26" s="78" t="n">
        <x:v>0.06</x:v>
      </x:c>
      <x:c r="R26" s="81" t="n">
        <x:v>111.96</x:v>
      </x:c>
      <x:c r="S26" s="81" t="n">
        <x:v>105.62</x:v>
      </x:c>
      <x:c r="T26" s="81" t="n">
        <x:v>2.93</x:v>
      </x:c>
      <x:c r="U26" s="86" t="n">
        <x:f>IF(O26=0,0,S26/O26)</x:f>
        <x:v>2.933888888888889</x:v>
      </x:c>
      <x:c r="V26" s="62" t="str">
        <x:v>CNY</x:v>
      </x:c>
      <x:c r="W26" s="62" t="str">
        <x:v>万元；单价列为元</x:v>
      </x:c>
      <x:c r="X26" s="62" t="str">
        <x:v>2026年预算申报明细汇总.xlsx</x:v>
      </x:c>
      <x:c r="Y26" s="62" t="str">
        <x:v>技术配置</x:v>
      </x:c>
      <x:c r="Z26" s="62" t="n">
        <x:v>5</x:v>
      </x:c>
      <x:c r="AA26" s="62" t="str">
        <x:v>2026|PRJ-JS-热能-2024-001|供应商2|专家|5</x:v>
      </x:c>
      <x:c r="AB26" s="62" t="str">
        <x:f>IF(ABS(S26-ROUND(R26/(1+Q26),2))&lt;=0.01,"OK","FAIL")</x:f>
        <x:v>OK</x:v>
      </x:c>
    </x:row>
    <x:row r="27">
      <x:c r="A27" s="83" t="n">
        <x:v>2026</x:v>
      </x:c>
      <x:c r="B27" s="83" t="str">
        <x:v>FY2026-INITIAL-SUBMISSION-v1</x:v>
      </x:c>
      <x:c r="C27" s="83" t="str">
        <x:v>PROPOSAL</x:v>
      </x:c>
      <x:c r="D27" s="83" t="str">
        <x:v>INITIAL_SUBMITTED</x:v>
      </x:c>
      <x:c r="E27" s="84" t="n">
        <x:v>45961</x:v>
      </x:c>
      <x:c r="F27" s="83" t="str">
        <x:v>SOURCE</x:v>
      </x:c>
      <x:c r="G27" s="83" t="str">
        <x:v>技术部</x:v>
      </x:c>
      <x:c r="H27" s="83" t="str">
        <x:v>业务支持费-技术配置</x:v>
      </x:c>
      <x:c r="I27" s="83" t="str">
        <x:v>技术服务</x:v>
      </x:c>
      <x:c r="J27" s="83" t="str">
        <x:v>专家</x:v>
      </x:c>
      <x:c r="K27" s="83" t="str">
        <x:v>热能动力研究</x:v>
      </x:c>
      <x:c r="L27" s="83" t="str">
        <x:v>PRJ-JS-热能-2025-002</x:v>
      </x:c>
      <x:c r="M27" s="83" t="n">
        <x:v>5</x:v>
      </x:c>
      <x:c r="N27" s="83" t="str">
        <x:v>供应商1</x:v>
      </x:c>
      <x:c r="O27" s="83" t="n">
        <x:v>36</x:v>
      </x:c>
      <x:c r="P27" s="85" t="n">
        <x:v>29400</x:v>
      </x:c>
      <x:c r="Q27" s="78" t="n">
        <x:v>0.06</x:v>
      </x:c>
      <x:c r="R27" s="81" t="n">
        <x:v>105.84</x:v>
      </x:c>
      <x:c r="S27" s="81" t="n">
        <x:v>99.85</x:v>
      </x:c>
      <x:c r="T27" s="81" t="n">
        <x:v>2.77</x:v>
      </x:c>
      <x:c r="U27" s="86" t="n">
        <x:f>IF(O27=0,0,S27/O27)</x:f>
        <x:v>2.773611111111111</x:v>
      </x:c>
      <x:c r="V27" s="62" t="str">
        <x:v>CNY</x:v>
      </x:c>
      <x:c r="W27" s="62" t="str">
        <x:v>万元；单价列为元</x:v>
      </x:c>
      <x:c r="X27" s="62" t="str">
        <x:v>2026年预算申报明细汇总.xlsx</x:v>
      </x:c>
      <x:c r="Y27" s="62" t="str">
        <x:v>技术配置</x:v>
      </x:c>
      <x:c r="Z27" s="62" t="n">
        <x:v>6</x:v>
      </x:c>
      <x:c r="AA27" s="62" t="str">
        <x:v>2026|PRJ-JS-热能-2025-002|供应商1|专家|6</x:v>
      </x:c>
      <x:c r="AB27" s="62" t="str">
        <x:f>IF(ABS(S27-ROUND(R27/(1+Q27),2))&lt;=0.01,"OK","FAIL")</x:f>
        <x:v>OK</x:v>
      </x:c>
    </x:row>
    <x:row r="28">
      <x:c r="A28" s="83" t="n">
        <x:v>2026</x:v>
      </x:c>
      <x:c r="B28" s="83" t="str">
        <x:v>FY2026-INITIAL-SUBMISSION-v1</x:v>
      </x:c>
      <x:c r="C28" s="83" t="str">
        <x:v>PROPOSAL</x:v>
      </x:c>
      <x:c r="D28" s="83" t="str">
        <x:v>INITIAL_SUBMITTED</x:v>
      </x:c>
      <x:c r="E28" s="84" t="n">
        <x:v>45961</x:v>
      </x:c>
      <x:c r="F28" s="83" t="str">
        <x:v>SOURCE</x:v>
      </x:c>
      <x:c r="G28" s="83" t="str">
        <x:v>技术部</x:v>
      </x:c>
      <x:c r="H28" s="83" t="str">
        <x:v>业务支持费-技术配置</x:v>
      </x:c>
      <x:c r="I28" s="83" t="str">
        <x:v>技术服务</x:v>
      </x:c>
      <x:c r="J28" s="83" t="str">
        <x:v>专家</x:v>
      </x:c>
      <x:c r="K28" s="83" t="str">
        <x:v>热能动力研究</x:v>
      </x:c>
      <x:c r="L28" s="83" t="str">
        <x:v>PRJ-JS-热能-2025-003</x:v>
      </x:c>
      <x:c r="M28" s="83" t="n">
        <x:v>5</x:v>
      </x:c>
      <x:c r="N28" s="83" t="str">
        <x:v>供应商1</x:v>
      </x:c>
      <x:c r="O28" s="83" t="n">
        <x:v>36</x:v>
      </x:c>
      <x:c r="P28" s="85" t="n">
        <x:v>28500</x:v>
      </x:c>
      <x:c r="Q28" s="78" t="n">
        <x:v>0.06</x:v>
      </x:c>
      <x:c r="R28" s="81" t="n">
        <x:v>102.6</x:v>
      </x:c>
      <x:c r="S28" s="81" t="n">
        <x:v>96.79</x:v>
      </x:c>
      <x:c r="T28" s="81" t="n">
        <x:v>2.69</x:v>
      </x:c>
      <x:c r="U28" s="86" t="n">
        <x:f>IF(O28=0,0,S28/O28)</x:f>
        <x:v>2.6886111111111113</x:v>
      </x:c>
      <x:c r="V28" s="62" t="str">
        <x:v>CNY</x:v>
      </x:c>
      <x:c r="W28" s="62" t="str">
        <x:v>万元；单价列为元</x:v>
      </x:c>
      <x:c r="X28" s="62" t="str">
        <x:v>2026年预算申报明细汇总.xlsx</x:v>
      </x:c>
      <x:c r="Y28" s="62" t="str">
        <x:v>技术配置</x:v>
      </x:c>
      <x:c r="Z28" s="62" t="n">
        <x:v>7</x:v>
      </x:c>
      <x:c r="AA28" s="62" t="str">
        <x:v>2026|PRJ-JS-热能-2025-003|供应商1|专家|7</x:v>
      </x:c>
      <x:c r="AB28" s="62" t="str">
        <x:f>IF(ABS(S28-ROUND(R28/(1+Q28),2))&lt;=0.01,"OK","FAIL")</x:f>
        <x:v>OK</x:v>
      </x:c>
    </x:row>
    <x:row r="29">
      <x:c r="A29" s="83" t="n">
        <x:v>2026</x:v>
      </x:c>
      <x:c r="B29" s="83" t="str">
        <x:v>FY2026-INITIAL-SUBMISSION-v1</x:v>
      </x:c>
      <x:c r="C29" s="83" t="str">
        <x:v>PROPOSAL</x:v>
      </x:c>
      <x:c r="D29" s="83" t="str">
        <x:v>INITIAL_SUBMITTED</x:v>
      </x:c>
      <x:c r="E29" s="84" t="n">
        <x:v>45961</x:v>
      </x:c>
      <x:c r="F29" s="83" t="str">
        <x:v>SOURCE</x:v>
      </x:c>
      <x:c r="G29" s="83" t="str">
        <x:v>技术部</x:v>
      </x:c>
      <x:c r="H29" s="83" t="str">
        <x:v>业务支持费-技术配置</x:v>
      </x:c>
      <x:c r="I29" s="83" t="str">
        <x:v>技术服务</x:v>
      </x:c>
      <x:c r="J29" s="83" t="str">
        <x:v>高级</x:v>
      </x:c>
      <x:c r="K29" s="83" t="str">
        <x:v>经验反馈改进</x:v>
      </x:c>
      <x:c r="L29" s="83" t="str">
        <x:v>PRJ-JS-经验-2024-001</x:v>
      </x:c>
      <x:c r="M29" s="83" t="n">
        <x:v>4</x:v>
      </x:c>
      <x:c r="N29" s="83" t="str">
        <x:v>供应商3</x:v>
      </x:c>
      <x:c r="O29" s="83" t="n">
        <x:v>30</x:v>
      </x:c>
      <x:c r="P29" s="85" t="n">
        <x:v>20000</x:v>
      </x:c>
      <x:c r="Q29" s="78" t="n">
        <x:v>0.06</x:v>
      </x:c>
      <x:c r="R29" s="81" t="n">
        <x:v>60</x:v>
      </x:c>
      <x:c r="S29" s="81" t="n">
        <x:v>56.6</x:v>
      </x:c>
      <x:c r="T29" s="81" t="n">
        <x:v>1.89</x:v>
      </x:c>
      <x:c r="U29" s="86" t="n">
        <x:f>IF(O29=0,0,S29/O29)</x:f>
        <x:v>1.8866666666666667</x:v>
      </x:c>
      <x:c r="V29" s="62" t="str">
        <x:v>CNY</x:v>
      </x:c>
      <x:c r="W29" s="62" t="str">
        <x:v>万元；单价列为元</x:v>
      </x:c>
      <x:c r="X29" s="62" t="str">
        <x:v>2026年预算申报明细汇总.xlsx</x:v>
      </x:c>
      <x:c r="Y29" s="62" t="str">
        <x:v>技术配置</x:v>
      </x:c>
      <x:c r="Z29" s="62" t="n">
        <x:v>8</x:v>
      </x:c>
      <x:c r="AA29" s="62" t="str">
        <x:v>2026|PRJ-JS-经验-2024-001|供应商3|高级|8</x:v>
      </x:c>
      <x:c r="AB29" s="62" t="str">
        <x:f>IF(ABS(S29-ROUND(R29/(1+Q29),2))&lt;=0.01,"OK","FAIL")</x:f>
        <x:v>OK</x:v>
      </x:c>
    </x:row>
    <x:row r="30">
      <x:c r="A30" s="83" t="n">
        <x:v>2026</x:v>
      </x:c>
      <x:c r="B30" s="83" t="str">
        <x:v>FY2026-INITIAL-SUBMISSION-v1</x:v>
      </x:c>
      <x:c r="C30" s="83" t="str">
        <x:v>PROPOSAL</x:v>
      </x:c>
      <x:c r="D30" s="83" t="str">
        <x:v>INITIAL_SUBMITTED</x:v>
      </x:c>
      <x:c r="E30" s="84" t="n">
        <x:v>45961</x:v>
      </x:c>
      <x:c r="F30" s="83" t="str">
        <x:v>SOURCE</x:v>
      </x:c>
      <x:c r="G30" s="83" t="str">
        <x:v>技术部</x:v>
      </x:c>
      <x:c r="H30" s="83" t="str">
        <x:v>业务支持费-技术配置</x:v>
      </x:c>
      <x:c r="I30" s="83" t="str">
        <x:v>技术服务</x:v>
      </x:c>
      <x:c r="J30" s="83" t="str">
        <x:v>高级</x:v>
      </x:c>
      <x:c r="K30" s="83" t="str">
        <x:v>经验反馈改进</x:v>
      </x:c>
      <x:c r="L30" s="83" t="str">
        <x:v>PRJ-JS-经验-2025-002</x:v>
      </x:c>
      <x:c r="M30" s="83" t="n">
        <x:v>4</x:v>
      </x:c>
      <x:c r="N30" s="83" t="str">
        <x:v>供应商1</x:v>
      </x:c>
      <x:c r="O30" s="83" t="n">
        <x:v>30</x:v>
      </x:c>
      <x:c r="P30" s="85" t="n">
        <x:v>21600</x:v>
      </x:c>
      <x:c r="Q30" s="78" t="n">
        <x:v>0.06</x:v>
      </x:c>
      <x:c r="R30" s="81" t="n">
        <x:v>64.8</x:v>
      </x:c>
      <x:c r="S30" s="81" t="n">
        <x:v>61.13</x:v>
      </x:c>
      <x:c r="T30" s="81" t="n">
        <x:v>2.04</x:v>
      </x:c>
      <x:c r="U30" s="86" t="n">
        <x:f>IF(O30=0,0,S30/O30)</x:f>
        <x:v>2.037666666666667</x:v>
      </x:c>
      <x:c r="V30" s="62" t="str">
        <x:v>CNY</x:v>
      </x:c>
      <x:c r="W30" s="62" t="str">
        <x:v>万元；单价列为元</x:v>
      </x:c>
      <x:c r="X30" s="62" t="str">
        <x:v>2026年预算申报明细汇总.xlsx</x:v>
      </x:c>
      <x:c r="Y30" s="62" t="str">
        <x:v>技术配置</x:v>
      </x:c>
      <x:c r="Z30" s="62" t="n">
        <x:v>9</x:v>
      </x:c>
      <x:c r="AA30" s="62" t="str">
        <x:v>2026|PRJ-JS-经验-2025-002|供应商1|高级|9</x:v>
      </x:c>
      <x:c r="AB30" s="62" t="str">
        <x:f>IF(ABS(S30-ROUND(R30/(1+Q30),2))&lt;=0.01,"OK","FAIL")</x:f>
        <x:v>OK</x:v>
      </x:c>
    </x:row>
    <x:row r="31">
      <x:c r="A31" s="83" t="n">
        <x:v>2026</x:v>
      </x:c>
      <x:c r="B31" s="83" t="str">
        <x:v>FY2026-INITIAL-SUBMISSION-v1</x:v>
      </x:c>
      <x:c r="C31" s="83" t="str">
        <x:v>PROPOSAL</x:v>
      </x:c>
      <x:c r="D31" s="83" t="str">
        <x:v>INITIAL_SUBMITTED</x:v>
      </x:c>
      <x:c r="E31" s="84" t="n">
        <x:v>45961</x:v>
      </x:c>
      <x:c r="F31" s="83" t="str">
        <x:v>SOURCE</x:v>
      </x:c>
      <x:c r="G31" s="83" t="str">
        <x:v>技术部</x:v>
      </x:c>
      <x:c r="H31" s="83" t="str">
        <x:v>业务支持费-技术配置</x:v>
      </x:c>
      <x:c r="I31" s="83" t="str">
        <x:v>技术服务</x:v>
      </x:c>
      <x:c r="J31" s="83" t="str">
        <x:v>高级</x:v>
      </x:c>
      <x:c r="K31" s="83" t="str">
        <x:v>经验反馈改进</x:v>
      </x:c>
      <x:c r="L31" s="83" t="str">
        <x:v>PRJ-JS-经验-2025-003</x:v>
      </x:c>
      <x:c r="M31" s="83" t="n">
        <x:v>4</x:v>
      </x:c>
      <x:c r="N31" s="83" t="str">
        <x:v>供应商2</x:v>
      </x:c>
      <x:c r="O31" s="83" t="n">
        <x:v>30</x:v>
      </x:c>
      <x:c r="P31" s="85" t="n">
        <x:v>22300</x:v>
      </x:c>
      <x:c r="Q31" s="78" t="n">
        <x:v>0.06</x:v>
      </x:c>
      <x:c r="R31" s="81" t="n">
        <x:v>66.9</x:v>
      </x:c>
      <x:c r="S31" s="81" t="n">
        <x:v>63.11</x:v>
      </x:c>
      <x:c r="T31" s="81" t="n">
        <x:v>2.1</x:v>
      </x:c>
      <x:c r="U31" s="86" t="n">
        <x:f>IF(O31=0,0,S31/O31)</x:f>
        <x:v>2.103666666666667</x:v>
      </x:c>
      <x:c r="V31" s="62" t="str">
        <x:v>CNY</x:v>
      </x:c>
      <x:c r="W31" s="62" t="str">
        <x:v>万元；单价列为元</x:v>
      </x:c>
      <x:c r="X31" s="62" t="str">
        <x:v>2026年预算申报明细汇总.xlsx</x:v>
      </x:c>
      <x:c r="Y31" s="62" t="str">
        <x:v>技术配置</x:v>
      </x:c>
      <x:c r="Z31" s="62" t="n">
        <x:v>10</x:v>
      </x:c>
      <x:c r="AA31" s="62" t="str">
        <x:v>2026|PRJ-JS-经验-2025-003|供应商2|高级|10</x:v>
      </x:c>
      <x:c r="AB31" s="62" t="str">
        <x:f>IF(ABS(S31-ROUND(R31/(1+Q31),2))&lt;=0.01,"OK","FAIL")</x:f>
        <x:v>OK</x:v>
      </x:c>
    </x:row>
    <x:row r="32">
      <x:c r="A32" s="83" t="n">
        <x:v>2026</x:v>
      </x:c>
      <x:c r="B32" s="83" t="str">
        <x:v>FY2026-INITIAL-SUBMISSION-v1</x:v>
      </x:c>
      <x:c r="C32" s="83" t="str">
        <x:v>PROPOSAL</x:v>
      </x:c>
      <x:c r="D32" s="83" t="str">
        <x:v>INITIAL_SUBMITTED</x:v>
      </x:c>
      <x:c r="E32" s="84" t="n">
        <x:v>45961</x:v>
      </x:c>
      <x:c r="F32" s="83" t="str">
        <x:v>SOURCE</x:v>
      </x:c>
      <x:c r="G32" s="83" t="str">
        <x:v>技术部</x:v>
      </x:c>
      <x:c r="H32" s="83" t="str">
        <x:v>业务支持费-技术配置</x:v>
      </x:c>
      <x:c r="I32" s="83" t="str">
        <x:v>技术服务</x:v>
      </x:c>
      <x:c r="J32" s="83" t="str">
        <x:v>专家</x:v>
      </x:c>
      <x:c r="K32" s="83" t="str">
        <x:v>新技术应用</x:v>
      </x:c>
      <x:c r="L32" s="83" t="str">
        <x:v>PRJ-JS-新技-2024-001</x:v>
      </x:c>
      <x:c r="M32" s="83" t="n">
        <x:v>5</x:v>
      </x:c>
      <x:c r="N32" s="83" t="str">
        <x:v>供应商2</x:v>
      </x:c>
      <x:c r="O32" s="83" t="n">
        <x:v>36</x:v>
      </x:c>
      <x:c r="P32" s="85" t="n">
        <x:v>32599</x:v>
      </x:c>
      <x:c r="Q32" s="78" t="n">
        <x:v>0.06</x:v>
      </x:c>
      <x:c r="R32" s="81" t="n">
        <x:v>117.36</x:v>
      </x:c>
      <x:c r="S32" s="81" t="n">
        <x:v>110.72</x:v>
      </x:c>
      <x:c r="T32" s="81" t="n">
        <x:v>3.08</x:v>
      </x:c>
      <x:c r="U32" s="86" t="n">
        <x:f>IF(O32=0,0,S32/O32)</x:f>
        <x:v>3.0755555555555554</x:v>
      </x:c>
      <x:c r="V32" s="62" t="str">
        <x:v>CNY</x:v>
      </x:c>
      <x:c r="W32" s="62" t="str">
        <x:v>万元；单价列为元</x:v>
      </x:c>
      <x:c r="X32" s="62" t="str">
        <x:v>2026年预算申报明细汇总.xlsx</x:v>
      </x:c>
      <x:c r="Y32" s="62" t="str">
        <x:v>技术配置</x:v>
      </x:c>
      <x:c r="Z32" s="62" t="n">
        <x:v>11</x:v>
      </x:c>
      <x:c r="AA32" s="62" t="str">
        <x:v>2026|PRJ-JS-新技-2024-001|供应商2|专家|11</x:v>
      </x:c>
      <x:c r="AB32" s="62" t="str">
        <x:f>IF(ABS(S32-ROUND(R32/(1+Q32),2))&lt;=0.01,"OK","FAIL")</x:f>
        <x:v>OK</x:v>
      </x:c>
    </x:row>
    <x:row r="33">
      <x:c r="A33" s="83" t="n">
        <x:v>2026</x:v>
      </x:c>
      <x:c r="B33" s="83" t="str">
        <x:v>FY2026-INITIAL-SUBMISSION-v1</x:v>
      </x:c>
      <x:c r="C33" s="83" t="str">
        <x:v>PROPOSAL</x:v>
      </x:c>
      <x:c r="D33" s="83" t="str">
        <x:v>INITIAL_SUBMITTED</x:v>
      </x:c>
      <x:c r="E33" s="84" t="n">
        <x:v>45961</x:v>
      </x:c>
      <x:c r="F33" s="83" t="str">
        <x:v>SOURCE</x:v>
      </x:c>
      <x:c r="G33" s="83" t="str">
        <x:v>技术部</x:v>
      </x:c>
      <x:c r="H33" s="83" t="str">
        <x:v>业务支持费-技术配置</x:v>
      </x:c>
      <x:c r="I33" s="83" t="str">
        <x:v>技术服务</x:v>
      </x:c>
      <x:c r="J33" s="83" t="str">
        <x:v>专家</x:v>
      </x:c>
      <x:c r="K33" s="83" t="str">
        <x:v>新技术应用</x:v>
      </x:c>
      <x:c r="L33" s="83" t="str">
        <x:v>PRJ-JS-新技-2025-002</x:v>
      </x:c>
      <x:c r="M33" s="83" t="n">
        <x:v>5</x:v>
      </x:c>
      <x:c r="N33" s="83" t="str">
        <x:v>供应商2</x:v>
      </x:c>
      <x:c r="O33" s="83" t="n">
        <x:v>36</x:v>
      </x:c>
      <x:c r="P33" s="85" t="n">
        <x:v>31000</x:v>
      </x:c>
      <x:c r="Q33" s="78" t="n">
        <x:v>0.06</x:v>
      </x:c>
      <x:c r="R33" s="81" t="n">
        <x:v>111.6</x:v>
      </x:c>
      <x:c r="S33" s="81" t="n">
        <x:v>105.28</x:v>
      </x:c>
      <x:c r="T33" s="81" t="n">
        <x:v>2.92</x:v>
      </x:c>
      <x:c r="U33" s="86" t="n">
        <x:f>IF(O33=0,0,S33/O33)</x:f>
        <x:v>2.9244444444444446</x:v>
      </x:c>
      <x:c r="V33" s="62" t="str">
        <x:v>CNY</x:v>
      </x:c>
      <x:c r="W33" s="62" t="str">
        <x:v>万元；单价列为元</x:v>
      </x:c>
      <x:c r="X33" s="62" t="str">
        <x:v>2026年预算申报明细汇总.xlsx</x:v>
      </x:c>
      <x:c r="Y33" s="62" t="str">
        <x:v>技术配置</x:v>
      </x:c>
      <x:c r="Z33" s="62" t="n">
        <x:v>12</x:v>
      </x:c>
      <x:c r="AA33" s="62" t="str">
        <x:v>2026|PRJ-JS-新技-2025-002|供应商2|专家|12</x:v>
      </x:c>
      <x:c r="AB33" s="62" t="str">
        <x:f>IF(ABS(S33-ROUND(R33/(1+Q33),2))&lt;=0.01,"OK","FAIL")</x:f>
        <x:v>OK</x:v>
      </x:c>
    </x:row>
    <x:row r="34">
      <x:c r="A34" s="83" t="n">
        <x:v>2026</x:v>
      </x:c>
      <x:c r="B34" s="83" t="str">
        <x:v>FY2026-INITIAL-SUBMISSION-v1</x:v>
      </x:c>
      <x:c r="C34" s="83" t="str">
        <x:v>PROPOSAL</x:v>
      </x:c>
      <x:c r="D34" s="83" t="str">
        <x:v>INITIAL_SUBMITTED</x:v>
      </x:c>
      <x:c r="E34" s="84" t="n">
        <x:v>45961</x:v>
      </x:c>
      <x:c r="F34" s="83" t="str">
        <x:v>SOURCE</x:v>
      </x:c>
      <x:c r="G34" s="83" t="str">
        <x:v>技术部</x:v>
      </x:c>
      <x:c r="H34" s="83" t="str">
        <x:v>业务支持费-技术配置</x:v>
      </x:c>
      <x:c r="I34" s="83" t="str">
        <x:v>技术服务</x:v>
      </x:c>
      <x:c r="J34" s="83" t="str">
        <x:v>专家</x:v>
      </x:c>
      <x:c r="K34" s="83" t="str">
        <x:v>新技术应用</x:v>
      </x:c>
      <x:c r="L34" s="83" t="str">
        <x:v>PRJ-JS-新技-2025-003</x:v>
      </x:c>
      <x:c r="M34" s="83" t="n">
        <x:v>5</x:v>
      </x:c>
      <x:c r="N34" s="83" t="str">
        <x:v>供应商1</x:v>
      </x:c>
      <x:c r="O34" s="83" t="n">
        <x:v>36</x:v>
      </x:c>
      <x:c r="P34" s="85" t="n">
        <x:v>28400</x:v>
      </x:c>
      <x:c r="Q34" s="78" t="n">
        <x:v>0.06</x:v>
      </x:c>
      <x:c r="R34" s="81" t="n">
        <x:v>102.24</x:v>
      </x:c>
      <x:c r="S34" s="81" t="n">
        <x:v>96.45</x:v>
      </x:c>
      <x:c r="T34" s="81" t="n">
        <x:v>2.68</x:v>
      </x:c>
      <x:c r="U34" s="86" t="n">
        <x:f>IF(O34=0,0,S34/O34)</x:f>
        <x:v>2.6791666666666667</x:v>
      </x:c>
      <x:c r="V34" s="62" t="str">
        <x:v>CNY</x:v>
      </x:c>
      <x:c r="W34" s="62" t="str">
        <x:v>万元；单价列为元</x:v>
      </x:c>
      <x:c r="X34" s="62" t="str">
        <x:v>2026年预算申报明细汇总.xlsx</x:v>
      </x:c>
      <x:c r="Y34" s="62" t="str">
        <x:v>技术配置</x:v>
      </x:c>
      <x:c r="Z34" s="62" t="n">
        <x:v>13</x:v>
      </x:c>
      <x:c r="AA34" s="62" t="str">
        <x:v>2026|PRJ-JS-新技-2025-003|供应商1|专家|13</x:v>
      </x:c>
      <x:c r="AB34" s="62" t="str">
        <x:f>IF(ABS(S34-ROUND(R34/(1+Q34),2))&lt;=0.01,"OK","FAIL")</x:f>
        <x:v>OK</x:v>
      </x:c>
    </x:row>
    <x:row r="35">
      <x:c r="A35" s="83" t="n">
        <x:v>2026</x:v>
      </x:c>
      <x:c r="B35" s="83" t="str">
        <x:v>FY2026-INITIAL-SUBMISSION-v1</x:v>
      </x:c>
      <x:c r="C35" s="83" t="str">
        <x:v>PROPOSAL</x:v>
      </x:c>
      <x:c r="D35" s="83" t="str">
        <x:v>INITIAL_SUBMITTED</x:v>
      </x:c>
      <x:c r="E35" s="84" t="n">
        <x:v>45961</x:v>
      </x:c>
      <x:c r="F35" s="83" t="str">
        <x:v>SOURCE</x:v>
      </x:c>
      <x:c r="G35" s="83" t="str">
        <x:v>安全运行部</x:v>
      </x:c>
      <x:c r="H35" s="83" t="str">
        <x:v>业务支持费-技术配置</x:v>
      </x:c>
      <x:c r="I35" s="83" t="str">
        <x:v>技术服务</x:v>
      </x:c>
      <x:c r="J35" s="83" t="str">
        <x:v>中级</x:v>
      </x:c>
      <x:c r="K35" s="83" t="str">
        <x:v>概率安全分析</x:v>
      </x:c>
      <x:c r="L35" s="83" t="str">
        <x:v>PRJ-AQ-概率-2024-001</x:v>
      </x:c>
      <x:c r="M35" s="83" t="n">
        <x:v>3</x:v>
      </x:c>
      <x:c r="N35" s="83" t="str">
        <x:v>供应商3</x:v>
      </x:c>
      <x:c r="O35" s="83" t="n">
        <x:v>24</x:v>
      </x:c>
      <x:c r="P35" s="85" t="n">
        <x:v>16700</x:v>
      </x:c>
      <x:c r="Q35" s="78" t="n">
        <x:v>0.06</x:v>
      </x:c>
      <x:c r="R35" s="81" t="n">
        <x:v>40.08</x:v>
      </x:c>
      <x:c r="S35" s="81" t="n">
        <x:v>37.81</x:v>
      </x:c>
      <x:c r="T35" s="81" t="n">
        <x:v>1.58</x:v>
      </x:c>
      <x:c r="U35" s="86" t="n">
        <x:f>IF(O35=0,0,S35/O35)</x:f>
        <x:v>1.5754166666666667</x:v>
      </x:c>
      <x:c r="V35" s="62" t="str">
        <x:v>CNY</x:v>
      </x:c>
      <x:c r="W35" s="62" t="str">
        <x:v>万元；单价列为元</x:v>
      </x:c>
      <x:c r="X35" s="62" t="str">
        <x:v>2026年预算申报明细汇总.xlsx</x:v>
      </x:c>
      <x:c r="Y35" s="62" t="str">
        <x:v>技术配置</x:v>
      </x:c>
      <x:c r="Z35" s="62" t="n">
        <x:v>14</x:v>
      </x:c>
      <x:c r="AA35" s="62" t="str">
        <x:v>2026|PRJ-AQ-概率-2024-001|供应商3|中级|14</x:v>
      </x:c>
      <x:c r="AB35" s="62" t="str">
        <x:f>IF(ABS(S35-ROUND(R35/(1+Q35),2))&lt;=0.01,"OK","FAIL")</x:f>
        <x:v>OK</x:v>
      </x:c>
    </x:row>
    <x:row r="36">
      <x:c r="A36" s="83" t="n">
        <x:v>2026</x:v>
      </x:c>
      <x:c r="B36" s="83" t="str">
        <x:v>FY2026-INITIAL-SUBMISSION-v1</x:v>
      </x:c>
      <x:c r="C36" s="83" t="str">
        <x:v>PROPOSAL</x:v>
      </x:c>
      <x:c r="D36" s="83" t="str">
        <x:v>INITIAL_SUBMITTED</x:v>
      </x:c>
      <x:c r="E36" s="84" t="n">
        <x:v>45961</x:v>
      </x:c>
      <x:c r="F36" s="83" t="str">
        <x:v>SOURCE</x:v>
      </x:c>
      <x:c r="G36" s="83" t="str">
        <x:v>安全运行部</x:v>
      </x:c>
      <x:c r="H36" s="83" t="str">
        <x:v>业务支持费-技术配置</x:v>
      </x:c>
      <x:c r="I36" s="83" t="str">
        <x:v>技术服务</x:v>
      </x:c>
      <x:c r="J36" s="83" t="str">
        <x:v>中级</x:v>
      </x:c>
      <x:c r="K36" s="83" t="str">
        <x:v>概率安全分析</x:v>
      </x:c>
      <x:c r="L36" s="83" t="str">
        <x:v>PRJ-AQ-概率-2025-002</x:v>
      </x:c>
      <x:c r="M36" s="83" t="n">
        <x:v>3</x:v>
      </x:c>
      <x:c r="N36" s="83" t="str">
        <x:v>供应商2</x:v>
      </x:c>
      <x:c r="O36" s="83" t="n">
        <x:v>24</x:v>
      </x:c>
      <x:c r="P36" s="85" t="n">
        <x:v>17300</x:v>
      </x:c>
      <x:c r="Q36" s="78" t="n">
        <x:v>0.06</x:v>
      </x:c>
      <x:c r="R36" s="81" t="n">
        <x:v>41.52</x:v>
      </x:c>
      <x:c r="S36" s="81" t="n">
        <x:v>39.17</x:v>
      </x:c>
      <x:c r="T36" s="81" t="n">
        <x:v>1.63</x:v>
      </x:c>
      <x:c r="U36" s="86" t="n">
        <x:f>IF(O36=0,0,S36/O36)</x:f>
        <x:v>1.6320833333333333</x:v>
      </x:c>
      <x:c r="V36" s="62" t="str">
        <x:v>CNY</x:v>
      </x:c>
      <x:c r="W36" s="62" t="str">
        <x:v>万元；单价列为元</x:v>
      </x:c>
      <x:c r="X36" s="62" t="str">
        <x:v>2026年预算申报明细汇总.xlsx</x:v>
      </x:c>
      <x:c r="Y36" s="62" t="str">
        <x:v>技术配置</x:v>
      </x:c>
      <x:c r="Z36" s="62" t="n">
        <x:v>15</x:v>
      </x:c>
      <x:c r="AA36" s="62" t="str">
        <x:v>2026|PRJ-AQ-概率-2025-002|供应商2|中级|15</x:v>
      </x:c>
      <x:c r="AB36" s="62" t="str">
        <x:f>IF(ABS(S36-ROUND(R36/(1+Q36),2))&lt;=0.01,"OK","FAIL")</x:f>
        <x:v>OK</x:v>
      </x:c>
    </x:row>
    <x:row r="37">
      <x:c r="A37" s="83" t="n">
        <x:v>2026</x:v>
      </x:c>
      <x:c r="B37" s="83" t="str">
        <x:v>FY2026-INITIAL-SUBMISSION-v1</x:v>
      </x:c>
      <x:c r="C37" s="83" t="str">
        <x:v>PROPOSAL</x:v>
      </x:c>
      <x:c r="D37" s="83" t="str">
        <x:v>INITIAL_SUBMITTED</x:v>
      </x:c>
      <x:c r="E37" s="84" t="n">
        <x:v>45961</x:v>
      </x:c>
      <x:c r="F37" s="83" t="str">
        <x:v>SOURCE</x:v>
      </x:c>
      <x:c r="G37" s="83" t="str">
        <x:v>安全运行部</x:v>
      </x:c>
      <x:c r="H37" s="83" t="str">
        <x:v>业务支持费-技术配置</x:v>
      </x:c>
      <x:c r="I37" s="83" t="str">
        <x:v>技术服务</x:v>
      </x:c>
      <x:c r="J37" s="83" t="str">
        <x:v>中级</x:v>
      </x:c>
      <x:c r="K37" s="83" t="str">
        <x:v>概率安全分析</x:v>
      </x:c>
      <x:c r="L37" s="83" t="str">
        <x:v>PRJ-AQ-概率-2025-003</x:v>
      </x:c>
      <x:c r="M37" s="83" t="n">
        <x:v>3</x:v>
      </x:c>
      <x:c r="N37" s="83" t="str">
        <x:v>供应商3</x:v>
      </x:c>
      <x:c r="O37" s="83" t="n">
        <x:v>24</x:v>
      </x:c>
      <x:c r="P37" s="85" t="n">
        <x:v>19500</x:v>
      </x:c>
      <x:c r="Q37" s="78" t="n">
        <x:v>0.06</x:v>
      </x:c>
      <x:c r="R37" s="81" t="n">
        <x:v>46.8</x:v>
      </x:c>
      <x:c r="S37" s="81" t="n">
        <x:v>44.15</x:v>
      </x:c>
      <x:c r="T37" s="81" t="n">
        <x:v>1.84</x:v>
      </x:c>
      <x:c r="U37" s="86" t="n">
        <x:f>IF(O37=0,0,S37/O37)</x:f>
        <x:v>1.8395833333333333</x:v>
      </x:c>
      <x:c r="V37" s="62" t="str">
        <x:v>CNY</x:v>
      </x:c>
      <x:c r="W37" s="62" t="str">
        <x:v>万元；单价列为元</x:v>
      </x:c>
      <x:c r="X37" s="62" t="str">
        <x:v>2026年预算申报明细汇总.xlsx</x:v>
      </x:c>
      <x:c r="Y37" s="62" t="str">
        <x:v>技术配置</x:v>
      </x:c>
      <x:c r="Z37" s="62" t="n">
        <x:v>16</x:v>
      </x:c>
      <x:c r="AA37" s="62" t="str">
        <x:v>2026|PRJ-AQ-概率-2025-003|供应商3|中级|16</x:v>
      </x:c>
      <x:c r="AB37" s="62" t="str">
        <x:f>IF(ABS(S37-ROUND(R37/(1+Q37),2))&lt;=0.01,"OK","FAIL")</x:f>
        <x:v>OK</x:v>
      </x:c>
    </x:row>
    <x:row r="38">
      <x:c r="A38" s="83" t="n">
        <x:v>2026</x:v>
      </x:c>
      <x:c r="B38" s="83" t="str">
        <x:v>FY2026-INITIAL-SUBMISSION-v1</x:v>
      </x:c>
      <x:c r="C38" s="83" t="str">
        <x:v>PROPOSAL</x:v>
      </x:c>
      <x:c r="D38" s="83" t="str">
        <x:v>INITIAL_SUBMITTED</x:v>
      </x:c>
      <x:c r="E38" s="84" t="n">
        <x:v>45961</x:v>
      </x:c>
      <x:c r="F38" s="83" t="str">
        <x:v>SOURCE</x:v>
      </x:c>
      <x:c r="G38" s="83" t="str">
        <x:v>安全运行部</x:v>
      </x:c>
      <x:c r="H38" s="83" t="str">
        <x:v>业务支持费-技术配置</x:v>
      </x:c>
      <x:c r="I38" s="83" t="str">
        <x:v>技术服务</x:v>
      </x:c>
      <x:c r="J38" s="83" t="str">
        <x:v>初级</x:v>
      </x:c>
      <x:c r="K38" s="83" t="str">
        <x:v>灾害防护</x:v>
      </x:c>
      <x:c r="L38" s="83" t="str">
        <x:v>PRJ-AQ-灾害-2024-001</x:v>
      </x:c>
      <x:c r="M38" s="83" t="n">
        <x:v>2</x:v>
      </x:c>
      <x:c r="N38" s="83" t="str">
        <x:v>供应商1</x:v>
      </x:c>
      <x:c r="O38" s="83" t="n">
        <x:v>12</x:v>
      </x:c>
      <x:c r="P38" s="85" t="n">
        <x:v>10800</x:v>
      </x:c>
      <x:c r="Q38" s="78" t="n">
        <x:v>0.06</x:v>
      </x:c>
      <x:c r="R38" s="81" t="n">
        <x:v>12.96</x:v>
      </x:c>
      <x:c r="S38" s="81" t="n">
        <x:v>12.23</x:v>
      </x:c>
      <x:c r="T38" s="81" t="n">
        <x:v>1.02</x:v>
      </x:c>
      <x:c r="U38" s="86" t="n">
        <x:f>IF(O38=0,0,S38/O38)</x:f>
        <x:v>1.0191666666666668</x:v>
      </x:c>
      <x:c r="V38" s="62" t="str">
        <x:v>CNY</x:v>
      </x:c>
      <x:c r="W38" s="62" t="str">
        <x:v>万元；单价列为元</x:v>
      </x:c>
      <x:c r="X38" s="62" t="str">
        <x:v>2026年预算申报明细汇总.xlsx</x:v>
      </x:c>
      <x:c r="Y38" s="62" t="str">
        <x:v>技术配置</x:v>
      </x:c>
      <x:c r="Z38" s="62" t="n">
        <x:v>17</x:v>
      </x:c>
      <x:c r="AA38" s="62" t="str">
        <x:v>2026|PRJ-AQ-灾害-2024-001|供应商1|初级|17</x:v>
      </x:c>
      <x:c r="AB38" s="62" t="str">
        <x:f>IF(ABS(S38-ROUND(R38/(1+Q38),2))&lt;=0.01,"OK","FAIL")</x:f>
        <x:v>OK</x:v>
      </x:c>
    </x:row>
    <x:row r="39">
      <x:c r="A39" s="83" t="n">
        <x:v>2026</x:v>
      </x:c>
      <x:c r="B39" s="83" t="str">
        <x:v>FY2026-INITIAL-SUBMISSION-v1</x:v>
      </x:c>
      <x:c r="C39" s="83" t="str">
        <x:v>PROPOSAL</x:v>
      </x:c>
      <x:c r="D39" s="83" t="str">
        <x:v>INITIAL_SUBMITTED</x:v>
      </x:c>
      <x:c r="E39" s="84" t="n">
        <x:v>45961</x:v>
      </x:c>
      <x:c r="F39" s="83" t="str">
        <x:v>SOURCE</x:v>
      </x:c>
      <x:c r="G39" s="83" t="str">
        <x:v>安全运行部</x:v>
      </x:c>
      <x:c r="H39" s="83" t="str">
        <x:v>业务支持费-技术配置</x:v>
      </x:c>
      <x:c r="I39" s="83" t="str">
        <x:v>技术服务</x:v>
      </x:c>
      <x:c r="J39" s="83" t="str">
        <x:v>初级</x:v>
      </x:c>
      <x:c r="K39" s="83" t="str">
        <x:v>灾害防护</x:v>
      </x:c>
      <x:c r="L39" s="83" t="str">
        <x:v>PRJ-AQ-灾害-2025-002</x:v>
      </x:c>
      <x:c r="M39" s="83" t="n">
        <x:v>2</x:v>
      </x:c>
      <x:c r="N39" s="83" t="str">
        <x:v>供应商3</x:v>
      </x:c>
      <x:c r="O39" s="83" t="n">
        <x:v>12</x:v>
      </x:c>
      <x:c r="P39" s="85" t="n">
        <x:v>13200</x:v>
      </x:c>
      <x:c r="Q39" s="78" t="n">
        <x:v>0.06</x:v>
      </x:c>
      <x:c r="R39" s="81" t="n">
        <x:v>15.84</x:v>
      </x:c>
      <x:c r="S39" s="81" t="n">
        <x:v>14.94</x:v>
      </x:c>
      <x:c r="T39" s="81" t="n">
        <x:v>1.24</x:v>
      </x:c>
      <x:c r="U39" s="86" t="n">
        <x:f>IF(O39=0,0,S39/O39)</x:f>
        <x:v>1.2449999999999999</x:v>
      </x:c>
      <x:c r="V39" s="62" t="str">
        <x:v>CNY</x:v>
      </x:c>
      <x:c r="W39" s="62" t="str">
        <x:v>万元；单价列为元</x:v>
      </x:c>
      <x:c r="X39" s="62" t="str">
        <x:v>2026年预算申报明细汇总.xlsx</x:v>
      </x:c>
      <x:c r="Y39" s="62" t="str">
        <x:v>技术配置</x:v>
      </x:c>
      <x:c r="Z39" s="62" t="n">
        <x:v>18</x:v>
      </x:c>
      <x:c r="AA39" s="62" t="str">
        <x:v>2026|PRJ-AQ-灾害-2025-002|供应商3|初级|18</x:v>
      </x:c>
      <x:c r="AB39" s="62" t="str">
        <x:f>IF(ABS(S39-ROUND(R39/(1+Q39),2))&lt;=0.01,"OK","FAIL")</x:f>
        <x:v>OK</x:v>
      </x:c>
    </x:row>
    <x:row r="40">
      <x:c r="A40" s="83" t="n">
        <x:v>2026</x:v>
      </x:c>
      <x:c r="B40" s="83" t="str">
        <x:v>FY2026-INITIAL-SUBMISSION-v1</x:v>
      </x:c>
      <x:c r="C40" s="83" t="str">
        <x:v>PROPOSAL</x:v>
      </x:c>
      <x:c r="D40" s="83" t="str">
        <x:v>INITIAL_SUBMITTED</x:v>
      </x:c>
      <x:c r="E40" s="84" t="n">
        <x:v>45961</x:v>
      </x:c>
      <x:c r="F40" s="83" t="str">
        <x:v>SOURCE</x:v>
      </x:c>
      <x:c r="G40" s="83" t="str">
        <x:v>安全运行部</x:v>
      </x:c>
      <x:c r="H40" s="83" t="str">
        <x:v>业务支持费-技术配置</x:v>
      </x:c>
      <x:c r="I40" s="83" t="str">
        <x:v>技术服务</x:v>
      </x:c>
      <x:c r="J40" s="83" t="str">
        <x:v>初级</x:v>
      </x:c>
      <x:c r="K40" s="83" t="str">
        <x:v>灾害防护</x:v>
      </x:c>
      <x:c r="L40" s="83" t="str">
        <x:v>PRJ-AQ-灾害-2025-003</x:v>
      </x:c>
      <x:c r="M40" s="83" t="n">
        <x:v>2</x:v>
      </x:c>
      <x:c r="N40" s="83" t="str">
        <x:v>供应商2</x:v>
      </x:c>
      <x:c r="O40" s="83" t="n">
        <x:v>12</x:v>
      </x:c>
      <x:c r="P40" s="85" t="n">
        <x:v>11000</x:v>
      </x:c>
      <x:c r="Q40" s="78" t="n">
        <x:v>0.06</x:v>
      </x:c>
      <x:c r="R40" s="81" t="n">
        <x:v>13.2</x:v>
      </x:c>
      <x:c r="S40" s="81" t="n">
        <x:v>12.45</x:v>
      </x:c>
      <x:c r="T40" s="81" t="n">
        <x:v>1.04</x:v>
      </x:c>
      <x:c r="U40" s="86" t="n">
        <x:f>IF(O40=0,0,S40/O40)</x:f>
        <x:v>1.0374999999999999</x:v>
      </x:c>
      <x:c r="V40" s="62" t="str">
        <x:v>CNY</x:v>
      </x:c>
      <x:c r="W40" s="62" t="str">
        <x:v>万元；单价列为元</x:v>
      </x:c>
      <x:c r="X40" s="62" t="str">
        <x:v>2026年预算申报明细汇总.xlsx</x:v>
      </x:c>
      <x:c r="Y40" s="62" t="str">
        <x:v>技术配置</x:v>
      </x:c>
      <x:c r="Z40" s="62" t="n">
        <x:v>19</x:v>
      </x:c>
      <x:c r="AA40" s="62" t="str">
        <x:v>2026|PRJ-AQ-灾害-2025-003|供应商2|初级|19</x:v>
      </x:c>
      <x:c r="AB40" s="62" t="str">
        <x:f>IF(ABS(S40-ROUND(R40/(1+Q40),2))&lt;=0.01,"OK","FAIL")</x:f>
        <x:v>OK</x:v>
      </x:c>
    </x:row>
    <x:row r="41">
      <x:c r="A41" s="83" t="n">
        <x:v>2026</x:v>
      </x:c>
      <x:c r="B41" s="83" t="str">
        <x:v>FY2026-INITIAL-SUBMISSION-v1</x:v>
      </x:c>
      <x:c r="C41" s="83" t="str">
        <x:v>PROPOSAL</x:v>
      </x:c>
      <x:c r="D41" s="83" t="str">
        <x:v>INITIAL_SUBMITTED</x:v>
      </x:c>
      <x:c r="E41" s="84" t="n">
        <x:v>45961</x:v>
      </x:c>
      <x:c r="F41" s="83" t="str">
        <x:v>SOURCE</x:v>
      </x:c>
      <x:c r="G41" s="83" t="str">
        <x:v>安全运行部</x:v>
      </x:c>
      <x:c r="H41" s="83" t="str">
        <x:v>业务支持费-技术配置</x:v>
      </x:c>
      <x:c r="I41" s="83" t="str">
        <x:v>技术服务</x:v>
      </x:c>
      <x:c r="J41" s="83" t="str">
        <x:v>中级</x:v>
      </x:c>
      <x:c r="K41" s="83" t="str">
        <x:v>安全评估</x:v>
      </x:c>
      <x:c r="L41" s="83" t="str">
        <x:v>PRJ-AQ-安全-2024-001</x:v>
      </x:c>
      <x:c r="M41" s="83" t="n">
        <x:v>3</x:v>
      </x:c>
      <x:c r="N41" s="83" t="str">
        <x:v>供应商2</x:v>
      </x:c>
      <x:c r="O41" s="83" t="n">
        <x:v>24</x:v>
      </x:c>
      <x:c r="P41" s="85" t="n">
        <x:v>18000</x:v>
      </x:c>
      <x:c r="Q41" s="78" t="n">
        <x:v>0.06</x:v>
      </x:c>
      <x:c r="R41" s="81" t="n">
        <x:v>43.2</x:v>
      </x:c>
      <x:c r="S41" s="81" t="n">
        <x:v>40.75</x:v>
      </x:c>
      <x:c r="T41" s="81" t="n">
        <x:v>1.7</x:v>
      </x:c>
      <x:c r="U41" s="86" t="n">
        <x:f>IF(O41=0,0,S41/O41)</x:f>
        <x:v>1.6979166666666667</x:v>
      </x:c>
      <x:c r="V41" s="62" t="str">
        <x:v>CNY</x:v>
      </x:c>
      <x:c r="W41" s="62" t="str">
        <x:v>万元；单价列为元</x:v>
      </x:c>
      <x:c r="X41" s="62" t="str">
        <x:v>2026年预算申报明细汇总.xlsx</x:v>
      </x:c>
      <x:c r="Y41" s="62" t="str">
        <x:v>技术配置</x:v>
      </x:c>
      <x:c r="Z41" s="62" t="n">
        <x:v>20</x:v>
      </x:c>
      <x:c r="AA41" s="62" t="str">
        <x:v>2026|PRJ-AQ-安全-2024-001|供应商2|中级|20</x:v>
      </x:c>
      <x:c r="AB41" s="62" t="str">
        <x:f>IF(ABS(S41-ROUND(R41/(1+Q41),2))&lt;=0.01,"OK","FAIL")</x:f>
        <x:v>OK</x:v>
      </x:c>
    </x:row>
    <x:row r="42">
      <x:c r="A42" s="83" t="n">
        <x:v>2026</x:v>
      </x:c>
      <x:c r="B42" s="83" t="str">
        <x:v>FY2026-INITIAL-SUBMISSION-v1</x:v>
      </x:c>
      <x:c r="C42" s="83" t="str">
        <x:v>PROPOSAL</x:v>
      </x:c>
      <x:c r="D42" s="83" t="str">
        <x:v>INITIAL_SUBMITTED</x:v>
      </x:c>
      <x:c r="E42" s="84" t="n">
        <x:v>45961</x:v>
      </x:c>
      <x:c r="F42" s="83" t="str">
        <x:v>SOURCE</x:v>
      </x:c>
      <x:c r="G42" s="83" t="str">
        <x:v>安全运行部</x:v>
      </x:c>
      <x:c r="H42" s="83" t="str">
        <x:v>业务支持费-技术配置</x:v>
      </x:c>
      <x:c r="I42" s="83" t="str">
        <x:v>技术服务</x:v>
      </x:c>
      <x:c r="J42" s="83" t="str">
        <x:v>中级</x:v>
      </x:c>
      <x:c r="K42" s="83" t="str">
        <x:v>安全评估</x:v>
      </x:c>
      <x:c r="L42" s="83" t="str">
        <x:v>PRJ-AQ-安全-2025-002</x:v>
      </x:c>
      <x:c r="M42" s="83" t="n">
        <x:v>3</x:v>
      </x:c>
      <x:c r="N42" s="83" t="str">
        <x:v>供应商3</x:v>
      </x:c>
      <x:c r="O42" s="83" t="n">
        <x:v>24</x:v>
      </x:c>
      <x:c r="P42" s="85" t="n">
        <x:v>19600</x:v>
      </x:c>
      <x:c r="Q42" s="78" t="n">
        <x:v>0.06</x:v>
      </x:c>
      <x:c r="R42" s="81" t="n">
        <x:v>47.04</x:v>
      </x:c>
      <x:c r="S42" s="81" t="n">
        <x:v>44.38</x:v>
      </x:c>
      <x:c r="T42" s="81" t="n">
        <x:v>1.85</x:v>
      </x:c>
      <x:c r="U42" s="86" t="n">
        <x:f>IF(O42=0,0,S42/O42)</x:f>
        <x:v>1.8491666666666668</x:v>
      </x:c>
      <x:c r="V42" s="62" t="str">
        <x:v>CNY</x:v>
      </x:c>
      <x:c r="W42" s="62" t="str">
        <x:v>万元；单价列为元</x:v>
      </x:c>
      <x:c r="X42" s="62" t="str">
        <x:v>2026年预算申报明细汇总.xlsx</x:v>
      </x:c>
      <x:c r="Y42" s="62" t="str">
        <x:v>技术配置</x:v>
      </x:c>
      <x:c r="Z42" s="62" t="n">
        <x:v>21</x:v>
      </x:c>
      <x:c r="AA42" s="62" t="str">
        <x:v>2026|PRJ-AQ-安全-2025-002|供应商3|中级|21</x:v>
      </x:c>
      <x:c r="AB42" s="62" t="str">
        <x:f>IF(ABS(S42-ROUND(R42/(1+Q42),2))&lt;=0.01,"OK","FAIL")</x:f>
        <x:v>OK</x:v>
      </x:c>
    </x:row>
    <x:row r="43">
      <x:c r="A43" s="83" t="n">
        <x:v>2026</x:v>
      </x:c>
      <x:c r="B43" s="83" t="str">
        <x:v>FY2026-INITIAL-SUBMISSION-v1</x:v>
      </x:c>
      <x:c r="C43" s="83" t="str">
        <x:v>PROPOSAL</x:v>
      </x:c>
      <x:c r="D43" s="83" t="str">
        <x:v>INITIAL_SUBMITTED</x:v>
      </x:c>
      <x:c r="E43" s="84" t="n">
        <x:v>45961</x:v>
      </x:c>
      <x:c r="F43" s="83" t="str">
        <x:v>SOURCE</x:v>
      </x:c>
      <x:c r="G43" s="83" t="str">
        <x:v>安全运行部</x:v>
      </x:c>
      <x:c r="H43" s="83" t="str">
        <x:v>业务支持费-技术配置</x:v>
      </x:c>
      <x:c r="I43" s="83" t="str">
        <x:v>技术服务</x:v>
      </x:c>
      <x:c r="J43" s="83" t="str">
        <x:v>中级</x:v>
      </x:c>
      <x:c r="K43" s="83" t="str">
        <x:v>安全评估</x:v>
      </x:c>
      <x:c r="L43" s="83" t="str">
        <x:v>PRJ-AQ-安全-2025-003</x:v>
      </x:c>
      <x:c r="M43" s="83" t="n">
        <x:v>3</x:v>
      </x:c>
      <x:c r="N43" s="83" t="str">
        <x:v>供应商2</x:v>
      </x:c>
      <x:c r="O43" s="83" t="n">
        <x:v>24</x:v>
      </x:c>
      <x:c r="P43" s="85" t="n">
        <x:v>19400</x:v>
      </x:c>
      <x:c r="Q43" s="78" t="n">
        <x:v>0.06</x:v>
      </x:c>
      <x:c r="R43" s="81" t="n">
        <x:v>46.56</x:v>
      </x:c>
      <x:c r="S43" s="81" t="n">
        <x:v>43.92</x:v>
      </x:c>
      <x:c r="T43" s="81" t="n">
        <x:v>1.83</x:v>
      </x:c>
      <x:c r="U43" s="86" t="n">
        <x:f>IF(O43=0,0,S43/O43)</x:f>
        <x:v>1.83</x:v>
      </x:c>
      <x:c r="V43" s="62" t="str">
        <x:v>CNY</x:v>
      </x:c>
      <x:c r="W43" s="62" t="str">
        <x:v>万元；单价列为元</x:v>
      </x:c>
      <x:c r="X43" s="62" t="str">
        <x:v>2026年预算申报明细汇总.xlsx</x:v>
      </x:c>
      <x:c r="Y43" s="62" t="str">
        <x:v>技术配置</x:v>
      </x:c>
      <x:c r="Z43" s="62" t="n">
        <x:v>22</x:v>
      </x:c>
      <x:c r="AA43" s="62" t="str">
        <x:v>2026|PRJ-AQ-安全-2025-003|供应商2|中级|22</x:v>
      </x:c>
      <x:c r="AB43" s="62" t="str">
        <x:f>IF(ABS(S43-ROUND(R43/(1+Q43),2))&lt;=0.01,"OK","FAIL")</x:f>
        <x:v>OK</x:v>
      </x:c>
    </x:row>
  </x:sheetData>
  <x:conditionalFormatting sqref="AB2:AB43">
    <x:cfRule type="containsText" dxfId="16" priority="1" operator="containsText" text="OK"/>
    <x:cfRule type="containsText" dxfId="17" priority="2" operator="containsText" text="PASS"/>
    <x:cfRule type="containsText" dxfId="18" priority="3" operator="containsText" text="FAIL"/>
    <x:cfRule type="containsText" dxfId="19" priority="4" operator="containsText" text="阻塞"/>
    <x:cfRule type="containsText" dxfId="20" priority="5" operator="containsText" text="待复核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7" hidden="0" customWidth="1"/>
    <x:col min="7" max="7" width="20" hidden="0" customWidth="1"/>
    <x:col min="8" max="8" width="17" hidden="0" customWidth="1"/>
    <x:col min="9" max="9" width="17" hidden="0" customWidth="1"/>
    <x:col min="10" max="10" width="15" hidden="0" customWidth="1"/>
    <x:col min="11" max="11" width="15" hidden="0" customWidth="1"/>
    <x:col min="12" max="12" width="14" hidden="0" customWidth="1"/>
    <x:col min="13" max="13" width="30" hidden="0" customWidth="1"/>
    <x:col min="14" max="14" width="20" hidden="0" customWidth="1"/>
    <x:col min="15" max="15" width="12" hidden="0" customWidth="1"/>
  </x:cols>
  <x:sheetData>
    <x:row r="1" ht="34" customHeight="1">
      <x:c r="A1" s="68" t="str">
        <x:v>预算年度</x:v>
      </x:c>
      <x:c r="B1" s="69" t="str">
        <x:v>部门</x:v>
      </x:c>
      <x:c r="C1" s="69" t="str">
        <x:v>申报含税收入</x:v>
      </x:c>
      <x:c r="D1" s="69" t="str">
        <x:v>申报收入净额</x:v>
      </x:c>
      <x:c r="E1" s="69" t="str">
        <x:v>项目成本_源</x:v>
      </x:c>
      <x:c r="F1" s="69" t="str">
        <x:v>技术配置净额</x:v>
      </x:c>
      <x:c r="G1" s="69" t="str">
        <x:v>项目总成本_含技术</x:v>
      </x:c>
      <x:c r="H1" s="69" t="str">
        <x:v>公共费用净额</x:v>
      </x:c>
      <x:c r="I1" s="69" t="str">
        <x:v>申报总成本</x:v>
      </x:c>
      <x:c r="J1" s="69" t="str">
        <x:v>成本占收比</x:v>
      </x:c>
      <x:c r="K1" s="69" t="str">
        <x:v>真正毛利率</x:v>
      </x:c>
      <x:c r="L1" s="69" t="str">
        <x:v>提交快照</x:v>
      </x:c>
      <x:c r="M1" s="69" t="str">
        <x:v>预算版本</x:v>
      </x:c>
      <x:c r="N1" s="69" t="str">
        <x:v>审批状态</x:v>
      </x:c>
      <x:c r="O1" s="70" t="str">
        <x:v>恒等式QC</x:v>
      </x:c>
    </x:row>
    <x:row r="2">
      <x:c r="A2" s="62" t="n">
        <x:v>2025</x:v>
      </x:c>
      <x:c r="B2" s="62" t="str">
        <x:v>设备管理部</x:v>
      </x:c>
      <x:c r="C2" s="86" t="n">
        <x:f>SUMIFS('07_初始申报_项目'!$N$2:$N$43,'07_初始申报_项目'!$A$2:$A$43,$A2,'07_初始申报_项目'!$G$2:$G$43,$B2)</x:f>
        <x:v>717.62</x:v>
      </x:c>
      <x:c r="D2" s="86" t="n">
        <x:f>SUMIFS('07_初始申报_项目'!$O$2:$O$43,'07_初始申报_项目'!$A$2:$A$43,$A2,'07_初始申报_项目'!$G$2:$G$43,$B2)</x:f>
        <x:v>677</x:v>
      </x:c>
      <x:c r="E2" s="86" t="n">
        <x:f>SUMIFS('07_初始申报_项目'!$AS$2:$AS$43,'07_初始申报_项目'!$A$2:$A$43,$A2,'07_初始申报_项目'!$G$2:$G$43,$B2)</x:f>
        <x:v>179.14</x:v>
      </x:c>
      <x:c r="F2" s="86" t="n">
        <x:f>SUMIFS('07_初始申报_项目'!$AR$2:$AR$43,'07_初始申报_项目'!$A$2:$A$43,$A2,'07_初始申报_项目'!$G$2:$G$43,$B2)</x:f>
        <x:v>40.53</x:v>
      </x:c>
      <x:c r="G2" s="86" t="n">
        <x:f>SUMIFS('07_初始申报_项目'!$AV$2:$AV$43,'07_初始申报_项目'!$A$2:$A$43,$A2,'07_初始申报_项目'!$G$2:$G$43,$B2)</x:f>
        <x:v>219.67000000000002</x:v>
      </x:c>
      <x:c r="H2" s="86" t="n">
        <x:f>SUMIFS('08_初始申报_公共费'!$O$2:$O$25,'08_初始申报_公共费'!$A$2:$A$25,$A2,'08_初始申报_公共费'!$G$2:$G$25,$B2)</x:f>
        <x:v>5</x:v>
      </x:c>
      <x:c r="I2" s="86" t="n">
        <x:f>G2+H2</x:f>
        <x:v>224.67000000000002</x:v>
      </x:c>
      <x:c r="J2" s="90" t="n">
        <x:f>IF(D2=0,0,I2/D2)</x:f>
        <x:v>0.3318611521418021</x:v>
      </x:c>
      <x:c r="K2" s="90" t="n">
        <x:f>IF(D2=0,0,(D2-I2)/D2)</x:f>
        <x:v>0.6681388478581979</x:v>
      </x:c>
      <x:c r="L2" s="74" t="n">
        <x:v>45596</x:v>
      </x:c>
      <x:c r="M2" s="62" t="str">
        <x:v>FY2025-INITIAL-SUBMISSION-v1</x:v>
      </x:c>
      <x:c r="N2" s="62" t="str">
        <x:v>INITIAL_SUBMITTED</x:v>
      </x:c>
      <x:c r="O2" s="62" t="str">
        <x:f>IF(ABS(J2+K2-1)&lt;0.000001,"OK","FAIL")</x:f>
        <x:v>OK</x:v>
      </x:c>
    </x:row>
    <x:row r="3">
      <x:c r="A3" s="62" t="n">
        <x:v>2025</x:v>
      </x:c>
      <x:c r="B3" s="62" t="str">
        <x:v>技术部</x:v>
      </x:c>
      <x:c r="C3" s="86" t="n">
        <x:f>SUMIFS('07_初始申报_项目'!$N$2:$N$43,'07_初始申报_项目'!$A$2:$A$43,$A3,'07_初始申报_项目'!$G$2:$G$43,$B3)</x:f>
        <x:v>579.07</x:v>
      </x:c>
      <x:c r="D3" s="86" t="n">
        <x:f>SUMIFS('07_初始申报_项目'!$O$2:$O$43,'07_初始申报_项目'!$A$2:$A$43,$A3,'07_初始申报_项目'!$G$2:$G$43,$B3)</x:f>
        <x:v>546.3</x:v>
      </x:c>
      <x:c r="E3" s="86" t="n">
        <x:f>SUMIFS('07_初始申报_项目'!$AS$2:$AS$43,'07_初始申报_项目'!$A$2:$A$43,$A3,'07_初始申报_项目'!$G$2:$G$43,$B3)</x:f>
        <x:v>888.5699999999999</x:v>
      </x:c>
      <x:c r="F3" s="86" t="n">
        <x:f>SUMIFS('07_初始申报_项目'!$AR$2:$AR$43,'07_初始申报_项目'!$A$2:$A$43,$A3,'07_初始申报_项目'!$G$2:$G$43,$B3)</x:f>
        <x:v>801.5799999999999</x:v>
      </x:c>
      <x:c r="G3" s="86" t="n">
        <x:f>SUMIFS('07_初始申报_项目'!$AV$2:$AV$43,'07_初始申报_项目'!$A$2:$A$43,$A3,'07_初始申报_项目'!$G$2:$G$43,$B3)</x:f>
        <x:v>1690.15</x:v>
      </x:c>
      <x:c r="H3" s="86" t="n">
        <x:f>SUMIFS('08_初始申报_公共费'!$O$2:$O$25,'08_初始申报_公共费'!$A$2:$A$25,$A3,'08_初始申报_公共费'!$G$2:$G$25,$B3)</x:f>
        <x:v>5</x:v>
      </x:c>
      <x:c r="I3" s="86" t="n">
        <x:f>G3+H3</x:f>
        <x:v>1695.15</x:v>
      </x:c>
      <x:c r="J3" s="90" t="n">
        <x:f>IF(D3=0,0,I3/D3)</x:f>
        <x:v>3.1029654036243826</x:v>
      </x:c>
      <x:c r="K3" s="90" t="n">
        <x:f>IF(D3=0,0,(D3-I3)/D3)</x:f>
        <x:v>-2.1029654036243826</x:v>
      </x:c>
      <x:c r="L3" s="74" t="n">
        <x:v>45596</x:v>
      </x:c>
      <x:c r="M3" s="62" t="str">
        <x:v>FY2025-INITIAL-SUBMISSION-v1</x:v>
      </x:c>
      <x:c r="N3" s="62" t="str">
        <x:v>INITIAL_SUBMITTED</x:v>
      </x:c>
      <x:c r="O3" s="62" t="str">
        <x:f>IF(ABS(J3+K3-1)&lt;0.000001,"OK","FAIL")</x:f>
        <x:v>OK</x:v>
      </x:c>
    </x:row>
    <x:row r="4">
      <x:c r="A4" s="62" t="n">
        <x:v>2025</x:v>
      </x:c>
      <x:c r="B4" s="62" t="str">
        <x:v>安全运行部</x:v>
      </x:c>
      <x:c r="C4" s="86" t="n">
        <x:f>SUMIFS('07_初始申报_项目'!$N$2:$N$43,'07_初始申报_项目'!$A$2:$A$43,$A4,'07_初始申报_项目'!$G$2:$G$43,$B4)</x:f>
        <x:v>431.20000000000005</x:v>
      </x:c>
      <x:c r="D4" s="86" t="n">
        <x:f>SUMIFS('07_初始申报_项目'!$O$2:$O$43,'07_初始申报_项目'!$A$2:$A$43,$A4,'07_初始申报_项目'!$G$2:$G$43,$B4)</x:f>
        <x:v>406.8</x:v>
      </x:c>
      <x:c r="E4" s="86" t="n">
        <x:f>SUMIFS('07_初始申报_项目'!$AS$2:$AS$43,'07_初始申报_项目'!$A$2:$A$43,$A4,'07_初始申报_项目'!$G$2:$G$43,$B4)</x:f>
        <x:v>378.52000000000004</x:v>
      </x:c>
      <x:c r="F4" s="86" t="n">
        <x:f>SUMIFS('07_初始申报_项目'!$AR$2:$AR$43,'07_初始申报_项目'!$A$2:$A$43,$A4,'07_初始申报_项目'!$G$2:$G$43,$B4)</x:f>
        <x:v>279.5</x:v>
      </x:c>
      <x:c r="G4" s="86" t="n">
        <x:f>SUMIFS('07_初始申报_项目'!$AV$2:$AV$43,'07_初始申报_项目'!$A$2:$A$43,$A4,'07_初始申报_项目'!$G$2:$G$43,$B4)</x:f>
        <x:v>658.0200000000001</x:v>
      </x:c>
      <x:c r="H4" s="86" t="n">
        <x:f>SUMIFS('08_初始申报_公共费'!$O$2:$O$25,'08_初始申报_公共费'!$A$2:$A$25,$A4,'08_初始申报_公共费'!$G$2:$G$25,$B4)</x:f>
        <x:v>5</x:v>
      </x:c>
      <x:c r="I4" s="86" t="n">
        <x:f>G4+H4</x:f>
        <x:v>663.0200000000001</x:v>
      </x:c>
      <x:c r="J4" s="90" t="n">
        <x:f>IF(D4=0,0,I4/D4)</x:f>
        <x:v>1.6298426745329402</x:v>
      </x:c>
      <x:c r="K4" s="90" t="n">
        <x:f>IF(D4=0,0,(D4-I4)/D4)</x:f>
        <x:v>-0.6298426745329402</x:v>
      </x:c>
      <x:c r="L4" s="74" t="n">
        <x:v>45596</x:v>
      </x:c>
      <x:c r="M4" s="62" t="str">
        <x:v>FY2025-INITIAL-SUBMISSION-v1</x:v>
      </x:c>
      <x:c r="N4" s="62" t="str">
        <x:v>INITIAL_SUBMITTED</x:v>
      </x:c>
      <x:c r="O4" s="62" t="str">
        <x:f>IF(ABS(J4+K4-1)&lt;0.000001,"OK","FAIL")</x:f>
        <x:v>OK</x:v>
      </x:c>
    </x:row>
    <x:row r="5">
      <x:c r="A5" s="62" t="n">
        <x:v>2026</x:v>
      </x:c>
      <x:c r="B5" s="62" t="str">
        <x:v>设备管理部</x:v>
      </x:c>
      <x:c r="C5" s="86" t="n">
        <x:f>SUMIFS('07_初始申报_项目'!$N$2:$N$43,'07_初始申报_项目'!$A$2:$A$43,$A5,'07_初始申报_项目'!$G$2:$G$43,$B5)</x:f>
        <x:v>791.3900000000001</x:v>
      </x:c>
      <x:c r="D5" s="86" t="n">
        <x:f>SUMIFS('07_初始申报_项目'!$O$2:$O$43,'07_初始申报_项目'!$A$2:$A$43,$A5,'07_初始申报_项目'!$G$2:$G$43,$B5)</x:f>
        <x:v>746.5999999999999</x:v>
      </x:c>
      <x:c r="E5" s="86" t="n">
        <x:f>SUMIFS('07_初始申报_项目'!$AS$2:$AS$43,'07_初始申报_项目'!$A$2:$A$43,$A5,'07_初始申报_项目'!$G$2:$G$43,$B5)</x:f>
        <x:v>293.604</x:v>
      </x:c>
      <x:c r="F5" s="86" t="n">
        <x:f>SUMIFS('07_初始申报_项目'!$AR$2:$AR$43,'07_初始申报_项目'!$A$2:$A$43,$A5,'07_初始申报_项目'!$G$2:$G$43,$B5)</x:f>
        <x:v>37.58</x:v>
      </x:c>
      <x:c r="G5" s="86" t="n">
        <x:f>SUMIFS('07_初始申报_项目'!$AV$2:$AV$43,'07_初始申报_项目'!$A$2:$A$43,$A5,'07_初始申报_项目'!$G$2:$G$43,$B5)</x:f>
        <x:v>331.18399999999997</x:v>
      </x:c>
      <x:c r="H5" s="86" t="n">
        <x:f>SUMIFS('08_初始申报_公共费'!$O$2:$O$25,'08_初始申报_公共费'!$A$2:$A$25,$A5,'08_初始申报_公共费'!$G$2:$G$25,$B5)</x:f>
        <x:v>5.22</x:v>
      </x:c>
      <x:c r="I5" s="86" t="n">
        <x:f>G5+H5</x:f>
        <x:v>336.404</x:v>
      </x:c>
      <x:c r="J5" s="90" t="n">
        <x:f>IF(D5=0,0,I5/D5)</x:f>
        <x:v>0.45058130190195556</x:v>
      </x:c>
      <x:c r="K5" s="90" t="n">
        <x:f>IF(D5=0,0,(D5-I5)/D5)</x:f>
        <x:v>0.5494186980980444</x:v>
      </x:c>
      <x:c r="L5" s="74" t="n">
        <x:v>45961</x:v>
      </x:c>
      <x:c r="M5" s="62" t="str">
        <x:v>FY2026-INITIAL-SUBMISSION-v1</x:v>
      </x:c>
      <x:c r="N5" s="62" t="str">
        <x:v>INITIAL_SUBMITTED</x:v>
      </x:c>
      <x:c r="O5" s="62" t="str">
        <x:f>IF(ABS(J5+K5-1)&lt;0.000001,"OK","FAIL")</x:f>
        <x:v>OK</x:v>
      </x:c>
    </x:row>
    <x:row r="6">
      <x:c r="A6" s="62" t="n">
        <x:v>2026</x:v>
      </x:c>
      <x:c r="B6" s="62" t="str">
        <x:v>技术部</x:v>
      </x:c>
      <x:c r="C6" s="86" t="n">
        <x:f>SUMIFS('07_初始申报_项目'!$N$2:$N$43,'07_初始申报_项目'!$A$2:$A$43,$A6,'07_初始申报_项目'!$G$2:$G$43,$B6)</x:f>
        <x:v>648.19</x:v>
      </x:c>
      <x:c r="D6" s="86" t="n">
        <x:f>SUMIFS('07_初始申报_项目'!$O$2:$O$43,'07_初始申报_项目'!$A$2:$A$43,$A6,'07_初始申报_项目'!$G$2:$G$43,$B6)</x:f>
        <x:v>611.5</x:v>
      </x:c>
      <x:c r="E6" s="86" t="n">
        <x:f>SUMIFS('07_初始申报_项目'!$AS$2:$AS$43,'07_初始申报_项目'!$A$2:$A$43,$A6,'07_初始申报_项目'!$G$2:$G$43,$B6)</x:f>
        <x:v>964.9499999999999</x:v>
      </x:c>
      <x:c r="F6" s="86" t="n">
        <x:f>SUMIFS('07_初始申报_项目'!$AR$2:$AR$43,'07_初始申报_项目'!$A$2:$A$43,$A6,'07_初始申报_项目'!$G$2:$G$43,$B6)</x:f>
        <x:v>795.5500000000001</x:v>
      </x:c>
      <x:c r="G6" s="86" t="n">
        <x:f>SUMIFS('07_初始申报_项目'!$AV$2:$AV$43,'07_初始申报_项目'!$A$2:$A$43,$A6,'07_初始申报_项目'!$G$2:$G$43,$B6)</x:f>
        <x:v>1760.5000000000002</x:v>
      </x:c>
      <x:c r="H6" s="86" t="n">
        <x:f>SUMIFS('08_初始申报_公共费'!$O$2:$O$25,'08_初始申报_公共费'!$A$2:$A$25,$A6,'08_初始申报_公共费'!$G$2:$G$25,$B6)</x:f>
        <x:v>5.4399999999999995</x:v>
      </x:c>
      <x:c r="I6" s="86" t="n">
        <x:f>G6+H6</x:f>
        <x:v>1765.9400000000003</x:v>
      </x:c>
      <x:c r="J6" s="90" t="n">
        <x:f>IF(D6=0,0,I6/D6)</x:f>
        <x:v>2.8878822567457076</x:v>
      </x:c>
      <x:c r="K6" s="90" t="n">
        <x:f>IF(D6=0,0,(D6-I6)/D6)</x:f>
        <x:v>-1.8878822567457076</x:v>
      </x:c>
      <x:c r="L6" s="74" t="n">
        <x:v>45961</x:v>
      </x:c>
      <x:c r="M6" s="62" t="str">
        <x:v>FY2026-INITIAL-SUBMISSION-v1</x:v>
      </x:c>
      <x:c r="N6" s="62" t="str">
        <x:v>INITIAL_SUBMITTED</x:v>
      </x:c>
      <x:c r="O6" s="62" t="str">
        <x:f>IF(ABS(J6+K6-1)&lt;0.000001,"OK","FAIL")</x:f>
        <x:v>OK</x:v>
      </x:c>
    </x:row>
    <x:row r="7">
      <x:c r="A7" s="62" t="n">
        <x:v>2026</x:v>
      </x:c>
      <x:c r="B7" s="62" t="str">
        <x:v>安全运行部</x:v>
      </x:c>
      <x:c r="C7" s="86" t="n">
        <x:f>SUMIFS('07_初始申报_项目'!$N$2:$N$43,'07_初始申报_项目'!$A$2:$A$43,$A7,'07_初始申报_项目'!$G$2:$G$43,$B7)</x:f>
        <x:v>482.51</x:v>
      </x:c>
      <x:c r="D7" s="86" t="n">
        <x:f>SUMIFS('07_初始申报_项目'!$O$2:$O$43,'07_初始申报_项目'!$A$2:$A$43,$A7,'07_初始申报_项目'!$G$2:$G$43,$B7)</x:f>
        <x:v>455.20000000000005</x:v>
      </x:c>
      <x:c r="E7" s="86" t="n">
        <x:f>SUMIFS('07_初始申报_项目'!$AS$2:$AS$43,'07_初始申报_项目'!$A$2:$A$43,$A7,'07_初始申报_项目'!$G$2:$G$43,$B7)</x:f>
        <x:v>472.598</x:v>
      </x:c>
      <x:c r="F7" s="86" t="n">
        <x:f>SUMIFS('07_初始申报_项目'!$AR$2:$AR$43,'07_初始申报_项目'!$A$2:$A$43,$A7,'07_初始申报_项目'!$G$2:$G$43,$B7)</x:f>
        <x:v>289.79999999999995</x:v>
      </x:c>
      <x:c r="G7" s="86" t="n">
        <x:f>SUMIFS('07_初始申报_项目'!$AV$2:$AV$43,'07_初始申报_项目'!$A$2:$A$43,$A7,'07_初始申报_项目'!$G$2:$G$43,$B7)</x:f>
        <x:v>762.3980000000001</x:v>
      </x:c>
      <x:c r="H7" s="86" t="n">
        <x:f>SUMIFS('08_初始申报_公共费'!$O$2:$O$25,'08_初始申报_公共费'!$A$2:$A$25,$A7,'08_初始申报_公共费'!$G$2:$G$25,$B7)</x:f>
        <x:v>5.3100000000000005</x:v>
      </x:c>
      <x:c r="I7" s="86" t="n">
        <x:f>G7+H7</x:f>
        <x:v>767.7080000000001</x:v>
      </x:c>
      <x:c r="J7" s="90" t="n">
        <x:f>IF(D7=0,0,I7/D7)</x:f>
        <x:v>1.6865289982425307</x:v>
      </x:c>
      <x:c r="K7" s="90" t="n">
        <x:f>IF(D7=0,0,(D7-I7)/D7)</x:f>
        <x:v>-0.6865289982425308</x:v>
      </x:c>
      <x:c r="L7" s="74" t="n">
        <x:v>45961</x:v>
      </x:c>
      <x:c r="M7" s="62" t="str">
        <x:v>FY2026-INITIAL-SUBMISSION-v1</x:v>
      </x:c>
      <x:c r="N7" s="62" t="str">
        <x:v>INITIAL_SUBMITTED</x:v>
      </x:c>
      <x:c r="O7" s="62" t="str">
        <x:f>IF(ABS(J7+K7-1)&lt;0.000001,"OK","FAIL")</x:f>
        <x:v>OK</x:v>
      </x:c>
    </x:row>
  </x:sheetData>
  <x:conditionalFormatting sqref="O2:O7">
    <x:cfRule type="containsText" dxfId="32" priority="1" operator="containsText" text="OK"/>
    <x:cfRule type="containsText" dxfId="33" priority="2" operator="containsText" text="PASS"/>
    <x:cfRule type="containsText" dxfId="34" priority="3" operator="containsText" text="FAIL"/>
    <x:cfRule type="containsText" dxfId="35" priority="4" operator="containsText" text="阻塞"/>
    <x:cfRule type="containsText" dxfId="36" priority="5" operator="containsText" text="待复核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6" hidden="0" customWidth="1"/>
    <x:col min="17" max="17" width="16" hidden="0" customWidth="1"/>
    <x:col min="18" max="18" width="18" hidden="0" customWidth="1"/>
    <x:col min="19" max="19" width="28" hidden="0" customWidth="1"/>
    <x:col min="20" max="20" width="10" hidden="0" customWidth="1"/>
    <x:col min="21" max="21" width="17" hidden="0" customWidth="1"/>
    <x:col min="22" max="22" width="22" hidden="0" customWidth="1"/>
    <x:col min="23" max="23" width="14" hidden="0" customWidth="1"/>
    <x:col min="24" max="24" width="42" hidden="0" customWidth="1"/>
    <x:col min="25" max="25" width="30" hidden="0" customWidth="1"/>
    <x:col min="26" max="26" width="12" hidden="0" customWidth="1"/>
    <x:col min="27" max="27" width="10" hidden="0" customWidth="1"/>
    <x:col min="28" max="28" width="42" hidden="0" customWidth="1"/>
    <x:col min="29" max="29" width="11" hidden="0" customWidth="1"/>
    <x:col min="30" max="30" width="13" hidden="0" customWidth="1"/>
  </x:cols>
  <x:sheetData>
    <x:row r="1" ht="34" customHeight="1">
      <x:c r="A1" s="68" t="str">
        <x:v>事件ID</x:v>
      </x:c>
      <x:c r="B1" s="69" t="str">
        <x:v>数据标记</x:v>
      </x:c>
      <x:c r="C1" s="69" t="str">
        <x:v>参考凭证编号</x:v>
      </x:c>
      <x:c r="D1" s="69" t="str">
        <x:v>参考凭证项号</x:v>
      </x:c>
      <x:c r="E1" s="69" t="str">
        <x:v>值类型文本</x:v>
      </x:c>
      <x:c r="F1" s="69" t="str">
        <x:v>事件类型</x:v>
      </x:c>
      <x:c r="G1" s="69" t="str">
        <x:v>源期间年度</x:v>
      </x:c>
      <x:c r="H1" s="69" t="str">
        <x:v>标准期间</x:v>
      </x:c>
      <x:c r="I1" s="69" t="str">
        <x:v>财务过账日期</x:v>
      </x:c>
      <x:c r="J1" s="69" t="str">
        <x:v>业务事件日期</x:v>
      </x:c>
      <x:c r="K1" s="69" t="str">
        <x:v>源支付金额</x:v>
      </x:c>
      <x:c r="L1" s="69" t="str">
        <x:v>占用变动金额</x:v>
      </x:c>
      <x:c r="M1" s="69" t="str">
        <x:v>承诺项目名称</x:v>
      </x:c>
      <x:c r="N1" s="69" t="str">
        <x:v>文本</x:v>
      </x:c>
      <x:c r="O1" s="69" t="str">
        <x:v>原供应商</x:v>
      </x:c>
      <x:c r="P1" s="69" t="str">
        <x:v>演示供应商</x:v>
      </x:c>
      <x:c r="Q1" s="69" t="str">
        <x:v>最终供应商</x:v>
      </x:c>
      <x:c r="R1" s="69" t="str">
        <x:v>部门</x:v>
      </x:c>
      <x:c r="S1" s="69" t="str">
        <x:v>项目编号</x:v>
      </x:c>
      <x:c r="T1" s="69" t="str">
        <x:v>事件方向</x:v>
      </x:c>
      <x:c r="U1" s="69" t="str">
        <x:v>正向毛发起量</x:v>
      </x:c>
      <x:c r="V1" s="69" t="str">
        <x:v>12月正向采购发起量</x:v>
      </x:c>
      <x:c r="W1" s="69" t="str">
        <x:v>快照时点</x:v>
      </x:c>
      <x:c r="X1" s="69" t="str">
        <x:v>关联正向事件</x:v>
      </x:c>
      <x:c r="Y1" s="69" t="str">
        <x:v>来源文件</x:v>
      </x:c>
      <x:c r="Z1" s="69" t="str">
        <x:v>来源成员</x:v>
      </x:c>
      <x:c r="AA1" s="69" t="str">
        <x:v>源行</x:v>
      </x:c>
      <x:c r="AB1" s="69" t="str">
        <x:v>稳定键</x:v>
      </x:c>
      <x:c r="AC1" s="69" t="str">
        <x:v>期间QC</x:v>
      </x:c>
      <x:c r="AD1" s="70" t="str">
        <x:v>释放额度QC</x:v>
      </x:c>
    </x:row>
    <x:row r="2">
      <x:c r="A2" s="62" t="str">
        <x:v>OCC|2025|5000|10|PR|2</x:v>
      </x:c>
      <x:c r="B2" s="62" t="str">
        <x:v>SOURCE</x:v>
      </x:c>
      <x:c r="C2" s="62" t="str">
        <x:v>5000</x:v>
      </x:c>
      <x:c r="D2" s="62" t="str">
        <x:v>10</x:v>
      </x:c>
      <x:c r="E2" s="62" t="str">
        <x:v>购买申请</x:v>
      </x:c>
      <x:c r="F2" s="62" t="str">
        <x:v>PR</x:v>
      </x:c>
      <x:c r="G2" s="62" t="str">
        <x:v>2025-001</x:v>
      </x:c>
      <x:c r="H2" s="62" t="str">
        <x:v>2025-01</x:v>
      </x:c>
      <x:c r="I2" s="74" t="n">
        <x:v>45667</x:v>
      </x:c>
      <x:c r="J2" s="74" t="n">
        <x:v>45667</x:v>
      </x:c>
      <x:c r="K2" s="81" t="n">
        <x:v>5.7</x:v>
      </x:c>
      <x:c r="L2" s="81" t="n">
        <x:v>5.7</x:v>
      </x:c>
      <x:c r="M2" s="62" t="str">
        <x:v>业务支持费</x:v>
      </x:c>
      <x:c r="N2" s="62" t="str">
        <x:v>技术配置-采购申请</x:v>
      </x:c>
      <x:c r="O2" s="62" t="str">
        <x:v>北京核工院</x:v>
      </x:c>
      <x:c r="P2" s="62" t="str">
        <x:v>北京核工院</x:v>
      </x:c>
      <x:c r="Q2" s="62" t="str">
        <x:v>上海电气</x:v>
      </x:c>
      <x:c r="R2" s="62" t="str">
        <x:v>设备管理部</x:v>
      </x:c>
      <x:c r="S2" s="62" t="str">
        <x:v>PRJ-SB-设备-2025-002</x:v>
      </x:c>
      <x:c r="T2" s="62" t="str">
        <x:v>正向</x:v>
      </x:c>
      <x:c r="U2" s="86" t="n">
        <x:f>IF(AND(F2="PR",L2&gt;0),L2,0)</x:f>
        <x:v>5.7</x:v>
      </x:c>
      <x:c r="V2" s="86" t="n">
        <x:f>IF(AND(F2="PR",L2&gt;0,MONTH(I2)=12),L2,0)</x:f>
        <x:v>0</x:v>
      </x:c>
      <x:c r="W2" s="74" t="n">
        <x:v>46022</x:v>
      </x:c>
      <x:c r="X2" s="62" t="str"/>
      <x:c r="Y2" s="62" t="str">
        <x:v>2025年预算占用.XLSX</x:v>
      </x:c>
      <x:c r="Z2" s="62" t="str">
        <x:v>Sheet</x:v>
      </x:c>
      <x:c r="AA2" s="62" t="n">
        <x:v>2</x:v>
      </x:c>
      <x:c r="AB2" s="62" t="str">
        <x:v>5000|10|PR|2025-01-10|2</x:v>
      </x:c>
      <x:c r="AC2" s="62" t="str">
        <x:f>IF(MONTH(I2)=VALUE(RIGHT(H2,2)),"OK","FAIL")</x:f>
        <x:v>OK</x:v>
      </x:c>
      <x:c r="AD2" s="62" t="str">
        <x:f>"OK"</x:f>
        <x:v>OK</x:v>
      </x:c>
    </x:row>
    <x:row r="3">
      <x:c r="A3" s="62" t="str">
        <x:v>OCC|2025|5000|20|PO|3</x:v>
      </x:c>
      <x:c r="B3" s="62" t="str">
        <x:v>SOURCE</x:v>
      </x:c>
      <x:c r="C3" s="62" t="str">
        <x:v>5000</x:v>
      </x:c>
      <x:c r="D3" s="62" t="str">
        <x:v>20</x:v>
      </x:c>
      <x:c r="E3" s="62" t="str">
        <x:v>采购订单</x:v>
      </x:c>
      <x:c r="F3" s="62" t="str">
        <x:v>PO</x:v>
      </x:c>
      <x:c r="G3" s="62" t="str">
        <x:v>2025-001</x:v>
      </x:c>
      <x:c r="H3" s="62" t="str">
        <x:v>2025-01</x:v>
      </x:c>
      <x:c r="I3" s="74" t="n">
        <x:v>45672</x:v>
      </x:c>
      <x:c r="J3" s="74" t="n">
        <x:v>45672</x:v>
      </x:c>
      <x:c r="K3" s="81" t="n">
        <x:v>5.42</x:v>
      </x:c>
      <x:c r="L3" s="81" t="n">
        <x:v>5.42</x:v>
      </x:c>
      <x:c r="M3" s="62" t="str">
        <x:v>业务支持费</x:v>
      </x:c>
      <x:c r="N3" s="62" t="str">
        <x:v>技术配置-采购订单</x:v>
      </x:c>
      <x:c r="O3" s="62" t="str">
        <x:v>上海电气</x:v>
      </x:c>
      <x:c r="P3" s="62" t="str">
        <x:v>上海电气</x:v>
      </x:c>
      <x:c r="Q3" s="62" t="str">
        <x:v>上海电气</x:v>
      </x:c>
      <x:c r="R3" s="62" t="str">
        <x:v>设备管理部</x:v>
      </x:c>
      <x:c r="S3" s="62" t="str">
        <x:v>PRJ-SB-设备-2025-002</x:v>
      </x:c>
      <x:c r="T3" s="62" t="str">
        <x:v>正向</x:v>
      </x:c>
      <x:c r="U3" s="86" t="n">
        <x:f>IF(AND(F3="PR",L3&gt;0),L3,0)</x:f>
        <x:v>0</x:v>
      </x:c>
      <x:c r="V3" s="86" t="n">
        <x:f>IF(AND(F3="PR",L3&gt;0,MONTH(I3)=12),L3,0)</x:f>
        <x:v>0</x:v>
      </x:c>
      <x:c r="W3" s="74" t="n">
        <x:v>46022</x:v>
      </x:c>
      <x:c r="X3" s="62" t="str"/>
      <x:c r="Y3" s="62" t="str">
        <x:v>2025年预算占用.XLSX</x:v>
      </x:c>
      <x:c r="Z3" s="62" t="str">
        <x:v>Sheet</x:v>
      </x:c>
      <x:c r="AA3" s="62" t="n">
        <x:v>3</x:v>
      </x:c>
      <x:c r="AB3" s="62" t="str">
        <x:v>5000|20|PO|2025-01-15|3</x:v>
      </x:c>
      <x:c r="AC3" s="62" t="str">
        <x:f>IF(MONTH(I3)=VALUE(RIGHT(H3,2)),"OK","FAIL")</x:f>
        <x:v>OK</x:v>
      </x:c>
      <x:c r="AD3" s="62" t="str">
        <x:f>"OK"</x:f>
        <x:v>OK</x:v>
      </x:c>
    </x:row>
    <x:row r="4">
      <x:c r="A4" s="62" t="str">
        <x:v>OCC|2025|5000|10|PR|4</x:v>
      </x:c>
      <x:c r="B4" s="62" t="str">
        <x:v>CORRECTED</x:v>
      </x:c>
      <x:c r="C4" s="62" t="str">
        <x:v>5000</x:v>
      </x:c>
      <x:c r="D4" s="62" t="str">
        <x:v>10</x:v>
      </x:c>
      <x:c r="E4" s="62" t="str">
        <x:v>购买申请</x:v>
      </x:c>
      <x:c r="F4" s="62" t="str">
        <x:v>PR</x:v>
      </x:c>
      <x:c r="G4" s="62" t="str">
        <x:v>2025-001</x:v>
      </x:c>
      <x:c r="H4" s="62" t="str">
        <x:v>2025-01</x:v>
      </x:c>
      <x:c r="I4" s="74" t="n">
        <x:v>45672</x:v>
      </x:c>
      <x:c r="J4" s="74" t="n">
        <x:v>45672</x:v>
      </x:c>
      <x:c r="K4" s="81" t="n">
        <x:v>-5.7</x:v>
      </x:c>
      <x:c r="L4" s="81" t="n">
        <x:v>-5.7</x:v>
      </x:c>
      <x:c r="M4" s="62" t="str">
        <x:v>业务支持费</x:v>
      </x:c>
      <x:c r="N4" s="62" t="str">
        <x:v>冲销购买申请</x:v>
      </x:c>
      <x:c r="O4" s="62" t="str">
        <x:v>苏州热工</x:v>
      </x:c>
      <x:c r="P4" s="62" t="str">
        <x:v>北京核工院</x:v>
      </x:c>
      <x:c r="Q4" s="62" t="str">
        <x:v>上海电气</x:v>
      </x:c>
      <x:c r="R4" s="62" t="str">
        <x:v>设备管理部</x:v>
      </x:c>
      <x:c r="S4" s="62" t="str">
        <x:v>PRJ-SB-设备-2025-002</x:v>
      </x:c>
      <x:c r="T4" s="62" t="str">
        <x:v>释放</x:v>
      </x:c>
      <x:c r="U4" s="86" t="n">
        <x:f>IF(AND(F4="PR",L4&gt;0),L4,0)</x:f>
        <x:v>0</x:v>
      </x:c>
      <x:c r="V4" s="86" t="n">
        <x:f>IF(AND(F4="PR",L4&gt;0,MONTH(I4)=12),L4,0)</x:f>
        <x:v>0</x:v>
      </x:c>
      <x:c r="W4" s="74" t="n">
        <x:v>46022</x:v>
      </x:c>
      <x:c r="X4" s="62" t="str">
        <x:v>OCC|2025|5000|10|PR|2</x:v>
      </x:c>
      <x:c r="Y4" s="62" t="str">
        <x:v>2025年预算占用.XLSX</x:v>
      </x:c>
      <x:c r="Z4" s="62" t="str">
        <x:v>Sheet</x:v>
      </x:c>
      <x:c r="AA4" s="62" t="n">
        <x:v>4</x:v>
      </x:c>
      <x:c r="AB4" s="62" t="str">
        <x:v>5000|10|PR|2025-01-15|4</x:v>
      </x:c>
      <x:c r="AC4" s="62" t="str">
        <x:f>IF(MONTH(I4)=VALUE(RIGHT(H4,2)),"OK","FAIL")</x:f>
        <x:v>OK</x:v>
      </x:c>
      <x:c r="AD4" s="62" t="str">
        <x:f>IF(ABS(L4)&lt;=SUMIFS($L$2:$L$109,$C$2:$C$109,C4,$D$2:$D$109,D4,$F$2:$F$109,F4,$L$2:$L$109,"&gt;0"),"OK","FAIL")</x:f>
        <x:v>OK</x:v>
      </x:c>
    </x:row>
    <x:row r="5">
      <x:c r="A5" s="62" t="str">
        <x:v>OCC|2025|5000|20|PO|5</x:v>
      </x:c>
      <x:c r="B5" s="62" t="str">
        <x:v>CORRECTED</x:v>
      </x:c>
      <x:c r="C5" s="62" t="str">
        <x:v>5000</x:v>
      </x:c>
      <x:c r="D5" s="62" t="str">
        <x:v>20</x:v>
      </x:c>
      <x:c r="E5" s="62" t="str">
        <x:v>采购订单</x:v>
      </x:c>
      <x:c r="F5" s="62" t="str">
        <x:v>PO</x:v>
      </x:c>
      <x:c r="G5" s="62" t="str">
        <x:v>2025-001</x:v>
      </x:c>
      <x:c r="H5" s="62" t="str">
        <x:v>2025-01</x:v>
      </x:c>
      <x:c r="I5" s="74" t="n">
        <x:v>45677</x:v>
      </x:c>
      <x:c r="J5" s="74" t="n">
        <x:v>45677</x:v>
      </x:c>
      <x:c r="K5" s="81" t="n">
        <x:v>-4.34</x:v>
      </x:c>
      <x:c r="L5" s="81" t="n">
        <x:v>-4.34</x:v>
      </x:c>
      <x:c r="M5" s="62" t="str">
        <x:v>业务支持费</x:v>
      </x:c>
      <x:c r="N5" s="62" t="str">
        <x:v>确认成本冲销PO</x:v>
      </x:c>
      <x:c r="O5" s="62" t="str">
        <x:v>国电智深</x:v>
      </x:c>
      <x:c r="P5" s="62" t="str">
        <x:v>上海电气</x:v>
      </x:c>
      <x:c r="Q5" s="62" t="str">
        <x:v>上海电气</x:v>
      </x:c>
      <x:c r="R5" s="62" t="str">
        <x:v>设备管理部</x:v>
      </x:c>
      <x:c r="S5" s="62" t="str">
        <x:v>PRJ-SB-设备-2025-002</x:v>
      </x:c>
      <x:c r="T5" s="62" t="str">
        <x:v>释放</x:v>
      </x:c>
      <x:c r="U5" s="86" t="n">
        <x:f>IF(AND(F5="PR",L5&gt;0),L5,0)</x:f>
        <x:v>0</x:v>
      </x:c>
      <x:c r="V5" s="86" t="n">
        <x:f>IF(AND(F5="PR",L5&gt;0,MONTH(I5)=12),L5,0)</x:f>
        <x:v>0</x:v>
      </x:c>
      <x:c r="W5" s="74" t="n">
        <x:v>46022</x:v>
      </x:c>
      <x:c r="X5" s="62" t="str">
        <x:v>OCC|2025|5000|20|PO|3</x:v>
      </x:c>
      <x:c r="Y5" s="62" t="str">
        <x:v>2025年预算占用.XLSX</x:v>
      </x:c>
      <x:c r="Z5" s="62" t="str">
        <x:v>Sheet</x:v>
      </x:c>
      <x:c r="AA5" s="62" t="n">
        <x:v>5</x:v>
      </x:c>
      <x:c r="AB5" s="62" t="str">
        <x:v>5000|20|PO|2025-01-20|5</x:v>
      </x:c>
      <x:c r="AC5" s="62" t="str">
        <x:f>IF(MONTH(I5)=VALUE(RIGHT(H5,2)),"OK","FAIL")</x:f>
        <x:v>OK</x:v>
      </x:c>
      <x:c r="AD5" s="62" t="str">
        <x:f>IF(ABS(L5)&lt;=SUMIFS($L$2:$L$109,$C$2:$C$109,C5,$D$2:$D$109,D5,$F$2:$F$109,F5,$L$2:$L$109,"&gt;0"),"OK","FAIL")</x:f>
        <x:v>OK</x:v>
      </x:c>
    </x:row>
    <x:row r="6">
      <x:c r="A6" s="62" t="str">
        <x:v>OCC|2025|5001|10|PR|6</x:v>
      </x:c>
      <x:c r="B6" s="62" t="str">
        <x:v>SOURCE</x:v>
      </x:c>
      <x:c r="C6" s="62" t="str">
        <x:v>5001</x:v>
      </x:c>
      <x:c r="D6" s="62" t="str">
        <x:v>10</x:v>
      </x:c>
      <x:c r="E6" s="62" t="str">
        <x:v>购买申请</x:v>
      </x:c>
      <x:c r="F6" s="62" t="str">
        <x:v>PR</x:v>
      </x:c>
      <x:c r="G6" s="62" t="str">
        <x:v>2025-002</x:v>
      </x:c>
      <x:c r="H6" s="62" t="str">
        <x:v>2025-02</x:v>
      </x:c>
      <x:c r="I6" s="74" t="n">
        <x:v>45698</x:v>
      </x:c>
      <x:c r="J6" s="74" t="n">
        <x:v>45698</x:v>
      </x:c>
      <x:c r="K6" s="81" t="n">
        <x:v>9.95</x:v>
      </x:c>
      <x:c r="L6" s="81" t="n">
        <x:v>9.95</x:v>
      </x:c>
      <x:c r="M6" s="62" t="str">
        <x:v>业务支持费</x:v>
      </x:c>
      <x:c r="N6" s="62" t="str">
        <x:v>技术配置-采购申请</x:v>
      </x:c>
      <x:c r="O6" s="62" t="str">
        <x:v>苏州热工</x:v>
      </x:c>
      <x:c r="P6" s="62" t="str">
        <x:v>苏州热工</x:v>
      </x:c>
      <x:c r="Q6" s="62" t="str">
        <x:v>上海电气</x:v>
      </x:c>
      <x:c r="R6" s="62" t="str">
        <x:v>设备管理部</x:v>
      </x:c>
      <x:c r="S6" s="62" t="str">
        <x:v>PRJ-SB-设备-2025-002</x:v>
      </x:c>
      <x:c r="T6" s="62" t="str">
        <x:v>正向</x:v>
      </x:c>
      <x:c r="U6" s="86" t="n">
        <x:f>IF(AND(F6="PR",L6&gt;0),L6,0)</x:f>
        <x:v>9.95</x:v>
      </x:c>
      <x:c r="V6" s="86" t="n">
        <x:f>IF(AND(F6="PR",L6&gt;0,MONTH(I6)=12),L6,0)</x:f>
        <x:v>0</x:v>
      </x:c>
      <x:c r="W6" s="74" t="n">
        <x:v>46022</x:v>
      </x:c>
      <x:c r="X6" s="62" t="str"/>
      <x:c r="Y6" s="62" t="str">
        <x:v>2025年预算占用.XLSX</x:v>
      </x:c>
      <x:c r="Z6" s="62" t="str">
        <x:v>Sheet</x:v>
      </x:c>
      <x:c r="AA6" s="62" t="n">
        <x:v>6</x:v>
      </x:c>
      <x:c r="AB6" s="62" t="str">
        <x:v>5001|10|PR|2025-02-10|6</x:v>
      </x:c>
      <x:c r="AC6" s="62" t="str">
        <x:f>IF(MONTH(I6)=VALUE(RIGHT(H6,2)),"OK","FAIL")</x:f>
        <x:v>OK</x:v>
      </x:c>
      <x:c r="AD6" s="62" t="str">
        <x:f>"OK"</x:f>
        <x:v>OK</x:v>
      </x:c>
    </x:row>
    <x:row r="7">
      <x:c r="A7" s="62" t="str">
        <x:v>OCC|2025|5001|20|PO|7</x:v>
      </x:c>
      <x:c r="B7" s="62" t="str">
        <x:v>SOURCE</x:v>
      </x:c>
      <x:c r="C7" s="62" t="str">
        <x:v>5001</x:v>
      </x:c>
      <x:c r="D7" s="62" t="str">
        <x:v>20</x:v>
      </x:c>
      <x:c r="E7" s="62" t="str">
        <x:v>采购订单</x:v>
      </x:c>
      <x:c r="F7" s="62" t="str">
        <x:v>PO</x:v>
      </x:c>
      <x:c r="G7" s="62" t="str">
        <x:v>2025-002</x:v>
      </x:c>
      <x:c r="H7" s="62" t="str">
        <x:v>2025-02</x:v>
      </x:c>
      <x:c r="I7" s="74" t="n">
        <x:v>45703</x:v>
      </x:c>
      <x:c r="J7" s="74" t="n">
        <x:v>45703</x:v>
      </x:c>
      <x:c r="K7" s="81" t="n">
        <x:v>9.45</x:v>
      </x:c>
      <x:c r="L7" s="81" t="n">
        <x:v>9.45</x:v>
      </x:c>
      <x:c r="M7" s="62" t="str">
        <x:v>业务支持费</x:v>
      </x:c>
      <x:c r="N7" s="62" t="str">
        <x:v>技术配置-采购订单</x:v>
      </x:c>
      <x:c r="O7" s="62" t="str">
        <x:v>上海电气</x:v>
      </x:c>
      <x:c r="P7" s="62" t="str">
        <x:v>上海电气</x:v>
      </x:c>
      <x:c r="Q7" s="62" t="str">
        <x:v>上海电气</x:v>
      </x:c>
      <x:c r="R7" s="62" t="str">
        <x:v>设备管理部</x:v>
      </x:c>
      <x:c r="S7" s="62" t="str">
        <x:v>PRJ-SB-设备-2025-002</x:v>
      </x:c>
      <x:c r="T7" s="62" t="str">
        <x:v>正向</x:v>
      </x:c>
      <x:c r="U7" s="86" t="n">
        <x:f>IF(AND(F7="PR",L7&gt;0),L7,0)</x:f>
        <x:v>0</x:v>
      </x:c>
      <x:c r="V7" s="86" t="n">
        <x:f>IF(AND(F7="PR",L7&gt;0,MONTH(I7)=12),L7,0)</x:f>
        <x:v>0</x:v>
      </x:c>
      <x:c r="W7" s="74" t="n">
        <x:v>46022</x:v>
      </x:c>
      <x:c r="X7" s="62" t="str"/>
      <x:c r="Y7" s="62" t="str">
        <x:v>2025年预算占用.XLSX</x:v>
      </x:c>
      <x:c r="Z7" s="62" t="str">
        <x:v>Sheet</x:v>
      </x:c>
      <x:c r="AA7" s="62" t="n">
        <x:v>7</x:v>
      </x:c>
      <x:c r="AB7" s="62" t="str">
        <x:v>5001|20|PO|2025-02-15|7</x:v>
      </x:c>
      <x:c r="AC7" s="62" t="str">
        <x:f>IF(MONTH(I7)=VALUE(RIGHT(H7,2)),"OK","FAIL")</x:f>
        <x:v>OK</x:v>
      </x:c>
      <x:c r="AD7" s="62" t="str">
        <x:f>"OK"</x:f>
        <x:v>OK</x:v>
      </x:c>
    </x:row>
    <x:row r="8">
      <x:c r="A8" s="62" t="str">
        <x:v>OCC|2025|5001|10|PR|8</x:v>
      </x:c>
      <x:c r="B8" s="62" t="str">
        <x:v>CORRECTED</x:v>
      </x:c>
      <x:c r="C8" s="62" t="str">
        <x:v>5001</x:v>
      </x:c>
      <x:c r="D8" s="62" t="str">
        <x:v>10</x:v>
      </x:c>
      <x:c r="E8" s="62" t="str">
        <x:v>购买申请</x:v>
      </x:c>
      <x:c r="F8" s="62" t="str">
        <x:v>PR</x:v>
      </x:c>
      <x:c r="G8" s="62" t="str">
        <x:v>2025-002</x:v>
      </x:c>
      <x:c r="H8" s="62" t="str">
        <x:v>2025-02</x:v>
      </x:c>
      <x:c r="I8" s="74" t="n">
        <x:v>45703</x:v>
      </x:c>
      <x:c r="J8" s="74" t="n">
        <x:v>45703</x:v>
      </x:c>
      <x:c r="K8" s="81" t="n">
        <x:v>-9.95</x:v>
      </x:c>
      <x:c r="L8" s="81" t="n">
        <x:v>-9.95</x:v>
      </x:c>
      <x:c r="M8" s="62" t="str">
        <x:v>业务支持费</x:v>
      </x:c>
      <x:c r="N8" s="62" t="str">
        <x:v>冲销购买申请</x:v>
      </x:c>
      <x:c r="O8" s="62" t="str">
        <x:v>中核运维</x:v>
      </x:c>
      <x:c r="P8" s="62" t="str">
        <x:v>苏州热工</x:v>
      </x:c>
      <x:c r="Q8" s="62" t="str">
        <x:v>上海电气</x:v>
      </x:c>
      <x:c r="R8" s="62" t="str">
        <x:v>设备管理部</x:v>
      </x:c>
      <x:c r="S8" s="62" t="str">
        <x:v>PRJ-SB-设备-2025-002</x:v>
      </x:c>
      <x:c r="T8" s="62" t="str">
        <x:v>释放</x:v>
      </x:c>
      <x:c r="U8" s="86" t="n">
        <x:f>IF(AND(F8="PR",L8&gt;0),L8,0)</x:f>
        <x:v>0</x:v>
      </x:c>
      <x:c r="V8" s="86" t="n">
        <x:f>IF(AND(F8="PR",L8&gt;0,MONTH(I8)=12),L8,0)</x:f>
        <x:v>0</x:v>
      </x:c>
      <x:c r="W8" s="74" t="n">
        <x:v>46022</x:v>
      </x:c>
      <x:c r="X8" s="62" t="str">
        <x:v>OCC|2025|5001|10|PR|6</x:v>
      </x:c>
      <x:c r="Y8" s="62" t="str">
        <x:v>2025年预算占用.XLSX</x:v>
      </x:c>
      <x:c r="Z8" s="62" t="str">
        <x:v>Sheet</x:v>
      </x:c>
      <x:c r="AA8" s="62" t="n">
        <x:v>8</x:v>
      </x:c>
      <x:c r="AB8" s="62" t="str">
        <x:v>5001|10|PR|2025-02-15|8</x:v>
      </x:c>
      <x:c r="AC8" s="62" t="str">
        <x:f>IF(MONTH(I8)=VALUE(RIGHT(H8,2)),"OK","FAIL")</x:f>
        <x:v>OK</x:v>
      </x:c>
      <x:c r="AD8" s="62" t="str">
        <x:f>IF(ABS(L8)&lt;=SUMIFS($L$2:$L$109,$C$2:$C$109,C8,$D$2:$D$109,D8,$F$2:$F$109,F8,$L$2:$L$109,"&gt;0"),"OK","FAIL")</x:f>
        <x:v>OK</x:v>
      </x:c>
    </x:row>
    <x:row r="9">
      <x:c r="A9" s="62" t="str">
        <x:v>OCC|2025|5001|20|PO|9</x:v>
      </x:c>
      <x:c r="B9" s="62" t="str">
        <x:v>CORRECTED</x:v>
      </x:c>
      <x:c r="C9" s="62" t="str">
        <x:v>5001</x:v>
      </x:c>
      <x:c r="D9" s="62" t="str">
        <x:v>20</x:v>
      </x:c>
      <x:c r="E9" s="62" t="str">
        <x:v>采购订单</x:v>
      </x:c>
      <x:c r="F9" s="62" t="str">
        <x:v>PO</x:v>
      </x:c>
      <x:c r="G9" s="62" t="str">
        <x:v>2025-002</x:v>
      </x:c>
      <x:c r="H9" s="62" t="str">
        <x:v>2025-02</x:v>
      </x:c>
      <x:c r="I9" s="74" t="n">
        <x:v>45708</x:v>
      </x:c>
      <x:c r="J9" s="74" t="n">
        <x:v>45708</x:v>
      </x:c>
      <x:c r="K9" s="81" t="n">
        <x:v>-7.56</x:v>
      </x:c>
      <x:c r="L9" s="81" t="n">
        <x:v>-7.56</x:v>
      </x:c>
      <x:c r="M9" s="62" t="str">
        <x:v>业务支持费</x:v>
      </x:c>
      <x:c r="N9" s="62" t="str">
        <x:v>确认成本冲销PO</x:v>
      </x:c>
      <x:c r="O9" s="62" t="str">
        <x:v>苏州热工</x:v>
      </x:c>
      <x:c r="P9" s="62" t="str">
        <x:v>上海电气</x:v>
      </x:c>
      <x:c r="Q9" s="62" t="str">
        <x:v>上海电气</x:v>
      </x:c>
      <x:c r="R9" s="62" t="str">
        <x:v>设备管理部</x:v>
      </x:c>
      <x:c r="S9" s="62" t="str">
        <x:v>PRJ-SB-设备-2025-002</x:v>
      </x:c>
      <x:c r="T9" s="62" t="str">
        <x:v>释放</x:v>
      </x:c>
      <x:c r="U9" s="86" t="n">
        <x:f>IF(AND(F9="PR",L9&gt;0),L9,0)</x:f>
        <x:v>0</x:v>
      </x:c>
      <x:c r="V9" s="86" t="n">
        <x:f>IF(AND(F9="PR",L9&gt;0,MONTH(I9)=12),L9,0)</x:f>
        <x:v>0</x:v>
      </x:c>
      <x:c r="W9" s="74" t="n">
        <x:v>46022</x:v>
      </x:c>
      <x:c r="X9" s="62" t="str">
        <x:v>OCC|2025|5001|20|PO|7</x:v>
      </x:c>
      <x:c r="Y9" s="62" t="str">
        <x:v>2025年预算占用.XLSX</x:v>
      </x:c>
      <x:c r="Z9" s="62" t="str">
        <x:v>Sheet</x:v>
      </x:c>
      <x:c r="AA9" s="62" t="n">
        <x:v>9</x:v>
      </x:c>
      <x:c r="AB9" s="62" t="str">
        <x:v>5001|20|PO|2025-02-20|9</x:v>
      </x:c>
      <x:c r="AC9" s="62" t="str">
        <x:f>IF(MONTH(I9)=VALUE(RIGHT(H9,2)),"OK","FAIL")</x:f>
        <x:v>OK</x:v>
      </x:c>
      <x:c r="AD9" s="62" t="str">
        <x:f>IF(ABS(L9)&lt;=SUMIFS($L$2:$L$109,$C$2:$C$109,C9,$D$2:$D$109,D9,$F$2:$F$109,F9,$L$2:$L$109,"&gt;0"),"OK","FAIL")</x:f>
        <x:v>OK</x:v>
      </x:c>
    </x:row>
    <x:row r="10">
      <x:c r="A10" s="62" t="str">
        <x:v>OCC|2025|5002|10|PR|10</x:v>
      </x:c>
      <x:c r="B10" s="62" t="str">
        <x:v>SOURCE</x:v>
      </x:c>
      <x:c r="C10" s="62" t="str">
        <x:v>5002</x:v>
      </x:c>
      <x:c r="D10" s="62" t="str">
        <x:v>10</x:v>
      </x:c>
      <x:c r="E10" s="62" t="str">
        <x:v>购买申请</x:v>
      </x:c>
      <x:c r="F10" s="62" t="str">
        <x:v>PR</x:v>
      </x:c>
      <x:c r="G10" s="62" t="str">
        <x:v>2025-003</x:v>
      </x:c>
      <x:c r="H10" s="62" t="str">
        <x:v>2025-03</x:v>
      </x:c>
      <x:c r="I10" s="74" t="n">
        <x:v>45726</x:v>
      </x:c>
      <x:c r="J10" s="74" t="n">
        <x:v>45726</x:v>
      </x:c>
      <x:c r="K10" s="81" t="n">
        <x:v>12.62</x:v>
      </x:c>
      <x:c r="L10" s="81" t="n">
        <x:v>12.62</x:v>
      </x:c>
      <x:c r="M10" s="62" t="str">
        <x:v>业务支持费</x:v>
      </x:c>
      <x:c r="N10" s="62" t="str">
        <x:v>技术配置-采购申请</x:v>
      </x:c>
      <x:c r="O10" s="62" t="str">
        <x:v>国电智深</x:v>
      </x:c>
      <x:c r="P10" s="62" t="str">
        <x:v>国电智深</x:v>
      </x:c>
      <x:c r="Q10" s="62" t="str">
        <x:v>苏州热工</x:v>
      </x:c>
      <x:c r="R10" s="62" t="str">
        <x:v>设备管理部</x:v>
      </x:c>
      <x:c r="S10" s="62" t="str">
        <x:v>PRJ-SB-设备-2025-002</x:v>
      </x:c>
      <x:c r="T10" s="62" t="str">
        <x:v>正向</x:v>
      </x:c>
      <x:c r="U10" s="86" t="n">
        <x:f>IF(AND(F10="PR",L10&gt;0),L10,0)</x:f>
        <x:v>12.62</x:v>
      </x:c>
      <x:c r="V10" s="86" t="n">
        <x:f>IF(AND(F10="PR",L10&gt;0,MONTH(I10)=12),L10,0)</x:f>
        <x:v>0</x:v>
      </x:c>
      <x:c r="W10" s="74" t="n">
        <x:v>46022</x:v>
      </x:c>
      <x:c r="X10" s="62" t="str"/>
      <x:c r="Y10" s="62" t="str">
        <x:v>2025年预算占用.XLSX</x:v>
      </x:c>
      <x:c r="Z10" s="62" t="str">
        <x:v>Sheet</x:v>
      </x:c>
      <x:c r="AA10" s="62" t="n">
        <x:v>10</x:v>
      </x:c>
      <x:c r="AB10" s="62" t="str">
        <x:v>5002|10|PR|2025-03-10|10</x:v>
      </x:c>
      <x:c r="AC10" s="62" t="str">
        <x:f>IF(MONTH(I10)=VALUE(RIGHT(H10,2)),"OK","FAIL")</x:f>
        <x:v>OK</x:v>
      </x:c>
      <x:c r="AD10" s="62" t="str">
        <x:f>"OK"</x:f>
        <x:v>OK</x:v>
      </x:c>
    </x:row>
    <x:row r="11">
      <x:c r="A11" s="62" t="str">
        <x:v>OCC|2025|5002|20|PO|11</x:v>
      </x:c>
      <x:c r="B11" s="62" t="str">
        <x:v>SOURCE</x:v>
      </x:c>
      <x:c r="C11" s="62" t="str">
        <x:v>5002</x:v>
      </x:c>
      <x:c r="D11" s="62" t="str">
        <x:v>20</x:v>
      </x:c>
      <x:c r="E11" s="62" t="str">
        <x:v>采购订单</x:v>
      </x:c>
      <x:c r="F11" s="62" t="str">
        <x:v>PO</x:v>
      </x:c>
      <x:c r="G11" s="62" t="str">
        <x:v>2025-003</x:v>
      </x:c>
      <x:c r="H11" s="62" t="str">
        <x:v>2025-03</x:v>
      </x:c>
      <x:c r="I11" s="74" t="n">
        <x:v>45731</x:v>
      </x:c>
      <x:c r="J11" s="74" t="n">
        <x:v>45731</x:v>
      </x:c>
      <x:c r="K11" s="81" t="n">
        <x:v>11.99</x:v>
      </x:c>
      <x:c r="L11" s="81" t="n">
        <x:v>11.99</x:v>
      </x:c>
      <x:c r="M11" s="62" t="str">
        <x:v>业务支持费</x:v>
      </x:c>
      <x:c r="N11" s="62" t="str">
        <x:v>技术配置-采购订单</x:v>
      </x:c>
      <x:c r="O11" s="62" t="str">
        <x:v>苏州热工</x:v>
      </x:c>
      <x:c r="P11" s="62" t="str">
        <x:v>苏州热工</x:v>
      </x:c>
      <x:c r="Q11" s="62" t="str">
        <x:v>苏州热工</x:v>
      </x:c>
      <x:c r="R11" s="62" t="str">
        <x:v>设备管理部</x:v>
      </x:c>
      <x:c r="S11" s="62" t="str">
        <x:v>PRJ-SB-设备-2025-002</x:v>
      </x:c>
      <x:c r="T11" s="62" t="str">
        <x:v>正向</x:v>
      </x:c>
      <x:c r="U11" s="86" t="n">
        <x:f>IF(AND(F11="PR",L11&gt;0),L11,0)</x:f>
        <x:v>0</x:v>
      </x:c>
      <x:c r="V11" s="86" t="n">
        <x:f>IF(AND(F11="PR",L11&gt;0,MONTH(I11)=12),L11,0)</x:f>
        <x:v>0</x:v>
      </x:c>
      <x:c r="W11" s="74" t="n">
        <x:v>46022</x:v>
      </x:c>
      <x:c r="X11" s="62" t="str"/>
      <x:c r="Y11" s="62" t="str">
        <x:v>2025年预算占用.XLSX</x:v>
      </x:c>
      <x:c r="Z11" s="62" t="str">
        <x:v>Sheet</x:v>
      </x:c>
      <x:c r="AA11" s="62" t="n">
        <x:v>11</x:v>
      </x:c>
      <x:c r="AB11" s="62" t="str">
        <x:v>5002|20|PO|2025-03-15|11</x:v>
      </x:c>
      <x:c r="AC11" s="62" t="str">
        <x:f>IF(MONTH(I11)=VALUE(RIGHT(H11,2)),"OK","FAIL")</x:f>
        <x:v>OK</x:v>
      </x:c>
      <x:c r="AD11" s="62" t="str">
        <x:f>"OK"</x:f>
        <x:v>OK</x:v>
      </x:c>
    </x:row>
    <x:row r="12">
      <x:c r="A12" s="62" t="str">
        <x:v>OCC|2025|5002|10|PR|12</x:v>
      </x:c>
      <x:c r="B12" s="62" t="str">
        <x:v>CORRECTED</x:v>
      </x:c>
      <x:c r="C12" s="62" t="str">
        <x:v>5002</x:v>
      </x:c>
      <x:c r="D12" s="62" t="str">
        <x:v>10</x:v>
      </x:c>
      <x:c r="E12" s="62" t="str">
        <x:v>购买申请</x:v>
      </x:c>
      <x:c r="F12" s="62" t="str">
        <x:v>PR</x:v>
      </x:c>
      <x:c r="G12" s="62" t="str">
        <x:v>2025-003</x:v>
      </x:c>
      <x:c r="H12" s="62" t="str">
        <x:v>2025-03</x:v>
      </x:c>
      <x:c r="I12" s="74" t="n">
        <x:v>45731</x:v>
      </x:c>
      <x:c r="J12" s="74" t="n">
        <x:v>45731</x:v>
      </x:c>
      <x:c r="K12" s="81" t="n">
        <x:v>-12.62</x:v>
      </x:c>
      <x:c r="L12" s="81" t="n">
        <x:v>-12.62</x:v>
      </x:c>
      <x:c r="M12" s="62" t="str">
        <x:v>业务支持费</x:v>
      </x:c>
      <x:c r="N12" s="62" t="str">
        <x:v>冲销购买申请</x:v>
      </x:c>
      <x:c r="O12" s="62" t="str">
        <x:v>中核运维</x:v>
      </x:c>
      <x:c r="P12" s="62" t="str">
        <x:v>国电智深</x:v>
      </x:c>
      <x:c r="Q12" s="62" t="str">
        <x:v>苏州热工</x:v>
      </x:c>
      <x:c r="R12" s="62" t="str">
        <x:v>设备管理部</x:v>
      </x:c>
      <x:c r="S12" s="62" t="str">
        <x:v>PRJ-SB-设备-2025-002</x:v>
      </x:c>
      <x:c r="T12" s="62" t="str">
        <x:v>释放</x:v>
      </x:c>
      <x:c r="U12" s="86" t="n">
        <x:f>IF(AND(F12="PR",L12&gt;0),L12,0)</x:f>
        <x:v>0</x:v>
      </x:c>
      <x:c r="V12" s="86" t="n">
        <x:f>IF(AND(F12="PR",L12&gt;0,MONTH(I12)=12),L12,0)</x:f>
        <x:v>0</x:v>
      </x:c>
      <x:c r="W12" s="74" t="n">
        <x:v>46022</x:v>
      </x:c>
      <x:c r="X12" s="62" t="str">
        <x:v>OCC|2025|5002|10|PR|10</x:v>
      </x:c>
      <x:c r="Y12" s="62" t="str">
        <x:v>2025年预算占用.XLSX</x:v>
      </x:c>
      <x:c r="Z12" s="62" t="str">
        <x:v>Sheet</x:v>
      </x:c>
      <x:c r="AA12" s="62" t="n">
        <x:v>12</x:v>
      </x:c>
      <x:c r="AB12" s="62" t="str">
        <x:v>5002|10|PR|2025-03-15|12</x:v>
      </x:c>
      <x:c r="AC12" s="62" t="str">
        <x:f>IF(MONTH(I12)=VALUE(RIGHT(H12,2)),"OK","FAIL")</x:f>
        <x:v>OK</x:v>
      </x:c>
      <x:c r="AD12" s="62" t="str">
        <x:f>IF(ABS(L12)&lt;=SUMIFS($L$2:$L$109,$C$2:$C$109,C12,$D$2:$D$109,D12,$F$2:$F$109,F12,$L$2:$L$109,"&gt;0"),"OK","FAIL")</x:f>
        <x:v>OK</x:v>
      </x:c>
    </x:row>
    <x:row r="13">
      <x:c r="A13" s="62" t="str">
        <x:v>OCC|2025|5002|20|PO|13</x:v>
      </x:c>
      <x:c r="B13" s="62" t="str">
        <x:v>CORRECTED</x:v>
      </x:c>
      <x:c r="C13" s="62" t="str">
        <x:v>5002</x:v>
      </x:c>
      <x:c r="D13" s="62" t="str">
        <x:v>20</x:v>
      </x:c>
      <x:c r="E13" s="62" t="str">
        <x:v>采购订单</x:v>
      </x:c>
      <x:c r="F13" s="62" t="str">
        <x:v>PO</x:v>
      </x:c>
      <x:c r="G13" s="62" t="str">
        <x:v>2025-003</x:v>
      </x:c>
      <x:c r="H13" s="62" t="str">
        <x:v>2025-03</x:v>
      </x:c>
      <x:c r="I13" s="74" t="n">
        <x:v>45736</x:v>
      </x:c>
      <x:c r="J13" s="74" t="n">
        <x:v>45736</x:v>
      </x:c>
      <x:c r="K13" s="81" t="n">
        <x:v>-9.59</x:v>
      </x:c>
      <x:c r="L13" s="81" t="n">
        <x:v>-9.59</x:v>
      </x:c>
      <x:c r="M13" s="62" t="str">
        <x:v>业务支持费</x:v>
      </x:c>
      <x:c r="N13" s="62" t="str">
        <x:v>确认成本冲销PO</x:v>
      </x:c>
      <x:c r="O13" s="62" t="str">
        <x:v>华能服务</x:v>
      </x:c>
      <x:c r="P13" s="62" t="str">
        <x:v>苏州热工</x:v>
      </x:c>
      <x:c r="Q13" s="62" t="str">
        <x:v>苏州热工</x:v>
      </x:c>
      <x:c r="R13" s="62" t="str">
        <x:v>设备管理部</x:v>
      </x:c>
      <x:c r="S13" s="62" t="str">
        <x:v>PRJ-SB-设备-2025-002</x:v>
      </x:c>
      <x:c r="T13" s="62" t="str">
        <x:v>释放</x:v>
      </x:c>
      <x:c r="U13" s="86" t="n">
        <x:f>IF(AND(F13="PR",L13&gt;0),L13,0)</x:f>
        <x:v>0</x:v>
      </x:c>
      <x:c r="V13" s="86" t="n">
        <x:f>IF(AND(F13="PR",L13&gt;0,MONTH(I13)=12),L13,0)</x:f>
        <x:v>0</x:v>
      </x:c>
      <x:c r="W13" s="74" t="n">
        <x:v>46022</x:v>
      </x:c>
      <x:c r="X13" s="62" t="str">
        <x:v>OCC|2025|5002|20|PO|11</x:v>
      </x:c>
      <x:c r="Y13" s="62" t="str">
        <x:v>2025年预算占用.XLSX</x:v>
      </x:c>
      <x:c r="Z13" s="62" t="str">
        <x:v>Sheet</x:v>
      </x:c>
      <x:c r="AA13" s="62" t="n">
        <x:v>13</x:v>
      </x:c>
      <x:c r="AB13" s="62" t="str">
        <x:v>5002|20|PO|2025-03-20|13</x:v>
      </x:c>
      <x:c r="AC13" s="62" t="str">
        <x:f>IF(MONTH(I13)=VALUE(RIGHT(H13,2)),"OK","FAIL")</x:f>
        <x:v>OK</x:v>
      </x:c>
      <x:c r="AD13" s="62" t="str">
        <x:f>IF(ABS(L13)&lt;=SUMIFS($L$2:$L$109,$C$2:$C$109,C13,$D$2:$D$109,D13,$F$2:$F$109,F13,$L$2:$L$109,"&gt;0"),"OK","FAIL")</x:f>
        <x:v>OK</x:v>
      </x:c>
    </x:row>
    <x:row r="14">
      <x:c r="A14" s="62" t="str">
        <x:v>OCC|2025|5003|10|PR|14</x:v>
      </x:c>
      <x:c r="B14" s="62" t="str">
        <x:v>SOURCE</x:v>
      </x:c>
      <x:c r="C14" s="62" t="str">
        <x:v>5003</x:v>
      </x:c>
      <x:c r="D14" s="62" t="str">
        <x:v>10</x:v>
      </x:c>
      <x:c r="E14" s="62" t="str">
        <x:v>购买申请</x:v>
      </x:c>
      <x:c r="F14" s="62" t="str">
        <x:v>PR</x:v>
      </x:c>
      <x:c r="G14" s="62" t="str">
        <x:v>2025-004</x:v>
      </x:c>
      <x:c r="H14" s="62" t="str">
        <x:v>2025-04</x:v>
      </x:c>
      <x:c r="I14" s="74" t="n">
        <x:v>45757</x:v>
      </x:c>
      <x:c r="J14" s="74" t="n">
        <x:v>45757</x:v>
      </x:c>
      <x:c r="K14" s="81" t="n">
        <x:v>5.44</x:v>
      </x:c>
      <x:c r="L14" s="81" t="n">
        <x:v>5.44</x:v>
      </x:c>
      <x:c r="M14" s="62" t="str">
        <x:v>业务支持费</x:v>
      </x:c>
      <x:c r="N14" s="62" t="str">
        <x:v>技术配置-采购申请</x:v>
      </x:c>
      <x:c r="O14" s="62" t="str">
        <x:v>中核运维</x:v>
      </x:c>
      <x:c r="P14" s="62" t="str">
        <x:v>中核运维</x:v>
      </x:c>
      <x:c r="Q14" s="62" t="str">
        <x:v>苏州热工</x:v>
      </x:c>
      <x:c r="R14" s="62" t="str">
        <x:v>设备管理部</x:v>
      </x:c>
      <x:c r="S14" s="62" t="str">
        <x:v>PRJ-SB-设备-2025-002</x:v>
      </x:c>
      <x:c r="T14" s="62" t="str">
        <x:v>正向</x:v>
      </x:c>
      <x:c r="U14" s="86" t="n">
        <x:f>IF(AND(F14="PR",L14&gt;0),L14,0)</x:f>
        <x:v>5.44</x:v>
      </x:c>
      <x:c r="V14" s="86" t="n">
        <x:f>IF(AND(F14="PR",L14&gt;0,MONTH(I14)=12),L14,0)</x:f>
        <x:v>0</x:v>
      </x:c>
      <x:c r="W14" s="74" t="n">
        <x:v>46022</x:v>
      </x:c>
      <x:c r="X14" s="62" t="str"/>
      <x:c r="Y14" s="62" t="str">
        <x:v>2025年预算占用.XLSX</x:v>
      </x:c>
      <x:c r="Z14" s="62" t="str">
        <x:v>Sheet</x:v>
      </x:c>
      <x:c r="AA14" s="62" t="n">
        <x:v>14</x:v>
      </x:c>
      <x:c r="AB14" s="62" t="str">
        <x:v>5003|10|PR|2025-04-10|14</x:v>
      </x:c>
      <x:c r="AC14" s="62" t="str">
        <x:f>IF(MONTH(I14)=VALUE(RIGHT(H14,2)),"OK","FAIL")</x:f>
        <x:v>OK</x:v>
      </x:c>
      <x:c r="AD14" s="62" t="str">
        <x:f>"OK"</x:f>
        <x:v>OK</x:v>
      </x:c>
    </x:row>
    <x:row r="15">
      <x:c r="A15" s="62" t="str">
        <x:v>OCC|2025|5003|20|PO|15</x:v>
      </x:c>
      <x:c r="B15" s="62" t="str">
        <x:v>SOURCE</x:v>
      </x:c>
      <x:c r="C15" s="62" t="str">
        <x:v>5003</x:v>
      </x:c>
      <x:c r="D15" s="62" t="str">
        <x:v>20</x:v>
      </x:c>
      <x:c r="E15" s="62" t="str">
        <x:v>采购订单</x:v>
      </x:c>
      <x:c r="F15" s="62" t="str">
        <x:v>PO</x:v>
      </x:c>
      <x:c r="G15" s="62" t="str">
        <x:v>2025-004</x:v>
      </x:c>
      <x:c r="H15" s="62" t="str">
        <x:v>2025-04</x:v>
      </x:c>
      <x:c r="I15" s="74" t="n">
        <x:v>45762</x:v>
      </x:c>
      <x:c r="J15" s="74" t="n">
        <x:v>45762</x:v>
      </x:c>
      <x:c r="K15" s="81" t="n">
        <x:v>5.17</x:v>
      </x:c>
      <x:c r="L15" s="81" t="n">
        <x:v>5.17</x:v>
      </x:c>
      <x:c r="M15" s="62" t="str">
        <x:v>业务支持费</x:v>
      </x:c>
      <x:c r="N15" s="62" t="str">
        <x:v>技术配置-采购订单</x:v>
      </x:c>
      <x:c r="O15" s="62" t="str">
        <x:v>苏州热工</x:v>
      </x:c>
      <x:c r="P15" s="62" t="str">
        <x:v>苏州热工</x:v>
      </x:c>
      <x:c r="Q15" s="62" t="str">
        <x:v>苏州热工</x:v>
      </x:c>
      <x:c r="R15" s="62" t="str">
        <x:v>设备管理部</x:v>
      </x:c>
      <x:c r="S15" s="62" t="str">
        <x:v>PRJ-SB-设备-2025-002</x:v>
      </x:c>
      <x:c r="T15" s="62" t="str">
        <x:v>正向</x:v>
      </x:c>
      <x:c r="U15" s="86" t="n">
        <x:f>IF(AND(F15="PR",L15&gt;0),L15,0)</x:f>
        <x:v>0</x:v>
      </x:c>
      <x:c r="V15" s="86" t="n">
        <x:f>IF(AND(F15="PR",L15&gt;0,MONTH(I15)=12),L15,0)</x:f>
        <x:v>0</x:v>
      </x:c>
      <x:c r="W15" s="74" t="n">
        <x:v>46022</x:v>
      </x:c>
      <x:c r="X15" s="62" t="str"/>
      <x:c r="Y15" s="62" t="str">
        <x:v>2025年预算占用.XLSX</x:v>
      </x:c>
      <x:c r="Z15" s="62" t="str">
        <x:v>Sheet</x:v>
      </x:c>
      <x:c r="AA15" s="62" t="n">
        <x:v>15</x:v>
      </x:c>
      <x:c r="AB15" s="62" t="str">
        <x:v>5003|20|PO|2025-04-15|15</x:v>
      </x:c>
      <x:c r="AC15" s="62" t="str">
        <x:f>IF(MONTH(I15)=VALUE(RIGHT(H15,2)),"OK","FAIL")</x:f>
        <x:v>OK</x:v>
      </x:c>
      <x:c r="AD15" s="62" t="str">
        <x:f>"OK"</x:f>
        <x:v>OK</x:v>
      </x:c>
    </x:row>
    <x:row r="16">
      <x:c r="A16" s="62" t="str">
        <x:v>OCC|2025|5003|10|PR|16</x:v>
      </x:c>
      <x:c r="B16" s="62" t="str">
        <x:v>CORRECTED</x:v>
      </x:c>
      <x:c r="C16" s="62" t="str">
        <x:v>5003</x:v>
      </x:c>
      <x:c r="D16" s="62" t="str">
        <x:v>10</x:v>
      </x:c>
      <x:c r="E16" s="62" t="str">
        <x:v>购买申请</x:v>
      </x:c>
      <x:c r="F16" s="62" t="str">
        <x:v>PR</x:v>
      </x:c>
      <x:c r="G16" s="62" t="str">
        <x:v>2025-004</x:v>
      </x:c>
      <x:c r="H16" s="62" t="str">
        <x:v>2025-04</x:v>
      </x:c>
      <x:c r="I16" s="74" t="n">
        <x:v>45762</x:v>
      </x:c>
      <x:c r="J16" s="74" t="n">
        <x:v>45762</x:v>
      </x:c>
      <x:c r="K16" s="81" t="n">
        <x:v>-5.44</x:v>
      </x:c>
      <x:c r="L16" s="81" t="n">
        <x:v>-5.44</x:v>
      </x:c>
      <x:c r="M16" s="62" t="str">
        <x:v>业务支持费</x:v>
      </x:c>
      <x:c r="N16" s="62" t="str">
        <x:v>冲销购买申请</x:v>
      </x:c>
      <x:c r="O16" s="62" t="str">
        <x:v>上海电气</x:v>
      </x:c>
      <x:c r="P16" s="62" t="str">
        <x:v>中核运维</x:v>
      </x:c>
      <x:c r="Q16" s="62" t="str">
        <x:v>苏州热工</x:v>
      </x:c>
      <x:c r="R16" s="62" t="str">
        <x:v>设备管理部</x:v>
      </x:c>
      <x:c r="S16" s="62" t="str">
        <x:v>PRJ-SB-设备-2025-002</x:v>
      </x:c>
      <x:c r="T16" s="62" t="str">
        <x:v>释放</x:v>
      </x:c>
      <x:c r="U16" s="86" t="n">
        <x:f>IF(AND(F16="PR",L16&gt;0),L16,0)</x:f>
        <x:v>0</x:v>
      </x:c>
      <x:c r="V16" s="86" t="n">
        <x:f>IF(AND(F16="PR",L16&gt;0,MONTH(I16)=12),L16,0)</x:f>
        <x:v>0</x:v>
      </x:c>
      <x:c r="W16" s="74" t="n">
        <x:v>46022</x:v>
      </x:c>
      <x:c r="X16" s="62" t="str">
        <x:v>OCC|2025|5003|10|PR|14</x:v>
      </x:c>
      <x:c r="Y16" s="62" t="str">
        <x:v>2025年预算占用.XLSX</x:v>
      </x:c>
      <x:c r="Z16" s="62" t="str">
        <x:v>Sheet</x:v>
      </x:c>
      <x:c r="AA16" s="62" t="n">
        <x:v>16</x:v>
      </x:c>
      <x:c r="AB16" s="62" t="str">
        <x:v>5003|10|PR|2025-04-15|16</x:v>
      </x:c>
      <x:c r="AC16" s="62" t="str">
        <x:f>IF(MONTH(I16)=VALUE(RIGHT(H16,2)),"OK","FAIL")</x:f>
        <x:v>OK</x:v>
      </x:c>
      <x:c r="AD16" s="62" t="str">
        <x:f>IF(ABS(L16)&lt;=SUMIFS($L$2:$L$109,$C$2:$C$109,C16,$D$2:$D$109,D16,$F$2:$F$109,F16,$L$2:$L$109,"&gt;0"),"OK","FAIL")</x:f>
        <x:v>OK</x:v>
      </x:c>
    </x:row>
    <x:row r="17">
      <x:c r="A17" s="62" t="str">
        <x:v>OCC|2025|5003|20|PO|17</x:v>
      </x:c>
      <x:c r="B17" s="62" t="str">
        <x:v>CORRECTED</x:v>
      </x:c>
      <x:c r="C17" s="62" t="str">
        <x:v>5003</x:v>
      </x:c>
      <x:c r="D17" s="62" t="str">
        <x:v>20</x:v>
      </x:c>
      <x:c r="E17" s="62" t="str">
        <x:v>采购订单</x:v>
      </x:c>
      <x:c r="F17" s="62" t="str">
        <x:v>PO</x:v>
      </x:c>
      <x:c r="G17" s="62" t="str">
        <x:v>2025-004</x:v>
      </x:c>
      <x:c r="H17" s="62" t="str">
        <x:v>2025-04</x:v>
      </x:c>
      <x:c r="I17" s="74" t="n">
        <x:v>45767</x:v>
      </x:c>
      <x:c r="J17" s="74" t="n">
        <x:v>45767</x:v>
      </x:c>
      <x:c r="K17" s="81" t="n">
        <x:v>-4.14</x:v>
      </x:c>
      <x:c r="L17" s="81" t="n">
        <x:v>-4.14</x:v>
      </x:c>
      <x:c r="M17" s="62" t="str">
        <x:v>业务支持费</x:v>
      </x:c>
      <x:c r="N17" s="62" t="str">
        <x:v>确认成本冲销PO</x:v>
      </x:c>
      <x:c r="O17" s="62" t="str">
        <x:v>华能服务</x:v>
      </x:c>
      <x:c r="P17" s="62" t="str">
        <x:v>苏州热工</x:v>
      </x:c>
      <x:c r="Q17" s="62" t="str">
        <x:v>苏州热工</x:v>
      </x:c>
      <x:c r="R17" s="62" t="str">
        <x:v>设备管理部</x:v>
      </x:c>
      <x:c r="S17" s="62" t="str">
        <x:v>PRJ-SB-设备-2025-002</x:v>
      </x:c>
      <x:c r="T17" s="62" t="str">
        <x:v>释放</x:v>
      </x:c>
      <x:c r="U17" s="86" t="n">
        <x:f>IF(AND(F17="PR",L17&gt;0),L17,0)</x:f>
        <x:v>0</x:v>
      </x:c>
      <x:c r="V17" s="86" t="n">
        <x:f>IF(AND(F17="PR",L17&gt;0,MONTH(I17)=12),L17,0)</x:f>
        <x:v>0</x:v>
      </x:c>
      <x:c r="W17" s="74" t="n">
        <x:v>46022</x:v>
      </x:c>
      <x:c r="X17" s="62" t="str">
        <x:v>OCC|2025|5003|20|PO|15</x:v>
      </x:c>
      <x:c r="Y17" s="62" t="str">
        <x:v>2025年预算占用.XLSX</x:v>
      </x:c>
      <x:c r="Z17" s="62" t="str">
        <x:v>Sheet</x:v>
      </x:c>
      <x:c r="AA17" s="62" t="n">
        <x:v>17</x:v>
      </x:c>
      <x:c r="AB17" s="62" t="str">
        <x:v>5003|20|PO|2025-04-20|17</x:v>
      </x:c>
      <x:c r="AC17" s="62" t="str">
        <x:f>IF(MONTH(I17)=VALUE(RIGHT(H17,2)),"OK","FAIL")</x:f>
        <x:v>OK</x:v>
      </x:c>
      <x:c r="AD17" s="62" t="str">
        <x:f>IF(ABS(L17)&lt;=SUMIFS($L$2:$L$109,$C$2:$C$109,C17,$D$2:$D$109,D17,$F$2:$F$109,F17,$L$2:$L$109,"&gt;0"),"OK","FAIL")</x:f>
        <x:v>OK</x:v>
      </x:c>
    </x:row>
    <x:row r="18">
      <x:c r="A18" s="62" t="str">
        <x:v>OCC|2025|5004|10|PR|18</x:v>
      </x:c>
      <x:c r="B18" s="62" t="str">
        <x:v>SOURCE</x:v>
      </x:c>
      <x:c r="C18" s="62" t="str">
        <x:v>5004</x:v>
      </x:c>
      <x:c r="D18" s="62" t="str">
        <x:v>10</x:v>
      </x:c>
      <x:c r="E18" s="62" t="str">
        <x:v>购买申请</x:v>
      </x:c>
      <x:c r="F18" s="62" t="str">
        <x:v>PR</x:v>
      </x:c>
      <x:c r="G18" s="62" t="str">
        <x:v>2025-005</x:v>
      </x:c>
      <x:c r="H18" s="62" t="str">
        <x:v>2025-05</x:v>
      </x:c>
      <x:c r="I18" s="74" t="n">
        <x:v>45787</x:v>
      </x:c>
      <x:c r="J18" s="74" t="n">
        <x:v>45787</x:v>
      </x:c>
      <x:c r="K18" s="81" t="n">
        <x:v>5.54</x:v>
      </x:c>
      <x:c r="L18" s="81" t="n">
        <x:v>5.54</x:v>
      </x:c>
      <x:c r="M18" s="62" t="str">
        <x:v>业务支持费</x:v>
      </x:c>
      <x:c r="N18" s="62" t="str">
        <x:v>技术配置-采购申请</x:v>
      </x:c>
      <x:c r="O18" s="62" t="str">
        <x:v>上海电气</x:v>
      </x:c>
      <x:c r="P18" s="62" t="str">
        <x:v>上海电气</x:v>
      </x:c>
      <x:c r="Q18" s="62" t="str">
        <x:v>华能服务</x:v>
      </x:c>
      <x:c r="R18" s="62" t="str">
        <x:v>设备管理部</x:v>
      </x:c>
      <x:c r="S18" s="62" t="str">
        <x:v>PRJ-SB-设备-2025-002</x:v>
      </x:c>
      <x:c r="T18" s="62" t="str">
        <x:v>正向</x:v>
      </x:c>
      <x:c r="U18" s="86" t="n">
        <x:f>IF(AND(F18="PR",L18&gt;0),L18,0)</x:f>
        <x:v>5.54</x:v>
      </x:c>
      <x:c r="V18" s="86" t="n">
        <x:f>IF(AND(F18="PR",L18&gt;0,MONTH(I18)=12),L18,0)</x:f>
        <x:v>0</x:v>
      </x:c>
      <x:c r="W18" s="74" t="n">
        <x:v>46022</x:v>
      </x:c>
      <x:c r="X18" s="62" t="str"/>
      <x:c r="Y18" s="62" t="str">
        <x:v>2025年预算占用.XLSX</x:v>
      </x:c>
      <x:c r="Z18" s="62" t="str">
        <x:v>Sheet</x:v>
      </x:c>
      <x:c r="AA18" s="62" t="n">
        <x:v>18</x:v>
      </x:c>
      <x:c r="AB18" s="62" t="str">
        <x:v>5004|10|PR|2025-05-10|18</x:v>
      </x:c>
      <x:c r="AC18" s="62" t="str">
        <x:f>IF(MONTH(I18)=VALUE(RIGHT(H18,2)),"OK","FAIL")</x:f>
        <x:v>OK</x:v>
      </x:c>
      <x:c r="AD18" s="62" t="str">
        <x:f>"OK"</x:f>
        <x:v>OK</x:v>
      </x:c>
    </x:row>
    <x:row r="19">
      <x:c r="A19" s="62" t="str">
        <x:v>OCC|2025|5004|20|PO|19</x:v>
      </x:c>
      <x:c r="B19" s="62" t="str">
        <x:v>SOURCE</x:v>
      </x:c>
      <x:c r="C19" s="62" t="str">
        <x:v>5004</x:v>
      </x:c>
      <x:c r="D19" s="62" t="str">
        <x:v>20</x:v>
      </x:c>
      <x:c r="E19" s="62" t="str">
        <x:v>采购订单</x:v>
      </x:c>
      <x:c r="F19" s="62" t="str">
        <x:v>PO</x:v>
      </x:c>
      <x:c r="G19" s="62" t="str">
        <x:v>2025-005</x:v>
      </x:c>
      <x:c r="H19" s="62" t="str">
        <x:v>2025-05</x:v>
      </x:c>
      <x:c r="I19" s="74" t="n">
        <x:v>45792</x:v>
      </x:c>
      <x:c r="J19" s="74" t="n">
        <x:v>45792</x:v>
      </x:c>
      <x:c r="K19" s="81" t="n">
        <x:v>5.26</x:v>
      </x:c>
      <x:c r="L19" s="81" t="n">
        <x:v>5.26</x:v>
      </x:c>
      <x:c r="M19" s="62" t="str">
        <x:v>业务支持费</x:v>
      </x:c>
      <x:c r="N19" s="62" t="str">
        <x:v>技术配置-采购订单</x:v>
      </x:c>
      <x:c r="O19" s="62" t="str">
        <x:v>华能服务</x:v>
      </x:c>
      <x:c r="P19" s="62" t="str">
        <x:v>华能服务</x:v>
      </x:c>
      <x:c r="Q19" s="62" t="str">
        <x:v>华能服务</x:v>
      </x:c>
      <x:c r="R19" s="62" t="str">
        <x:v>设备管理部</x:v>
      </x:c>
      <x:c r="S19" s="62" t="str">
        <x:v>PRJ-SB-设备-2025-002</x:v>
      </x:c>
      <x:c r="T19" s="62" t="str">
        <x:v>正向</x:v>
      </x:c>
      <x:c r="U19" s="86" t="n">
        <x:f>IF(AND(F19="PR",L19&gt;0),L19,0)</x:f>
        <x:v>0</x:v>
      </x:c>
      <x:c r="V19" s="86" t="n">
        <x:f>IF(AND(F19="PR",L19&gt;0,MONTH(I19)=12),L19,0)</x:f>
        <x:v>0</x:v>
      </x:c>
      <x:c r="W19" s="74" t="n">
        <x:v>46022</x:v>
      </x:c>
      <x:c r="X19" s="62" t="str"/>
      <x:c r="Y19" s="62" t="str">
        <x:v>2025年预算占用.XLSX</x:v>
      </x:c>
      <x:c r="Z19" s="62" t="str">
        <x:v>Sheet</x:v>
      </x:c>
      <x:c r="AA19" s="62" t="n">
        <x:v>19</x:v>
      </x:c>
      <x:c r="AB19" s="62" t="str">
        <x:v>5004|20|PO|2025-05-15|19</x:v>
      </x:c>
      <x:c r="AC19" s="62" t="str">
        <x:f>IF(MONTH(I19)=VALUE(RIGHT(H19,2)),"OK","FAIL")</x:f>
        <x:v>OK</x:v>
      </x:c>
      <x:c r="AD19" s="62" t="str">
        <x:f>"OK"</x:f>
        <x:v>OK</x:v>
      </x:c>
    </x:row>
    <x:row r="20">
      <x:c r="A20" s="62" t="str">
        <x:v>OCC|2025|5004|10|PR|20</x:v>
      </x:c>
      <x:c r="B20" s="62" t="str">
        <x:v>CORRECTED</x:v>
      </x:c>
      <x:c r="C20" s="62" t="str">
        <x:v>5004</x:v>
      </x:c>
      <x:c r="D20" s="62" t="str">
        <x:v>10</x:v>
      </x:c>
      <x:c r="E20" s="62" t="str">
        <x:v>购买申请</x:v>
      </x:c>
      <x:c r="F20" s="62" t="str">
        <x:v>PR</x:v>
      </x:c>
      <x:c r="G20" s="62" t="str">
        <x:v>2025-005</x:v>
      </x:c>
      <x:c r="H20" s="62" t="str">
        <x:v>2025-05</x:v>
      </x:c>
      <x:c r="I20" s="74" t="n">
        <x:v>45792</x:v>
      </x:c>
      <x:c r="J20" s="74" t="n">
        <x:v>45792</x:v>
      </x:c>
      <x:c r="K20" s="81" t="n">
        <x:v>-5.54</x:v>
      </x:c>
      <x:c r="L20" s="81" t="n">
        <x:v>-5.54</x:v>
      </x:c>
      <x:c r="M20" s="62" t="str">
        <x:v>业务支持费</x:v>
      </x:c>
      <x:c r="N20" s="62" t="str">
        <x:v>冲销购买申请</x:v>
      </x:c>
      <x:c r="O20" s="62" t="str">
        <x:v>苏州热工</x:v>
      </x:c>
      <x:c r="P20" s="62" t="str">
        <x:v>上海电气</x:v>
      </x:c>
      <x:c r="Q20" s="62" t="str">
        <x:v>华能服务</x:v>
      </x:c>
      <x:c r="R20" s="62" t="str">
        <x:v>设备管理部</x:v>
      </x:c>
      <x:c r="S20" s="62" t="str">
        <x:v>PRJ-SB-设备-2025-002</x:v>
      </x:c>
      <x:c r="T20" s="62" t="str">
        <x:v>释放</x:v>
      </x:c>
      <x:c r="U20" s="86" t="n">
        <x:f>IF(AND(F20="PR",L20&gt;0),L20,0)</x:f>
        <x:v>0</x:v>
      </x:c>
      <x:c r="V20" s="86" t="n">
        <x:f>IF(AND(F20="PR",L20&gt;0,MONTH(I20)=12),L20,0)</x:f>
        <x:v>0</x:v>
      </x:c>
      <x:c r="W20" s="74" t="n">
        <x:v>46022</x:v>
      </x:c>
      <x:c r="X20" s="62" t="str">
        <x:v>OCC|2025|5004|10|PR|18</x:v>
      </x:c>
      <x:c r="Y20" s="62" t="str">
        <x:v>2025年预算占用.XLSX</x:v>
      </x:c>
      <x:c r="Z20" s="62" t="str">
        <x:v>Sheet</x:v>
      </x:c>
      <x:c r="AA20" s="62" t="n">
        <x:v>20</x:v>
      </x:c>
      <x:c r="AB20" s="62" t="str">
        <x:v>5004|10|PR|2025-05-15|20</x:v>
      </x:c>
      <x:c r="AC20" s="62" t="str">
        <x:f>IF(MONTH(I20)=VALUE(RIGHT(H20,2)),"OK","FAIL")</x:f>
        <x:v>OK</x:v>
      </x:c>
      <x:c r="AD20" s="62" t="str">
        <x:f>IF(ABS(L20)&lt;=SUMIFS($L$2:$L$109,$C$2:$C$109,C20,$D$2:$D$109,D20,$F$2:$F$109,F20,$L$2:$L$109,"&gt;0"),"OK","FAIL")</x:f>
        <x:v>OK</x:v>
      </x:c>
    </x:row>
    <x:row r="21">
      <x:c r="A21" s="62" t="str">
        <x:v>OCC|2025|5004|20|PO|21</x:v>
      </x:c>
      <x:c r="B21" s="62" t="str">
        <x:v>CORRECTED</x:v>
      </x:c>
      <x:c r="C21" s="62" t="str">
        <x:v>5004</x:v>
      </x:c>
      <x:c r="D21" s="62" t="str">
        <x:v>20</x:v>
      </x:c>
      <x:c r="E21" s="62" t="str">
        <x:v>采购订单</x:v>
      </x:c>
      <x:c r="F21" s="62" t="str">
        <x:v>PO</x:v>
      </x:c>
      <x:c r="G21" s="62" t="str">
        <x:v>2025-005</x:v>
      </x:c>
      <x:c r="H21" s="62" t="str">
        <x:v>2025-05</x:v>
      </x:c>
      <x:c r="I21" s="74" t="n">
        <x:v>45797</x:v>
      </x:c>
      <x:c r="J21" s="74" t="n">
        <x:v>45797</x:v>
      </x:c>
      <x:c r="K21" s="81" t="n">
        <x:v>-4.21</x:v>
      </x:c>
      <x:c r="L21" s="81" t="n">
        <x:v>-4.21</x:v>
      </x:c>
      <x:c r="M21" s="62" t="str">
        <x:v>业务支持费</x:v>
      </x:c>
      <x:c r="N21" s="62" t="str">
        <x:v>确认成本冲销PO</x:v>
      </x:c>
      <x:c r="O21" s="62" t="str">
        <x:v>国电智深</x:v>
      </x:c>
      <x:c r="P21" s="62" t="str">
        <x:v>华能服务</x:v>
      </x:c>
      <x:c r="Q21" s="62" t="str">
        <x:v>华能服务</x:v>
      </x:c>
      <x:c r="R21" s="62" t="str">
        <x:v>设备管理部</x:v>
      </x:c>
      <x:c r="S21" s="62" t="str">
        <x:v>PRJ-SB-设备-2025-002</x:v>
      </x:c>
      <x:c r="T21" s="62" t="str">
        <x:v>释放</x:v>
      </x:c>
      <x:c r="U21" s="86" t="n">
        <x:f>IF(AND(F21="PR",L21&gt;0),L21,0)</x:f>
        <x:v>0</x:v>
      </x:c>
      <x:c r="V21" s="86" t="n">
        <x:f>IF(AND(F21="PR",L21&gt;0,MONTH(I21)=12),L21,0)</x:f>
        <x:v>0</x:v>
      </x:c>
      <x:c r="W21" s="74" t="n">
        <x:v>46022</x:v>
      </x:c>
      <x:c r="X21" s="62" t="str">
        <x:v>OCC|2025|5004|20|PO|19</x:v>
      </x:c>
      <x:c r="Y21" s="62" t="str">
        <x:v>2025年预算占用.XLSX</x:v>
      </x:c>
      <x:c r="Z21" s="62" t="str">
        <x:v>Sheet</x:v>
      </x:c>
      <x:c r="AA21" s="62" t="n">
        <x:v>21</x:v>
      </x:c>
      <x:c r="AB21" s="62" t="str">
        <x:v>5004|20|PO|2025-05-20|21</x:v>
      </x:c>
      <x:c r="AC21" s="62" t="str">
        <x:f>IF(MONTH(I21)=VALUE(RIGHT(H21,2)),"OK","FAIL")</x:f>
        <x:v>OK</x:v>
      </x:c>
      <x:c r="AD21" s="62" t="str">
        <x:f>IF(ABS(L21)&lt;=SUMIFS($L$2:$L$109,$C$2:$C$109,C21,$D$2:$D$109,D21,$F$2:$F$109,F21,$L$2:$L$109,"&gt;0"),"OK","FAIL")</x:f>
        <x:v>OK</x:v>
      </x:c>
    </x:row>
    <x:row r="22">
      <x:c r="A22" s="62" t="str">
        <x:v>OCC|2025|5005|10|PR|22</x:v>
      </x:c>
      <x:c r="B22" s="62" t="str">
        <x:v>SOURCE</x:v>
      </x:c>
      <x:c r="C22" s="62" t="str">
        <x:v>5005</x:v>
      </x:c>
      <x:c r="D22" s="62" t="str">
        <x:v>10</x:v>
      </x:c>
      <x:c r="E22" s="62" t="str">
        <x:v>购买申请</x:v>
      </x:c>
      <x:c r="F22" s="62" t="str">
        <x:v>PR</x:v>
      </x:c>
      <x:c r="G22" s="62" t="str">
        <x:v>2025-006</x:v>
      </x:c>
      <x:c r="H22" s="62" t="str">
        <x:v>2025-06</x:v>
      </x:c>
      <x:c r="I22" s="74" t="n">
        <x:v>45818</x:v>
      </x:c>
      <x:c r="J22" s="74" t="n">
        <x:v>45818</x:v>
      </x:c>
      <x:c r="K22" s="81" t="n">
        <x:v>4.65</x:v>
      </x:c>
      <x:c r="L22" s="81" t="n">
        <x:v>4.65</x:v>
      </x:c>
      <x:c r="M22" s="62" t="str">
        <x:v>业务支持费</x:v>
      </x:c>
      <x:c r="N22" s="62" t="str">
        <x:v>技术配置-采购申请</x:v>
      </x:c>
      <x:c r="O22" s="62" t="str">
        <x:v>苏州热工</x:v>
      </x:c>
      <x:c r="P22" s="62" t="str">
        <x:v>苏州热工</x:v>
      </x:c>
      <x:c r="Q22" s="62" t="str">
        <x:v>国电智深</x:v>
      </x:c>
      <x:c r="R22" s="62" t="str">
        <x:v>设备管理部</x:v>
      </x:c>
      <x:c r="S22" s="62" t="str">
        <x:v>PRJ-SB-设备-2025-002</x:v>
      </x:c>
      <x:c r="T22" s="62" t="str">
        <x:v>正向</x:v>
      </x:c>
      <x:c r="U22" s="86" t="n">
        <x:f>IF(AND(F22="PR",L22&gt;0),L22,0)</x:f>
        <x:v>4.65</x:v>
      </x:c>
      <x:c r="V22" s="86" t="n">
        <x:f>IF(AND(F22="PR",L22&gt;0,MONTH(I22)=12),L22,0)</x:f>
        <x:v>0</x:v>
      </x:c>
      <x:c r="W22" s="74" t="n">
        <x:v>46022</x:v>
      </x:c>
      <x:c r="X22" s="62" t="str"/>
      <x:c r="Y22" s="62" t="str">
        <x:v>2025年预算占用.XLSX</x:v>
      </x:c>
      <x:c r="Z22" s="62" t="str">
        <x:v>Sheet</x:v>
      </x:c>
      <x:c r="AA22" s="62" t="n">
        <x:v>22</x:v>
      </x:c>
      <x:c r="AB22" s="62" t="str">
        <x:v>5005|10|PR|2025-06-10|22</x:v>
      </x:c>
      <x:c r="AC22" s="62" t="str">
        <x:f>IF(MONTH(I22)=VALUE(RIGHT(H22,2)),"OK","FAIL")</x:f>
        <x:v>OK</x:v>
      </x:c>
      <x:c r="AD22" s="62" t="str">
        <x:f>"OK"</x:f>
        <x:v>OK</x:v>
      </x:c>
    </x:row>
    <x:row r="23">
      <x:c r="A23" s="62" t="str">
        <x:v>OCC|2025|5005|20|PO|23</x:v>
      </x:c>
      <x:c r="B23" s="62" t="str">
        <x:v>SOURCE</x:v>
      </x:c>
      <x:c r="C23" s="62" t="str">
        <x:v>5005</x:v>
      </x:c>
      <x:c r="D23" s="62" t="str">
        <x:v>20</x:v>
      </x:c>
      <x:c r="E23" s="62" t="str">
        <x:v>采购订单</x:v>
      </x:c>
      <x:c r="F23" s="62" t="str">
        <x:v>PO</x:v>
      </x:c>
      <x:c r="G23" s="62" t="str">
        <x:v>2025-006</x:v>
      </x:c>
      <x:c r="H23" s="62" t="str">
        <x:v>2025-06</x:v>
      </x:c>
      <x:c r="I23" s="74" t="n">
        <x:v>45823</x:v>
      </x:c>
      <x:c r="J23" s="74" t="n">
        <x:v>45823</x:v>
      </x:c>
      <x:c r="K23" s="81" t="n">
        <x:v>4.42</x:v>
      </x:c>
      <x:c r="L23" s="81" t="n">
        <x:v>4.42</x:v>
      </x:c>
      <x:c r="M23" s="62" t="str">
        <x:v>业务支持费</x:v>
      </x:c>
      <x:c r="N23" s="62" t="str">
        <x:v>技术配置-采购订单</x:v>
      </x:c>
      <x:c r="O23" s="62" t="str">
        <x:v>国电智深</x:v>
      </x:c>
      <x:c r="P23" s="62" t="str">
        <x:v>国电智深</x:v>
      </x:c>
      <x:c r="Q23" s="62" t="str">
        <x:v>国电智深</x:v>
      </x:c>
      <x:c r="R23" s="62" t="str">
        <x:v>设备管理部</x:v>
      </x:c>
      <x:c r="S23" s="62" t="str">
        <x:v>PRJ-SB-设备-2025-002</x:v>
      </x:c>
      <x:c r="T23" s="62" t="str">
        <x:v>正向</x:v>
      </x:c>
      <x:c r="U23" s="86" t="n">
        <x:f>IF(AND(F23="PR",L23&gt;0),L23,0)</x:f>
        <x:v>0</x:v>
      </x:c>
      <x:c r="V23" s="86" t="n">
        <x:f>IF(AND(F23="PR",L23&gt;0,MONTH(I23)=12),L23,0)</x:f>
        <x:v>0</x:v>
      </x:c>
      <x:c r="W23" s="74" t="n">
        <x:v>46022</x:v>
      </x:c>
      <x:c r="X23" s="62" t="str"/>
      <x:c r="Y23" s="62" t="str">
        <x:v>2025年预算占用.XLSX</x:v>
      </x:c>
      <x:c r="Z23" s="62" t="str">
        <x:v>Sheet</x:v>
      </x:c>
      <x:c r="AA23" s="62" t="n">
        <x:v>23</x:v>
      </x:c>
      <x:c r="AB23" s="62" t="str">
        <x:v>5005|20|PO|2025-06-15|23</x:v>
      </x:c>
      <x:c r="AC23" s="62" t="str">
        <x:f>IF(MONTH(I23)=VALUE(RIGHT(H23,2)),"OK","FAIL")</x:f>
        <x:v>OK</x:v>
      </x:c>
      <x:c r="AD23" s="62" t="str">
        <x:f>"OK"</x:f>
        <x:v>OK</x:v>
      </x:c>
    </x:row>
    <x:row r="24">
      <x:c r="A24" s="62" t="str">
        <x:v>OCC|2025|5005|10|PR|24</x:v>
      </x:c>
      <x:c r="B24" s="62" t="str">
        <x:v>CORRECTED</x:v>
      </x:c>
      <x:c r="C24" s="62" t="str">
        <x:v>5005</x:v>
      </x:c>
      <x:c r="D24" s="62" t="str">
        <x:v>10</x:v>
      </x:c>
      <x:c r="E24" s="62" t="str">
        <x:v>购买申请</x:v>
      </x:c>
      <x:c r="F24" s="62" t="str">
        <x:v>PR</x:v>
      </x:c>
      <x:c r="G24" s="62" t="str">
        <x:v>2025-006</x:v>
      </x:c>
      <x:c r="H24" s="62" t="str">
        <x:v>2025-06</x:v>
      </x:c>
      <x:c r="I24" s="74" t="n">
        <x:v>45823</x:v>
      </x:c>
      <x:c r="J24" s="74" t="n">
        <x:v>45823</x:v>
      </x:c>
      <x:c r="K24" s="81" t="n">
        <x:v>-4.65</x:v>
      </x:c>
      <x:c r="L24" s="81" t="n">
        <x:v>-4.65</x:v>
      </x:c>
      <x:c r="M24" s="62" t="str">
        <x:v>业务支持费</x:v>
      </x:c>
      <x:c r="N24" s="62" t="str">
        <x:v>冲销购买申请</x:v>
      </x:c>
      <x:c r="O24" s="62" t="str">
        <x:v>上海电气</x:v>
      </x:c>
      <x:c r="P24" s="62" t="str">
        <x:v>苏州热工</x:v>
      </x:c>
      <x:c r="Q24" s="62" t="str">
        <x:v>国电智深</x:v>
      </x:c>
      <x:c r="R24" s="62" t="str">
        <x:v>设备管理部</x:v>
      </x:c>
      <x:c r="S24" s="62" t="str">
        <x:v>PRJ-SB-设备-2025-002</x:v>
      </x:c>
      <x:c r="T24" s="62" t="str">
        <x:v>释放</x:v>
      </x:c>
      <x:c r="U24" s="86" t="n">
        <x:f>IF(AND(F24="PR",L24&gt;0),L24,0)</x:f>
        <x:v>0</x:v>
      </x:c>
      <x:c r="V24" s="86" t="n">
        <x:f>IF(AND(F24="PR",L24&gt;0,MONTH(I24)=12),L24,0)</x:f>
        <x:v>0</x:v>
      </x:c>
      <x:c r="W24" s="74" t="n">
        <x:v>46022</x:v>
      </x:c>
      <x:c r="X24" s="62" t="str">
        <x:v>OCC|2025|5005|10|PR|22</x:v>
      </x:c>
      <x:c r="Y24" s="62" t="str">
        <x:v>2025年预算占用.XLSX</x:v>
      </x:c>
      <x:c r="Z24" s="62" t="str">
        <x:v>Sheet</x:v>
      </x:c>
      <x:c r="AA24" s="62" t="n">
        <x:v>24</x:v>
      </x:c>
      <x:c r="AB24" s="62" t="str">
        <x:v>5005|10|PR|2025-06-15|24</x:v>
      </x:c>
      <x:c r="AC24" s="62" t="str">
        <x:f>IF(MONTH(I24)=VALUE(RIGHT(H24,2)),"OK","FAIL")</x:f>
        <x:v>OK</x:v>
      </x:c>
      <x:c r="AD24" s="62" t="str">
        <x:f>IF(ABS(L24)&lt;=SUMIFS($L$2:$L$109,$C$2:$C$109,C24,$D$2:$D$109,D24,$F$2:$F$109,F24,$L$2:$L$109,"&gt;0"),"OK","FAIL")</x:f>
        <x:v>OK</x:v>
      </x:c>
    </x:row>
    <x:row r="25">
      <x:c r="A25" s="62" t="str">
        <x:v>OCC|2025|5005|20|PO|25</x:v>
      </x:c>
      <x:c r="B25" s="62" t="str">
        <x:v>CORRECTED</x:v>
      </x:c>
      <x:c r="C25" s="62" t="str">
        <x:v>5005</x:v>
      </x:c>
      <x:c r="D25" s="62" t="str">
        <x:v>20</x:v>
      </x:c>
      <x:c r="E25" s="62" t="str">
        <x:v>采购订单</x:v>
      </x:c>
      <x:c r="F25" s="62" t="str">
        <x:v>PO</x:v>
      </x:c>
      <x:c r="G25" s="62" t="str">
        <x:v>2025-006</x:v>
      </x:c>
      <x:c r="H25" s="62" t="str">
        <x:v>2025-06</x:v>
      </x:c>
      <x:c r="I25" s="74" t="n">
        <x:v>45828</x:v>
      </x:c>
      <x:c r="J25" s="74" t="n">
        <x:v>45828</x:v>
      </x:c>
      <x:c r="K25" s="81" t="n">
        <x:v>-3.54</x:v>
      </x:c>
      <x:c r="L25" s="81" t="n">
        <x:v>-3.54</x:v>
      </x:c>
      <x:c r="M25" s="62" t="str">
        <x:v>业务支持费</x:v>
      </x:c>
      <x:c r="N25" s="62" t="str">
        <x:v>确认成本冲销PO</x:v>
      </x:c>
      <x:c r="O25" s="62" t="str">
        <x:v>北京核工院</x:v>
      </x:c>
      <x:c r="P25" s="62" t="str">
        <x:v>国电智深</x:v>
      </x:c>
      <x:c r="Q25" s="62" t="str">
        <x:v>国电智深</x:v>
      </x:c>
      <x:c r="R25" s="62" t="str">
        <x:v>设备管理部</x:v>
      </x:c>
      <x:c r="S25" s="62" t="str">
        <x:v>PRJ-SB-设备-2025-002</x:v>
      </x:c>
      <x:c r="T25" s="62" t="str">
        <x:v>释放</x:v>
      </x:c>
      <x:c r="U25" s="86" t="n">
        <x:f>IF(AND(F25="PR",L25&gt;0),L25,0)</x:f>
        <x:v>0</x:v>
      </x:c>
      <x:c r="V25" s="86" t="n">
        <x:f>IF(AND(F25="PR",L25&gt;0,MONTH(I25)=12),L25,0)</x:f>
        <x:v>0</x:v>
      </x:c>
      <x:c r="W25" s="74" t="n">
        <x:v>46022</x:v>
      </x:c>
      <x:c r="X25" s="62" t="str">
        <x:v>OCC|2025|5005|20|PO|23</x:v>
      </x:c>
      <x:c r="Y25" s="62" t="str">
        <x:v>2025年预算占用.XLSX</x:v>
      </x:c>
      <x:c r="Z25" s="62" t="str">
        <x:v>Sheet</x:v>
      </x:c>
      <x:c r="AA25" s="62" t="n">
        <x:v>25</x:v>
      </x:c>
      <x:c r="AB25" s="62" t="str">
        <x:v>5005|20|PO|2025-06-20|25</x:v>
      </x:c>
      <x:c r="AC25" s="62" t="str">
        <x:f>IF(MONTH(I25)=VALUE(RIGHT(H25,2)),"OK","FAIL")</x:f>
        <x:v>OK</x:v>
      </x:c>
      <x:c r="AD25" s="62" t="str">
        <x:f>IF(ABS(L25)&lt;=SUMIFS($L$2:$L$109,$C$2:$C$109,C25,$D$2:$D$109,D25,$F$2:$F$109,F25,$L$2:$L$109,"&gt;0"),"OK","FAIL")</x:f>
        <x:v>OK</x:v>
      </x:c>
    </x:row>
    <x:row r="26">
      <x:c r="A26" s="62" t="str">
        <x:v>OCC|2025|5006|10|PR|26</x:v>
      </x:c>
      <x:c r="B26" s="62" t="str">
        <x:v>SOURCE</x:v>
      </x:c>
      <x:c r="C26" s="62" t="str">
        <x:v>5006</x:v>
      </x:c>
      <x:c r="D26" s="62" t="str">
        <x:v>10</x:v>
      </x:c>
      <x:c r="E26" s="62" t="str">
        <x:v>购买申请</x:v>
      </x:c>
      <x:c r="F26" s="62" t="str">
        <x:v>PR</x:v>
      </x:c>
      <x:c r="G26" s="62" t="str">
        <x:v>2025-007</x:v>
      </x:c>
      <x:c r="H26" s="62" t="str">
        <x:v>2025-07</x:v>
      </x:c>
      <x:c r="I26" s="74" t="n">
        <x:v>45848</x:v>
      </x:c>
      <x:c r="J26" s="74" t="n">
        <x:v>45848</x:v>
      </x:c>
      <x:c r="K26" s="81" t="n">
        <x:v>5.26</x:v>
      </x:c>
      <x:c r="L26" s="81" t="n">
        <x:v>5.26</x:v>
      </x:c>
      <x:c r="M26" s="62" t="str">
        <x:v>业务支持费</x:v>
      </x:c>
      <x:c r="N26" s="62" t="str">
        <x:v>技术配置-采购申请</x:v>
      </x:c>
      <x:c r="O26" s="62" t="str">
        <x:v>中核运维</x:v>
      </x:c>
      <x:c r="P26" s="62" t="str">
        <x:v>中核运维</x:v>
      </x:c>
      <x:c r="Q26" s="62" t="str">
        <x:v>中核运维</x:v>
      </x:c>
      <x:c r="R26" s="62" t="str">
        <x:v>设备管理部</x:v>
      </x:c>
      <x:c r="S26" s="62" t="str">
        <x:v>PRJ-SB-设备-2025-002</x:v>
      </x:c>
      <x:c r="T26" s="62" t="str">
        <x:v>正向</x:v>
      </x:c>
      <x:c r="U26" s="86" t="n">
        <x:f>IF(AND(F26="PR",L26&gt;0),L26,0)</x:f>
        <x:v>5.26</x:v>
      </x:c>
      <x:c r="V26" s="86" t="n">
        <x:f>IF(AND(F26="PR",L26&gt;0,MONTH(I26)=12),L26,0)</x:f>
        <x:v>0</x:v>
      </x:c>
      <x:c r="W26" s="74" t="n">
        <x:v>46022</x:v>
      </x:c>
      <x:c r="X26" s="62" t="str"/>
      <x:c r="Y26" s="62" t="str">
        <x:v>2025年预算占用.XLSX</x:v>
      </x:c>
      <x:c r="Z26" s="62" t="str">
        <x:v>Sheet</x:v>
      </x:c>
      <x:c r="AA26" s="62" t="n">
        <x:v>26</x:v>
      </x:c>
      <x:c r="AB26" s="62" t="str">
        <x:v>5006|10|PR|2025-07-10|26</x:v>
      </x:c>
      <x:c r="AC26" s="62" t="str">
        <x:f>IF(MONTH(I26)=VALUE(RIGHT(H26,2)),"OK","FAIL")</x:f>
        <x:v>OK</x:v>
      </x:c>
      <x:c r="AD26" s="62" t="str">
        <x:f>"OK"</x:f>
        <x:v>OK</x:v>
      </x:c>
    </x:row>
    <x:row r="27">
      <x:c r="A27" s="62" t="str">
        <x:v>OCC|2025|5006|20|PO|27</x:v>
      </x:c>
      <x:c r="B27" s="62" t="str">
        <x:v>SOURCE</x:v>
      </x:c>
      <x:c r="C27" s="62" t="str">
        <x:v>5006</x:v>
      </x:c>
      <x:c r="D27" s="62" t="str">
        <x:v>20</x:v>
      </x:c>
      <x:c r="E27" s="62" t="str">
        <x:v>采购订单</x:v>
      </x:c>
      <x:c r="F27" s="62" t="str">
        <x:v>PO</x:v>
      </x:c>
      <x:c r="G27" s="62" t="str">
        <x:v>2025-007</x:v>
      </x:c>
      <x:c r="H27" s="62" t="str">
        <x:v>2025-07</x:v>
      </x:c>
      <x:c r="I27" s="74" t="n">
        <x:v>45853</x:v>
      </x:c>
      <x:c r="J27" s="74" t="n">
        <x:v>45853</x:v>
      </x:c>
      <x:c r="K27" s="81" t="n">
        <x:v>5</x:v>
      </x:c>
      <x:c r="L27" s="81" t="n">
        <x:v>5</x:v>
      </x:c>
      <x:c r="M27" s="62" t="str">
        <x:v>业务支持费</x:v>
      </x:c>
      <x:c r="N27" s="62" t="str">
        <x:v>技术配置-采购订单</x:v>
      </x:c>
      <x:c r="O27" s="62" t="str">
        <x:v>中核运维</x:v>
      </x:c>
      <x:c r="P27" s="62" t="str">
        <x:v>中核运维</x:v>
      </x:c>
      <x:c r="Q27" s="62" t="str">
        <x:v>中核运维</x:v>
      </x:c>
      <x:c r="R27" s="62" t="str">
        <x:v>设备管理部</x:v>
      </x:c>
      <x:c r="S27" s="62" t="str">
        <x:v>PRJ-SB-设备-2025-002</x:v>
      </x:c>
      <x:c r="T27" s="62" t="str">
        <x:v>正向</x:v>
      </x:c>
      <x:c r="U27" s="86" t="n">
        <x:f>IF(AND(F27="PR",L27&gt;0),L27,0)</x:f>
        <x:v>0</x:v>
      </x:c>
      <x:c r="V27" s="86" t="n">
        <x:f>IF(AND(F27="PR",L27&gt;0,MONTH(I27)=12),L27,0)</x:f>
        <x:v>0</x:v>
      </x:c>
      <x:c r="W27" s="74" t="n">
        <x:v>46022</x:v>
      </x:c>
      <x:c r="X27" s="62" t="str"/>
      <x:c r="Y27" s="62" t="str">
        <x:v>2025年预算占用.XLSX</x:v>
      </x:c>
      <x:c r="Z27" s="62" t="str">
        <x:v>Sheet</x:v>
      </x:c>
      <x:c r="AA27" s="62" t="n">
        <x:v>27</x:v>
      </x:c>
      <x:c r="AB27" s="62" t="str">
        <x:v>5006|20|PO|2025-07-15|27</x:v>
      </x:c>
      <x:c r="AC27" s="62" t="str">
        <x:f>IF(MONTH(I27)=VALUE(RIGHT(H27,2)),"OK","FAIL")</x:f>
        <x:v>OK</x:v>
      </x:c>
      <x:c r="AD27" s="62" t="str">
        <x:f>"OK"</x:f>
        <x:v>OK</x:v>
      </x:c>
    </x:row>
    <x:row r="28">
      <x:c r="A28" s="62" t="str">
        <x:v>OCC|2025|5006|10|PR|28</x:v>
      </x:c>
      <x:c r="B28" s="62" t="str">
        <x:v>CORRECTED</x:v>
      </x:c>
      <x:c r="C28" s="62" t="str">
        <x:v>5006</x:v>
      </x:c>
      <x:c r="D28" s="62" t="str">
        <x:v>10</x:v>
      </x:c>
      <x:c r="E28" s="62" t="str">
        <x:v>购买申请</x:v>
      </x:c>
      <x:c r="F28" s="62" t="str">
        <x:v>PR</x:v>
      </x:c>
      <x:c r="G28" s="62" t="str">
        <x:v>2025-007</x:v>
      </x:c>
      <x:c r="H28" s="62" t="str">
        <x:v>2025-07</x:v>
      </x:c>
      <x:c r="I28" s="74" t="n">
        <x:v>45853</x:v>
      </x:c>
      <x:c r="J28" s="74" t="n">
        <x:v>45853</x:v>
      </x:c>
      <x:c r="K28" s="81" t="n">
        <x:v>-5.26</x:v>
      </x:c>
      <x:c r="L28" s="81" t="n">
        <x:v>-5.26</x:v>
      </x:c>
      <x:c r="M28" s="62" t="str">
        <x:v>业务支持费</x:v>
      </x:c>
      <x:c r="N28" s="62" t="str">
        <x:v>冲销购买申请</x:v>
      </x:c>
      <x:c r="O28" s="62" t="str">
        <x:v>苏州热工</x:v>
      </x:c>
      <x:c r="P28" s="62" t="str">
        <x:v>中核运维</x:v>
      </x:c>
      <x:c r="Q28" s="62" t="str">
        <x:v>中核运维</x:v>
      </x:c>
      <x:c r="R28" s="62" t="str">
        <x:v>设备管理部</x:v>
      </x:c>
      <x:c r="S28" s="62" t="str">
        <x:v>PRJ-SB-设备-2025-002</x:v>
      </x:c>
      <x:c r="T28" s="62" t="str">
        <x:v>释放</x:v>
      </x:c>
      <x:c r="U28" s="86" t="n">
        <x:f>IF(AND(F28="PR",L28&gt;0),L28,0)</x:f>
        <x:v>0</x:v>
      </x:c>
      <x:c r="V28" s="86" t="n">
        <x:f>IF(AND(F28="PR",L28&gt;0,MONTH(I28)=12),L28,0)</x:f>
        <x:v>0</x:v>
      </x:c>
      <x:c r="W28" s="74" t="n">
        <x:v>46022</x:v>
      </x:c>
      <x:c r="X28" s="62" t="str">
        <x:v>OCC|2025|5006|10|PR|26</x:v>
      </x:c>
      <x:c r="Y28" s="62" t="str">
        <x:v>2025年预算占用.XLSX</x:v>
      </x:c>
      <x:c r="Z28" s="62" t="str">
        <x:v>Sheet</x:v>
      </x:c>
      <x:c r="AA28" s="62" t="n">
        <x:v>28</x:v>
      </x:c>
      <x:c r="AB28" s="62" t="str">
        <x:v>5006|10|PR|2025-07-15|28</x:v>
      </x:c>
      <x:c r="AC28" s="62" t="str">
        <x:f>IF(MONTH(I28)=VALUE(RIGHT(H28,2)),"OK","FAIL")</x:f>
        <x:v>OK</x:v>
      </x:c>
      <x:c r="AD28" s="62" t="str">
        <x:f>IF(ABS(L28)&lt;=SUMIFS($L$2:$L$109,$C$2:$C$109,C28,$D$2:$D$109,D28,$F$2:$F$109,F28,$L$2:$L$109,"&gt;0"),"OK","FAIL")</x:f>
        <x:v>OK</x:v>
      </x:c>
    </x:row>
    <x:row r="29">
      <x:c r="A29" s="62" t="str">
        <x:v>OCC|2025|5007|10|PR|29</x:v>
      </x:c>
      <x:c r="B29" s="62" t="str">
        <x:v>SOURCE</x:v>
      </x:c>
      <x:c r="C29" s="62" t="str">
        <x:v>5007</x:v>
      </x:c>
      <x:c r="D29" s="62" t="str">
        <x:v>10</x:v>
      </x:c>
      <x:c r="E29" s="62" t="str">
        <x:v>购买申请</x:v>
      </x:c>
      <x:c r="F29" s="62" t="str">
        <x:v>PR</x:v>
      </x:c>
      <x:c r="G29" s="62" t="str">
        <x:v>2025-008</x:v>
      </x:c>
      <x:c r="H29" s="62" t="str">
        <x:v>2025-08</x:v>
      </x:c>
      <x:c r="I29" s="74" t="n">
        <x:v>45879</x:v>
      </x:c>
      <x:c r="J29" s="74" t="n">
        <x:v>45879</x:v>
      </x:c>
      <x:c r="K29" s="81" t="n">
        <x:v>7.51</x:v>
      </x:c>
      <x:c r="L29" s="81" t="n">
        <x:v>7.51</x:v>
      </x:c>
      <x:c r="M29" s="62" t="str">
        <x:v>业务支持费</x:v>
      </x:c>
      <x:c r="N29" s="62" t="str">
        <x:v>技术配置-采购申请</x:v>
      </x:c>
      <x:c r="O29" s="62" t="str">
        <x:v>国电智深</x:v>
      </x:c>
      <x:c r="P29" s="62" t="str">
        <x:v>国电智深</x:v>
      </x:c>
      <x:c r="Q29" s="62" t="str">
        <x:v>中核运维</x:v>
      </x:c>
      <x:c r="R29" s="62" t="str">
        <x:v>设备管理部</x:v>
      </x:c>
      <x:c r="S29" s="62" t="str">
        <x:v>PRJ-SB-设备-2025-002</x:v>
      </x:c>
      <x:c r="T29" s="62" t="str">
        <x:v>正向</x:v>
      </x:c>
      <x:c r="U29" s="86" t="n">
        <x:f>IF(AND(F29="PR",L29&gt;0),L29,0)</x:f>
        <x:v>7.51</x:v>
      </x:c>
      <x:c r="V29" s="86" t="n">
        <x:f>IF(AND(F29="PR",L29&gt;0,MONTH(I29)=12),L29,0)</x:f>
        <x:v>0</x:v>
      </x:c>
      <x:c r="W29" s="74" t="n">
        <x:v>46022</x:v>
      </x:c>
      <x:c r="X29" s="62" t="str"/>
      <x:c r="Y29" s="62" t="str">
        <x:v>2025年预算占用.XLSX</x:v>
      </x:c>
      <x:c r="Z29" s="62" t="str">
        <x:v>Sheet</x:v>
      </x:c>
      <x:c r="AA29" s="62" t="n">
        <x:v>29</x:v>
      </x:c>
      <x:c r="AB29" s="62" t="str">
        <x:v>5007|10|PR|2025-08-10|29</x:v>
      </x:c>
      <x:c r="AC29" s="62" t="str">
        <x:f>IF(MONTH(I29)=VALUE(RIGHT(H29,2)),"OK","FAIL")</x:f>
        <x:v>OK</x:v>
      </x:c>
      <x:c r="AD29" s="62" t="str">
        <x:f>"OK"</x:f>
        <x:v>OK</x:v>
      </x:c>
    </x:row>
    <x:row r="30">
      <x:c r="A30" s="62" t="str">
        <x:v>OCC|2025|5007|20|PO|30</x:v>
      </x:c>
      <x:c r="B30" s="62" t="str">
        <x:v>SOURCE</x:v>
      </x:c>
      <x:c r="C30" s="62" t="str">
        <x:v>5007</x:v>
      </x:c>
      <x:c r="D30" s="62" t="str">
        <x:v>20</x:v>
      </x:c>
      <x:c r="E30" s="62" t="str">
        <x:v>采购订单</x:v>
      </x:c>
      <x:c r="F30" s="62" t="str">
        <x:v>PO</x:v>
      </x:c>
      <x:c r="G30" s="62" t="str">
        <x:v>2025-008</x:v>
      </x:c>
      <x:c r="H30" s="62" t="str">
        <x:v>2025-08</x:v>
      </x:c>
      <x:c r="I30" s="74" t="n">
        <x:v>45884</x:v>
      </x:c>
      <x:c r="J30" s="74" t="n">
        <x:v>45884</x:v>
      </x:c>
      <x:c r="K30" s="81" t="n">
        <x:v>7.13</x:v>
      </x:c>
      <x:c r="L30" s="81" t="n">
        <x:v>7.13</x:v>
      </x:c>
      <x:c r="M30" s="62" t="str">
        <x:v>业务支持费</x:v>
      </x:c>
      <x:c r="N30" s="62" t="str">
        <x:v>技术配置-采购订单</x:v>
      </x:c>
      <x:c r="O30" s="62" t="str">
        <x:v>中核运维</x:v>
      </x:c>
      <x:c r="P30" s="62" t="str">
        <x:v>中核运维</x:v>
      </x:c>
      <x:c r="Q30" s="62" t="str">
        <x:v>中核运维</x:v>
      </x:c>
      <x:c r="R30" s="62" t="str">
        <x:v>设备管理部</x:v>
      </x:c>
      <x:c r="S30" s="62" t="str">
        <x:v>PRJ-SB-设备-2025-002</x:v>
      </x:c>
      <x:c r="T30" s="62" t="str">
        <x:v>正向</x:v>
      </x:c>
      <x:c r="U30" s="86" t="n">
        <x:f>IF(AND(F30="PR",L30&gt;0),L30,0)</x:f>
        <x:v>0</x:v>
      </x:c>
      <x:c r="V30" s="86" t="n">
        <x:f>IF(AND(F30="PR",L30&gt;0,MONTH(I30)=12),L30,0)</x:f>
        <x:v>0</x:v>
      </x:c>
      <x:c r="W30" s="74" t="n">
        <x:v>46022</x:v>
      </x:c>
      <x:c r="X30" s="62" t="str"/>
      <x:c r="Y30" s="62" t="str">
        <x:v>2025年预算占用.XLSX</x:v>
      </x:c>
      <x:c r="Z30" s="62" t="str">
        <x:v>Sheet</x:v>
      </x:c>
      <x:c r="AA30" s="62" t="n">
        <x:v>30</x:v>
      </x:c>
      <x:c r="AB30" s="62" t="str">
        <x:v>5007|20|PO|2025-08-15|30</x:v>
      </x:c>
      <x:c r="AC30" s="62" t="str">
        <x:f>IF(MONTH(I30)=VALUE(RIGHT(H30,2)),"OK","FAIL")</x:f>
        <x:v>OK</x:v>
      </x:c>
      <x:c r="AD30" s="62" t="str">
        <x:f>"OK"</x:f>
        <x:v>OK</x:v>
      </x:c>
    </x:row>
    <x:row r="31">
      <x:c r="A31" s="62" t="str">
        <x:v>OCC|2025|5007|10|PR|31</x:v>
      </x:c>
      <x:c r="B31" s="62" t="str">
        <x:v>CORRECTED</x:v>
      </x:c>
      <x:c r="C31" s="62" t="str">
        <x:v>5007</x:v>
      </x:c>
      <x:c r="D31" s="62" t="str">
        <x:v>10</x:v>
      </x:c>
      <x:c r="E31" s="62" t="str">
        <x:v>购买申请</x:v>
      </x:c>
      <x:c r="F31" s="62" t="str">
        <x:v>PR</x:v>
      </x:c>
      <x:c r="G31" s="62" t="str">
        <x:v>2025-008</x:v>
      </x:c>
      <x:c r="H31" s="62" t="str">
        <x:v>2025-08</x:v>
      </x:c>
      <x:c r="I31" s="74" t="n">
        <x:v>45884</x:v>
      </x:c>
      <x:c r="J31" s="74" t="n">
        <x:v>45884</x:v>
      </x:c>
      <x:c r="K31" s="81" t="n">
        <x:v>-7.51</x:v>
      </x:c>
      <x:c r="L31" s="81" t="n">
        <x:v>-7.51</x:v>
      </x:c>
      <x:c r="M31" s="62" t="str">
        <x:v>业务支持费</x:v>
      </x:c>
      <x:c r="N31" s="62" t="str">
        <x:v>冲销购买申请</x:v>
      </x:c>
      <x:c r="O31" s="62" t="str">
        <x:v>中核运维</x:v>
      </x:c>
      <x:c r="P31" s="62" t="str">
        <x:v>国电智深</x:v>
      </x:c>
      <x:c r="Q31" s="62" t="str">
        <x:v>中核运维</x:v>
      </x:c>
      <x:c r="R31" s="62" t="str">
        <x:v>设备管理部</x:v>
      </x:c>
      <x:c r="S31" s="62" t="str">
        <x:v>PRJ-SB-设备-2025-002</x:v>
      </x:c>
      <x:c r="T31" s="62" t="str">
        <x:v>释放</x:v>
      </x:c>
      <x:c r="U31" s="86" t="n">
        <x:f>IF(AND(F31="PR",L31&gt;0),L31,0)</x:f>
        <x:v>0</x:v>
      </x:c>
      <x:c r="V31" s="86" t="n">
        <x:f>IF(AND(F31="PR",L31&gt;0,MONTH(I31)=12),L31,0)</x:f>
        <x:v>0</x:v>
      </x:c>
      <x:c r="W31" s="74" t="n">
        <x:v>46022</x:v>
      </x:c>
      <x:c r="X31" s="62" t="str">
        <x:v>OCC|2025|5007|10|PR|29</x:v>
      </x:c>
      <x:c r="Y31" s="62" t="str">
        <x:v>2025年预算占用.XLSX</x:v>
      </x:c>
      <x:c r="Z31" s="62" t="str">
        <x:v>Sheet</x:v>
      </x:c>
      <x:c r="AA31" s="62" t="n">
        <x:v>31</x:v>
      </x:c>
      <x:c r="AB31" s="62" t="str">
        <x:v>5007|10|PR|2025-08-15|31</x:v>
      </x:c>
      <x:c r="AC31" s="62" t="str">
        <x:f>IF(MONTH(I31)=VALUE(RIGHT(H31,2)),"OK","FAIL")</x:f>
        <x:v>OK</x:v>
      </x:c>
      <x:c r="AD31" s="62" t="str">
        <x:f>IF(ABS(L31)&lt;=SUMIFS($L$2:$L$109,$C$2:$C$109,C31,$D$2:$D$109,D31,$F$2:$F$109,F31,$L$2:$L$109,"&gt;0"),"OK","FAIL")</x:f>
        <x:v>OK</x:v>
      </x:c>
    </x:row>
    <x:row r="32">
      <x:c r="A32" s="62" t="str">
        <x:v>OCC|2025|5008|10|PR|32</x:v>
      </x:c>
      <x:c r="B32" s="62" t="str">
        <x:v>SOURCE</x:v>
      </x:c>
      <x:c r="C32" s="62" t="str">
        <x:v>5008</x:v>
      </x:c>
      <x:c r="D32" s="62" t="str">
        <x:v>10</x:v>
      </x:c>
      <x:c r="E32" s="62" t="str">
        <x:v>购买申请</x:v>
      </x:c>
      <x:c r="F32" s="62" t="str">
        <x:v>PR</x:v>
      </x:c>
      <x:c r="G32" s="62" t="str">
        <x:v>2025-009</x:v>
      </x:c>
      <x:c r="H32" s="62" t="str">
        <x:v>2025-09</x:v>
      </x:c>
      <x:c r="I32" s="74" t="n">
        <x:v>45910</x:v>
      </x:c>
      <x:c r="J32" s="74" t="n">
        <x:v>45910</x:v>
      </x:c>
      <x:c r="K32" s="81" t="n">
        <x:v>6.34</x:v>
      </x:c>
      <x:c r="L32" s="81" t="n">
        <x:v>6.34</x:v>
      </x:c>
      <x:c r="M32" s="62" t="str">
        <x:v>业务支持费</x:v>
      </x:c>
      <x:c r="N32" s="62" t="str">
        <x:v>技术配置-采购申请</x:v>
      </x:c>
      <x:c r="O32" s="62" t="str">
        <x:v>华能服务</x:v>
      </x:c>
      <x:c r="P32" s="62" t="str">
        <x:v>华能服务</x:v>
      </x:c>
      <x:c r="Q32" s="62" t="str">
        <x:v>苏州热工</x:v>
      </x:c>
      <x:c r="R32" s="62" t="str">
        <x:v>设备管理部</x:v>
      </x:c>
      <x:c r="S32" s="62" t="str">
        <x:v>PRJ-SB-设备-2025-002</x:v>
      </x:c>
      <x:c r="T32" s="62" t="str">
        <x:v>正向</x:v>
      </x:c>
      <x:c r="U32" s="86" t="n">
        <x:f>IF(AND(F32="PR",L32&gt;0),L32,0)</x:f>
        <x:v>6.34</x:v>
      </x:c>
      <x:c r="V32" s="86" t="n">
        <x:f>IF(AND(F32="PR",L32&gt;0,MONTH(I32)=12),L32,0)</x:f>
        <x:v>0</x:v>
      </x:c>
      <x:c r="W32" s="74" t="n">
        <x:v>46022</x:v>
      </x:c>
      <x:c r="X32" s="62" t="str"/>
      <x:c r="Y32" s="62" t="str">
        <x:v>2025年预算占用.XLSX</x:v>
      </x:c>
      <x:c r="Z32" s="62" t="str">
        <x:v>Sheet</x:v>
      </x:c>
      <x:c r="AA32" s="62" t="n">
        <x:v>32</x:v>
      </x:c>
      <x:c r="AB32" s="62" t="str">
        <x:v>5008|10|PR|2025-09-10|32</x:v>
      </x:c>
      <x:c r="AC32" s="62" t="str">
        <x:f>IF(MONTH(I32)=VALUE(RIGHT(H32,2)),"OK","FAIL")</x:f>
        <x:v>OK</x:v>
      </x:c>
      <x:c r="AD32" s="62" t="str">
        <x:f>"OK"</x:f>
        <x:v>OK</x:v>
      </x:c>
    </x:row>
    <x:row r="33">
      <x:c r="A33" s="62" t="str">
        <x:v>OCC|2025|5008|20|PO|33</x:v>
      </x:c>
      <x:c r="B33" s="62" t="str">
        <x:v>SOURCE</x:v>
      </x:c>
      <x:c r="C33" s="62" t="str">
        <x:v>5008</x:v>
      </x:c>
      <x:c r="D33" s="62" t="str">
        <x:v>20</x:v>
      </x:c>
      <x:c r="E33" s="62" t="str">
        <x:v>采购订单</x:v>
      </x:c>
      <x:c r="F33" s="62" t="str">
        <x:v>PO</x:v>
      </x:c>
      <x:c r="G33" s="62" t="str">
        <x:v>2025-009</x:v>
      </x:c>
      <x:c r="H33" s="62" t="str">
        <x:v>2025-09</x:v>
      </x:c>
      <x:c r="I33" s="74" t="n">
        <x:v>45915</x:v>
      </x:c>
      <x:c r="J33" s="74" t="n">
        <x:v>45915</x:v>
      </x:c>
      <x:c r="K33" s="81" t="n">
        <x:v>6.02</x:v>
      </x:c>
      <x:c r="L33" s="81" t="n">
        <x:v>6.02</x:v>
      </x:c>
      <x:c r="M33" s="62" t="str">
        <x:v>业务支持费</x:v>
      </x:c>
      <x:c r="N33" s="62" t="str">
        <x:v>技术配置-采购订单</x:v>
      </x:c>
      <x:c r="O33" s="62" t="str">
        <x:v>苏州热工</x:v>
      </x:c>
      <x:c r="P33" s="62" t="str">
        <x:v>苏州热工</x:v>
      </x:c>
      <x:c r="Q33" s="62" t="str">
        <x:v>苏州热工</x:v>
      </x:c>
      <x:c r="R33" s="62" t="str">
        <x:v>设备管理部</x:v>
      </x:c>
      <x:c r="S33" s="62" t="str">
        <x:v>PRJ-SB-设备-2025-002</x:v>
      </x:c>
      <x:c r="T33" s="62" t="str">
        <x:v>正向</x:v>
      </x:c>
      <x:c r="U33" s="86" t="n">
        <x:f>IF(AND(F33="PR",L33&gt;0),L33,0)</x:f>
        <x:v>0</x:v>
      </x:c>
      <x:c r="V33" s="86" t="n">
        <x:f>IF(AND(F33="PR",L33&gt;0,MONTH(I33)=12),L33,0)</x:f>
        <x:v>0</x:v>
      </x:c>
      <x:c r="W33" s="74" t="n">
        <x:v>46022</x:v>
      </x:c>
      <x:c r="X33" s="62" t="str"/>
      <x:c r="Y33" s="62" t="str">
        <x:v>2025年预算占用.XLSX</x:v>
      </x:c>
      <x:c r="Z33" s="62" t="str">
        <x:v>Sheet</x:v>
      </x:c>
      <x:c r="AA33" s="62" t="n">
        <x:v>33</x:v>
      </x:c>
      <x:c r="AB33" s="62" t="str">
        <x:v>5008|20|PO|2025-09-15|33</x:v>
      </x:c>
      <x:c r="AC33" s="62" t="str">
        <x:f>IF(MONTH(I33)=VALUE(RIGHT(H33,2)),"OK","FAIL")</x:f>
        <x:v>OK</x:v>
      </x:c>
      <x:c r="AD33" s="62" t="str">
        <x:f>"OK"</x:f>
        <x:v>OK</x:v>
      </x:c>
    </x:row>
    <x:row r="34">
      <x:c r="A34" s="62" t="str">
        <x:v>OCC|2025|5008|10|PR|34</x:v>
      </x:c>
      <x:c r="B34" s="62" t="str">
        <x:v>CORRECTED</x:v>
      </x:c>
      <x:c r="C34" s="62" t="str">
        <x:v>5008</x:v>
      </x:c>
      <x:c r="D34" s="62" t="str">
        <x:v>10</x:v>
      </x:c>
      <x:c r="E34" s="62" t="str">
        <x:v>购买申请</x:v>
      </x:c>
      <x:c r="F34" s="62" t="str">
        <x:v>PR</x:v>
      </x:c>
      <x:c r="G34" s="62" t="str">
        <x:v>2025-009</x:v>
      </x:c>
      <x:c r="H34" s="62" t="str">
        <x:v>2025-09</x:v>
      </x:c>
      <x:c r="I34" s="74" t="n">
        <x:v>45915</x:v>
      </x:c>
      <x:c r="J34" s="74" t="n">
        <x:v>45915</x:v>
      </x:c>
      <x:c r="K34" s="81" t="n">
        <x:v>-6.34</x:v>
      </x:c>
      <x:c r="L34" s="81" t="n">
        <x:v>-6.34</x:v>
      </x:c>
      <x:c r="M34" s="62" t="str">
        <x:v>业务支持费</x:v>
      </x:c>
      <x:c r="N34" s="62" t="str">
        <x:v>冲销购买申请</x:v>
      </x:c>
      <x:c r="O34" s="62" t="str">
        <x:v>国电智深</x:v>
      </x:c>
      <x:c r="P34" s="62" t="str">
        <x:v>华能服务</x:v>
      </x:c>
      <x:c r="Q34" s="62" t="str">
        <x:v>苏州热工</x:v>
      </x:c>
      <x:c r="R34" s="62" t="str">
        <x:v>设备管理部</x:v>
      </x:c>
      <x:c r="S34" s="62" t="str">
        <x:v>PRJ-SB-设备-2025-002</x:v>
      </x:c>
      <x:c r="T34" s="62" t="str">
        <x:v>释放</x:v>
      </x:c>
      <x:c r="U34" s="86" t="n">
        <x:f>IF(AND(F34="PR",L34&gt;0),L34,0)</x:f>
        <x:v>0</x:v>
      </x:c>
      <x:c r="V34" s="86" t="n">
        <x:f>IF(AND(F34="PR",L34&gt;0,MONTH(I34)=12),L34,0)</x:f>
        <x:v>0</x:v>
      </x:c>
      <x:c r="W34" s="74" t="n">
        <x:v>46022</x:v>
      </x:c>
      <x:c r="X34" s="62" t="str">
        <x:v>OCC|2025|5008|10|PR|32</x:v>
      </x:c>
      <x:c r="Y34" s="62" t="str">
        <x:v>2025年预算占用.XLSX</x:v>
      </x:c>
      <x:c r="Z34" s="62" t="str">
        <x:v>Sheet</x:v>
      </x:c>
      <x:c r="AA34" s="62" t="n">
        <x:v>34</x:v>
      </x:c>
      <x:c r="AB34" s="62" t="str">
        <x:v>5008|10|PR|2025-09-15|34</x:v>
      </x:c>
      <x:c r="AC34" s="62" t="str">
        <x:f>IF(MONTH(I34)=VALUE(RIGHT(H34,2)),"OK","FAIL")</x:f>
        <x:v>OK</x:v>
      </x:c>
      <x:c r="AD34" s="62" t="str">
        <x:f>IF(ABS(L34)&lt;=SUMIFS($L$2:$L$109,$C$2:$C$109,C34,$D$2:$D$109,D34,$F$2:$F$109,F34,$L$2:$L$109,"&gt;0"),"OK","FAIL")</x:f>
        <x:v>OK</x:v>
      </x:c>
    </x:row>
    <x:row r="35">
      <x:c r="A35" s="62" t="str">
        <x:v>OCC|2025|5009|10|PR|35</x:v>
      </x:c>
      <x:c r="B35" s="62" t="str">
        <x:v>SOURCE</x:v>
      </x:c>
      <x:c r="C35" s="62" t="str">
        <x:v>5009</x:v>
      </x:c>
      <x:c r="D35" s="62" t="str">
        <x:v>10</x:v>
      </x:c>
      <x:c r="E35" s="62" t="str">
        <x:v>购买申请</x:v>
      </x:c>
      <x:c r="F35" s="62" t="str">
        <x:v>PR</x:v>
      </x:c>
      <x:c r="G35" s="62" t="str">
        <x:v>2025-010</x:v>
      </x:c>
      <x:c r="H35" s="62" t="str">
        <x:v>2025-10</x:v>
      </x:c>
      <x:c r="I35" s="74" t="n">
        <x:v>45940</x:v>
      </x:c>
      <x:c r="J35" s="74" t="n">
        <x:v>45940</x:v>
      </x:c>
      <x:c r="K35" s="81" t="n">
        <x:v>4.1</x:v>
      </x:c>
      <x:c r="L35" s="81" t="n">
        <x:v>4.1</x:v>
      </x:c>
      <x:c r="M35" s="62" t="str">
        <x:v>业务支持费</x:v>
      </x:c>
      <x:c r="N35" s="62" t="str">
        <x:v>技术配置-采购申请</x:v>
      </x:c>
      <x:c r="O35" s="62" t="str">
        <x:v>北京核工院</x:v>
      </x:c>
      <x:c r="P35" s="62" t="str">
        <x:v>北京核工院</x:v>
      </x:c>
      <x:c r="Q35" s="62" t="str">
        <x:v>北京核工院</x:v>
      </x:c>
      <x:c r="R35" s="62" t="str">
        <x:v>设备管理部</x:v>
      </x:c>
      <x:c r="S35" s="62" t="str">
        <x:v>PRJ-SB-设备-2025-002</x:v>
      </x:c>
      <x:c r="T35" s="62" t="str">
        <x:v>正向</x:v>
      </x:c>
      <x:c r="U35" s="86" t="n">
        <x:f>IF(AND(F35="PR",L35&gt;0),L35,0)</x:f>
        <x:v>4.1</x:v>
      </x:c>
      <x:c r="V35" s="86" t="n">
        <x:f>IF(AND(F35="PR",L35&gt;0,MONTH(I35)=12),L35,0)</x:f>
        <x:v>0</x:v>
      </x:c>
      <x:c r="W35" s="74" t="n">
        <x:v>46022</x:v>
      </x:c>
      <x:c r="X35" s="62" t="str"/>
      <x:c r="Y35" s="62" t="str">
        <x:v>2025年预算占用.XLSX</x:v>
      </x:c>
      <x:c r="Z35" s="62" t="str">
        <x:v>Sheet</x:v>
      </x:c>
      <x:c r="AA35" s="62" t="n">
        <x:v>35</x:v>
      </x:c>
      <x:c r="AB35" s="62" t="str">
        <x:v>5009|10|PR|2025-10-10|35</x:v>
      </x:c>
      <x:c r="AC35" s="62" t="str">
        <x:f>IF(MONTH(I35)=VALUE(RIGHT(H35,2)),"OK","FAIL")</x:f>
        <x:v>OK</x:v>
      </x:c>
      <x:c r="AD35" s="62" t="str">
        <x:f>"OK"</x:f>
        <x:v>OK</x:v>
      </x:c>
    </x:row>
    <x:row r="36">
      <x:c r="A36" s="62" t="str">
        <x:v>OCC|2025|5010|10|PR|36</x:v>
      </x:c>
      <x:c r="B36" s="62" t="str">
        <x:v>SOURCE</x:v>
      </x:c>
      <x:c r="C36" s="62" t="str">
        <x:v>5010</x:v>
      </x:c>
      <x:c r="D36" s="62" t="str">
        <x:v>10</x:v>
      </x:c>
      <x:c r="E36" s="62" t="str">
        <x:v>购买申请</x:v>
      </x:c>
      <x:c r="F36" s="62" t="str">
        <x:v>PR</x:v>
      </x:c>
      <x:c r="G36" s="62" t="str">
        <x:v>2025-011</x:v>
      </x:c>
      <x:c r="H36" s="62" t="str">
        <x:v>2025-11</x:v>
      </x:c>
      <x:c r="I36" s="74" t="n">
        <x:v>45971</x:v>
      </x:c>
      <x:c r="J36" s="74" t="n">
        <x:v>45971</x:v>
      </x:c>
      <x:c r="K36" s="81" t="n">
        <x:v>9.17</x:v>
      </x:c>
      <x:c r="L36" s="81" t="n">
        <x:v>9.17</x:v>
      </x:c>
      <x:c r="M36" s="62" t="str">
        <x:v>业务支持费</x:v>
      </x:c>
      <x:c r="N36" s="62" t="str">
        <x:v>技术配置-采购申请</x:v>
      </x:c>
      <x:c r="O36" s="62" t="str">
        <x:v>北京核工院</x:v>
      </x:c>
      <x:c r="P36" s="62" t="str">
        <x:v>北京核工院</x:v>
      </x:c>
      <x:c r="Q36" s="62" t="str">
        <x:v>北京核工院</x:v>
      </x:c>
      <x:c r="R36" s="62" t="str">
        <x:v>设备管理部</x:v>
      </x:c>
      <x:c r="S36" s="62" t="str">
        <x:v>PRJ-SB-设备-2025-002</x:v>
      </x:c>
      <x:c r="T36" s="62" t="str">
        <x:v>正向</x:v>
      </x:c>
      <x:c r="U36" s="86" t="n">
        <x:f>IF(AND(F36="PR",L36&gt;0),L36,0)</x:f>
        <x:v>9.17</x:v>
      </x:c>
      <x:c r="V36" s="86" t="n">
        <x:f>IF(AND(F36="PR",L36&gt;0,MONTH(I36)=12),L36,0)</x:f>
        <x:v>0</x:v>
      </x:c>
      <x:c r="W36" s="74" t="n">
        <x:v>46022</x:v>
      </x:c>
      <x:c r="X36" s="62" t="str"/>
      <x:c r="Y36" s="62" t="str">
        <x:v>2025年预算占用.XLSX</x:v>
      </x:c>
      <x:c r="Z36" s="62" t="str">
        <x:v>Sheet</x:v>
      </x:c>
      <x:c r="AA36" s="62" t="n">
        <x:v>36</x:v>
      </x:c>
      <x:c r="AB36" s="62" t="str">
        <x:v>5010|10|PR|2025-11-10|36</x:v>
      </x:c>
      <x:c r="AC36" s="62" t="str">
        <x:f>IF(MONTH(I36)=VALUE(RIGHT(H36,2)),"OK","FAIL")</x:f>
        <x:v>OK</x:v>
      </x:c>
      <x:c r="AD36" s="62" t="str">
        <x:f>"OK"</x:f>
        <x:v>OK</x:v>
      </x:c>
    </x:row>
    <x:row r="37">
      <x:c r="A37" s="62" t="str">
        <x:v>OCC|2025|5011|10|PR|37</x:v>
      </x:c>
      <x:c r="B37" s="62" t="str">
        <x:v>SOURCE</x:v>
      </x:c>
      <x:c r="C37" s="62" t="str">
        <x:v>5011</x:v>
      </x:c>
      <x:c r="D37" s="62" t="str">
        <x:v>10</x:v>
      </x:c>
      <x:c r="E37" s="62" t="str">
        <x:v>购买申请</x:v>
      </x:c>
      <x:c r="F37" s="62" t="str">
        <x:v>PR</x:v>
      </x:c>
      <x:c r="G37" s="62" t="str">
        <x:v>2025-012</x:v>
      </x:c>
      <x:c r="H37" s="62" t="str">
        <x:v>2025-12</x:v>
      </x:c>
      <x:c r="I37" s="74" t="n">
        <x:v>46001</x:v>
      </x:c>
      <x:c r="J37" s="74" t="n">
        <x:v>46001</x:v>
      </x:c>
      <x:c r="K37" s="81" t="n">
        <x:v>9.29</x:v>
      </x:c>
      <x:c r="L37" s="81" t="n">
        <x:v>9.29</x:v>
      </x:c>
      <x:c r="M37" s="62" t="str">
        <x:v>业务支持费</x:v>
      </x:c>
      <x:c r="N37" s="62" t="str">
        <x:v>技术配置-采购申请</x:v>
      </x:c>
      <x:c r="O37" s="62" t="str">
        <x:v>中核运维</x:v>
      </x:c>
      <x:c r="P37" s="62" t="str">
        <x:v>中核运维</x:v>
      </x:c>
      <x:c r="Q37" s="62" t="str">
        <x:v>中核运维</x:v>
      </x:c>
      <x:c r="R37" s="62" t="str">
        <x:v>设备管理部</x:v>
      </x:c>
      <x:c r="S37" s="62" t="str">
        <x:v>PRJ-SB-设备-2025-002</x:v>
      </x:c>
      <x:c r="T37" s="62" t="str">
        <x:v>正向</x:v>
      </x:c>
      <x:c r="U37" s="86" t="n">
        <x:f>IF(AND(F37="PR",L37&gt;0),L37,0)</x:f>
        <x:v>9.29</x:v>
      </x:c>
      <x:c r="V37" s="86" t="n">
        <x:f>IF(AND(F37="PR",L37&gt;0,MONTH(I37)=12),L37,0)</x:f>
        <x:v>9.29</x:v>
      </x:c>
      <x:c r="W37" s="74" t="n">
        <x:v>46022</x:v>
      </x:c>
      <x:c r="X37" s="62" t="str"/>
      <x:c r="Y37" s="62" t="str">
        <x:v>2025年预算占用.XLSX</x:v>
      </x:c>
      <x:c r="Z37" s="62" t="str">
        <x:v>Sheet</x:v>
      </x:c>
      <x:c r="AA37" s="62" t="n">
        <x:v>37</x:v>
      </x:c>
      <x:c r="AB37" s="62" t="str">
        <x:v>5011|10|PR|2025-12-10|37</x:v>
      </x:c>
      <x:c r="AC37" s="62" t="str">
        <x:f>IF(MONTH(I37)=VALUE(RIGHT(H37,2)),"OK","FAIL")</x:f>
        <x:v>OK</x:v>
      </x:c>
      <x:c r="AD37" s="62" t="str">
        <x:f>"OK"</x:f>
        <x:v>OK</x:v>
      </x:c>
    </x:row>
    <x:row r="38">
      <x:c r="A38" s="62" t="str">
        <x:v>OCC|2025|5012|10|PR|38</x:v>
      </x:c>
      <x:c r="B38" s="62" t="str">
        <x:v>SOURCE</x:v>
      </x:c>
      <x:c r="C38" s="62" t="str">
        <x:v>5012</x:v>
      </x:c>
      <x:c r="D38" s="62" t="str">
        <x:v>10</x:v>
      </x:c>
      <x:c r="E38" s="62" t="str">
        <x:v>购买申请</x:v>
      </x:c>
      <x:c r="F38" s="62" t="str">
        <x:v>PR</x:v>
      </x:c>
      <x:c r="G38" s="62" t="str">
        <x:v>2025-001</x:v>
      </x:c>
      <x:c r="H38" s="62" t="str">
        <x:v>2025-01</x:v>
      </x:c>
      <x:c r="I38" s="74" t="n">
        <x:v>45667</x:v>
      </x:c>
      <x:c r="J38" s="74" t="n">
        <x:v>45667</x:v>
      </x:c>
      <x:c r="K38" s="81" t="n">
        <x:v>2.98</x:v>
      </x:c>
      <x:c r="L38" s="81" t="n">
        <x:v>2.98</x:v>
      </x:c>
      <x:c r="M38" s="62" t="str">
        <x:v>业务支持费</x:v>
      </x:c>
      <x:c r="N38" s="62" t="str">
        <x:v>技术配置-采购申请</x:v>
      </x:c>
      <x:c r="O38" s="62" t="str">
        <x:v>苏州热工</x:v>
      </x:c>
      <x:c r="P38" s="62" t="str">
        <x:v>苏州热工</x:v>
      </x:c>
      <x:c r="Q38" s="62" t="str">
        <x:v>华能服务</x:v>
      </x:c>
      <x:c r="R38" s="62" t="str">
        <x:v>技术部</x:v>
      </x:c>
      <x:c r="S38" s="62" t="str">
        <x:v>PRJ-JS-热能-2025-002</x:v>
      </x:c>
      <x:c r="T38" s="62" t="str">
        <x:v>正向</x:v>
      </x:c>
      <x:c r="U38" s="86" t="n">
        <x:f>IF(AND(F38="PR",L38&gt;0),L38,0)</x:f>
        <x:v>2.98</x:v>
      </x:c>
      <x:c r="V38" s="86" t="n">
        <x:f>IF(AND(F38="PR",L38&gt;0,MONTH(I38)=12),L38,0)</x:f>
        <x:v>0</x:v>
      </x:c>
      <x:c r="W38" s="74" t="n">
        <x:v>46022</x:v>
      </x:c>
      <x:c r="X38" s="62" t="str"/>
      <x:c r="Y38" s="62" t="str">
        <x:v>2025年预算占用.XLSX</x:v>
      </x:c>
      <x:c r="Z38" s="62" t="str">
        <x:v>Sheet</x:v>
      </x:c>
      <x:c r="AA38" s="62" t="n">
        <x:v>38</x:v>
      </x:c>
      <x:c r="AB38" s="62" t="str">
        <x:v>5012|10|PR|2025-01-10|38</x:v>
      </x:c>
      <x:c r="AC38" s="62" t="str">
        <x:f>IF(MONTH(I38)=VALUE(RIGHT(H38,2)),"OK","FAIL")</x:f>
        <x:v>OK</x:v>
      </x:c>
      <x:c r="AD38" s="62" t="str">
        <x:f>"OK"</x:f>
        <x:v>OK</x:v>
      </x:c>
    </x:row>
    <x:row r="39">
      <x:c r="A39" s="62" t="str">
        <x:v>OCC|2025|5012|20|PO|39</x:v>
      </x:c>
      <x:c r="B39" s="62" t="str">
        <x:v>SOURCE</x:v>
      </x:c>
      <x:c r="C39" s="62" t="str">
        <x:v>5012</x:v>
      </x:c>
      <x:c r="D39" s="62" t="str">
        <x:v>20</x:v>
      </x:c>
      <x:c r="E39" s="62" t="str">
        <x:v>采购订单</x:v>
      </x:c>
      <x:c r="F39" s="62" t="str">
        <x:v>PO</x:v>
      </x:c>
      <x:c r="G39" s="62" t="str">
        <x:v>2025-001</x:v>
      </x:c>
      <x:c r="H39" s="62" t="str">
        <x:v>2025-01</x:v>
      </x:c>
      <x:c r="I39" s="74" t="n">
        <x:v>45672</x:v>
      </x:c>
      <x:c r="J39" s="74" t="n">
        <x:v>45672</x:v>
      </x:c>
      <x:c r="K39" s="81" t="n">
        <x:v>2.83</x:v>
      </x:c>
      <x:c r="L39" s="81" t="n">
        <x:v>2.83</x:v>
      </x:c>
      <x:c r="M39" s="62" t="str">
        <x:v>业务支持费</x:v>
      </x:c>
      <x:c r="N39" s="62" t="str">
        <x:v>技术配置-采购订单</x:v>
      </x:c>
      <x:c r="O39" s="62" t="str">
        <x:v>华能服务</x:v>
      </x:c>
      <x:c r="P39" s="62" t="str">
        <x:v>华能服务</x:v>
      </x:c>
      <x:c r="Q39" s="62" t="str">
        <x:v>华能服务</x:v>
      </x:c>
      <x:c r="R39" s="62" t="str">
        <x:v>技术部</x:v>
      </x:c>
      <x:c r="S39" s="62" t="str">
        <x:v>PRJ-JS-热能-2025-002</x:v>
      </x:c>
      <x:c r="T39" s="62" t="str">
        <x:v>正向</x:v>
      </x:c>
      <x:c r="U39" s="86" t="n">
        <x:f>IF(AND(F39="PR",L39&gt;0),L39,0)</x:f>
        <x:v>0</x:v>
      </x:c>
      <x:c r="V39" s="86" t="n">
        <x:f>IF(AND(F39="PR",L39&gt;0,MONTH(I39)=12),L39,0)</x:f>
        <x:v>0</x:v>
      </x:c>
      <x:c r="W39" s="74" t="n">
        <x:v>46022</x:v>
      </x:c>
      <x:c r="X39" s="62" t="str"/>
      <x:c r="Y39" s="62" t="str">
        <x:v>2025年预算占用.XLSX</x:v>
      </x:c>
      <x:c r="Z39" s="62" t="str">
        <x:v>Sheet</x:v>
      </x:c>
      <x:c r="AA39" s="62" t="n">
        <x:v>39</x:v>
      </x:c>
      <x:c r="AB39" s="62" t="str">
        <x:v>5012|20|PO|2025-01-15|39</x:v>
      </x:c>
      <x:c r="AC39" s="62" t="str">
        <x:f>IF(MONTH(I39)=VALUE(RIGHT(H39,2)),"OK","FAIL")</x:f>
        <x:v>OK</x:v>
      </x:c>
      <x:c r="AD39" s="62" t="str">
        <x:f>"OK"</x:f>
        <x:v>OK</x:v>
      </x:c>
    </x:row>
    <x:row r="40">
      <x:c r="A40" s="62" t="str">
        <x:v>OCC|2025|5012|10|PR|40</x:v>
      </x:c>
      <x:c r="B40" s="62" t="str">
        <x:v>CORRECTED</x:v>
      </x:c>
      <x:c r="C40" s="62" t="str">
        <x:v>5012</x:v>
      </x:c>
      <x:c r="D40" s="62" t="str">
        <x:v>10</x:v>
      </x:c>
      <x:c r="E40" s="62" t="str">
        <x:v>购买申请</x:v>
      </x:c>
      <x:c r="F40" s="62" t="str">
        <x:v>PR</x:v>
      </x:c>
      <x:c r="G40" s="62" t="str">
        <x:v>2025-001</x:v>
      </x:c>
      <x:c r="H40" s="62" t="str">
        <x:v>2025-01</x:v>
      </x:c>
      <x:c r="I40" s="74" t="n">
        <x:v>45672</x:v>
      </x:c>
      <x:c r="J40" s="74" t="n">
        <x:v>45672</x:v>
      </x:c>
      <x:c r="K40" s="81" t="n">
        <x:v>-2.98</x:v>
      </x:c>
      <x:c r="L40" s="81" t="n">
        <x:v>-2.98</x:v>
      </x:c>
      <x:c r="M40" s="62" t="str">
        <x:v>业务支持费</x:v>
      </x:c>
      <x:c r="N40" s="62" t="str">
        <x:v>冲销购买申请</x:v>
      </x:c>
      <x:c r="O40" s="62" t="str">
        <x:v>上海电气</x:v>
      </x:c>
      <x:c r="P40" s="62" t="str">
        <x:v>苏州热工</x:v>
      </x:c>
      <x:c r="Q40" s="62" t="str">
        <x:v>华能服务</x:v>
      </x:c>
      <x:c r="R40" s="62" t="str">
        <x:v>技术部</x:v>
      </x:c>
      <x:c r="S40" s="62" t="str">
        <x:v>PRJ-JS-热能-2025-002</x:v>
      </x:c>
      <x:c r="T40" s="62" t="str">
        <x:v>释放</x:v>
      </x:c>
      <x:c r="U40" s="86" t="n">
        <x:f>IF(AND(F40="PR",L40&gt;0),L40,0)</x:f>
        <x:v>0</x:v>
      </x:c>
      <x:c r="V40" s="86" t="n">
        <x:f>IF(AND(F40="PR",L40&gt;0,MONTH(I40)=12),L40,0)</x:f>
        <x:v>0</x:v>
      </x:c>
      <x:c r="W40" s="74" t="n">
        <x:v>46022</x:v>
      </x:c>
      <x:c r="X40" s="62" t="str">
        <x:v>OCC|2025|5012|10|PR|38</x:v>
      </x:c>
      <x:c r="Y40" s="62" t="str">
        <x:v>2025年预算占用.XLSX</x:v>
      </x:c>
      <x:c r="Z40" s="62" t="str">
        <x:v>Sheet</x:v>
      </x:c>
      <x:c r="AA40" s="62" t="n">
        <x:v>40</x:v>
      </x:c>
      <x:c r="AB40" s="62" t="str">
        <x:v>5012|10|PR|2025-01-15|40</x:v>
      </x:c>
      <x:c r="AC40" s="62" t="str">
        <x:f>IF(MONTH(I40)=VALUE(RIGHT(H40,2)),"OK","FAIL")</x:f>
        <x:v>OK</x:v>
      </x:c>
      <x:c r="AD40" s="62" t="str">
        <x:f>IF(ABS(L40)&lt;=SUMIFS($L$2:$L$109,$C$2:$C$109,C40,$D$2:$D$109,D40,$F$2:$F$109,F40,$L$2:$L$109,"&gt;0"),"OK","FAIL")</x:f>
        <x:v>OK</x:v>
      </x:c>
    </x:row>
    <x:row r="41">
      <x:c r="A41" s="62" t="str">
        <x:v>OCC|2025|5012|20|PO|41</x:v>
      </x:c>
      <x:c r="B41" s="62" t="str">
        <x:v>CORRECTED</x:v>
      </x:c>
      <x:c r="C41" s="62" t="str">
        <x:v>5012</x:v>
      </x:c>
      <x:c r="D41" s="62" t="str">
        <x:v>20</x:v>
      </x:c>
      <x:c r="E41" s="62" t="str">
        <x:v>采购订单</x:v>
      </x:c>
      <x:c r="F41" s="62" t="str">
        <x:v>PO</x:v>
      </x:c>
      <x:c r="G41" s="62" t="str">
        <x:v>2025-001</x:v>
      </x:c>
      <x:c r="H41" s="62" t="str">
        <x:v>2025-01</x:v>
      </x:c>
      <x:c r="I41" s="74" t="n">
        <x:v>45677</x:v>
      </x:c>
      <x:c r="J41" s="74" t="n">
        <x:v>45677</x:v>
      </x:c>
      <x:c r="K41" s="81" t="n">
        <x:v>-2.26</x:v>
      </x:c>
      <x:c r="L41" s="81" t="n">
        <x:v>-2.26</x:v>
      </x:c>
      <x:c r="M41" s="62" t="str">
        <x:v>业务支持费</x:v>
      </x:c>
      <x:c r="N41" s="62" t="str">
        <x:v>确认成本冲销PO</x:v>
      </x:c>
      <x:c r="O41" s="62" t="str">
        <x:v>中核运维</x:v>
      </x:c>
      <x:c r="P41" s="62" t="str">
        <x:v>华能服务</x:v>
      </x:c>
      <x:c r="Q41" s="62" t="str">
        <x:v>华能服务</x:v>
      </x:c>
      <x:c r="R41" s="62" t="str">
        <x:v>技术部</x:v>
      </x:c>
      <x:c r="S41" s="62" t="str">
        <x:v>PRJ-JS-热能-2025-002</x:v>
      </x:c>
      <x:c r="T41" s="62" t="str">
        <x:v>释放</x:v>
      </x:c>
      <x:c r="U41" s="86" t="n">
        <x:f>IF(AND(F41="PR",L41&gt;0),L41,0)</x:f>
        <x:v>0</x:v>
      </x:c>
      <x:c r="V41" s="86" t="n">
        <x:f>IF(AND(F41="PR",L41&gt;0,MONTH(I41)=12),L41,0)</x:f>
        <x:v>0</x:v>
      </x:c>
      <x:c r="W41" s="74" t="n">
        <x:v>46022</x:v>
      </x:c>
      <x:c r="X41" s="62" t="str">
        <x:v>OCC|2025|5012|20|PO|39</x:v>
      </x:c>
      <x:c r="Y41" s="62" t="str">
        <x:v>2025年预算占用.XLSX</x:v>
      </x:c>
      <x:c r="Z41" s="62" t="str">
        <x:v>Sheet</x:v>
      </x:c>
      <x:c r="AA41" s="62" t="n">
        <x:v>41</x:v>
      </x:c>
      <x:c r="AB41" s="62" t="str">
        <x:v>5012|20|PO|2025-01-20|41</x:v>
      </x:c>
      <x:c r="AC41" s="62" t="str">
        <x:f>IF(MONTH(I41)=VALUE(RIGHT(H41,2)),"OK","FAIL")</x:f>
        <x:v>OK</x:v>
      </x:c>
      <x:c r="AD41" s="62" t="str">
        <x:f>IF(ABS(L41)&lt;=SUMIFS($L$2:$L$109,$C$2:$C$109,C41,$D$2:$D$109,D41,$F$2:$F$109,F41,$L$2:$L$109,"&gt;0"),"OK","FAIL")</x:f>
        <x:v>OK</x:v>
      </x:c>
    </x:row>
    <x:row r="42">
      <x:c r="A42" s="62" t="str">
        <x:v>OCC|2025|5013|10|PR|42</x:v>
      </x:c>
      <x:c r="B42" s="62" t="str">
        <x:v>SOURCE</x:v>
      </x:c>
      <x:c r="C42" s="62" t="str">
        <x:v>5013</x:v>
      </x:c>
      <x:c r="D42" s="62" t="str">
        <x:v>10</x:v>
      </x:c>
      <x:c r="E42" s="62" t="str">
        <x:v>购买申请</x:v>
      </x:c>
      <x:c r="F42" s="62" t="str">
        <x:v>PR</x:v>
      </x:c>
      <x:c r="G42" s="62" t="str">
        <x:v>2025-002</x:v>
      </x:c>
      <x:c r="H42" s="62" t="str">
        <x:v>2025-02</x:v>
      </x:c>
      <x:c r="I42" s="74" t="n">
        <x:v>45698</x:v>
      </x:c>
      <x:c r="J42" s="74" t="n">
        <x:v>45698</x:v>
      </x:c>
      <x:c r="K42" s="81" t="n">
        <x:v>12.85</x:v>
      </x:c>
      <x:c r="L42" s="81" t="n">
        <x:v>12.85</x:v>
      </x:c>
      <x:c r="M42" s="62" t="str">
        <x:v>业务支持费</x:v>
      </x:c>
      <x:c r="N42" s="62" t="str">
        <x:v>技术配置-采购申请</x:v>
      </x:c>
      <x:c r="O42" s="62" t="str">
        <x:v>上海电气</x:v>
      </x:c>
      <x:c r="P42" s="62" t="str">
        <x:v>上海电气</x:v>
      </x:c>
      <x:c r="Q42" s="62" t="str">
        <x:v>上海电气</x:v>
      </x:c>
      <x:c r="R42" s="62" t="str">
        <x:v>技术部</x:v>
      </x:c>
      <x:c r="S42" s="62" t="str">
        <x:v>PRJ-JS-热能-2025-002</x:v>
      </x:c>
      <x:c r="T42" s="62" t="str">
        <x:v>正向</x:v>
      </x:c>
      <x:c r="U42" s="86" t="n">
        <x:f>IF(AND(F42="PR",L42&gt;0),L42,0)</x:f>
        <x:v>12.85</x:v>
      </x:c>
      <x:c r="V42" s="86" t="n">
        <x:f>IF(AND(F42="PR",L42&gt;0,MONTH(I42)=12),L42,0)</x:f>
        <x:v>0</x:v>
      </x:c>
      <x:c r="W42" s="74" t="n">
        <x:v>46022</x:v>
      </x:c>
      <x:c r="X42" s="62" t="str"/>
      <x:c r="Y42" s="62" t="str">
        <x:v>2025年预算占用.XLSX</x:v>
      </x:c>
      <x:c r="Z42" s="62" t="str">
        <x:v>Sheet</x:v>
      </x:c>
      <x:c r="AA42" s="62" t="n">
        <x:v>42</x:v>
      </x:c>
      <x:c r="AB42" s="62" t="str">
        <x:v>5013|10|PR|2025-02-10|42</x:v>
      </x:c>
      <x:c r="AC42" s="62" t="str">
        <x:f>IF(MONTH(I42)=VALUE(RIGHT(H42,2)),"OK","FAIL")</x:f>
        <x:v>OK</x:v>
      </x:c>
      <x:c r="AD42" s="62" t="str">
        <x:f>"OK"</x:f>
        <x:v>OK</x:v>
      </x:c>
    </x:row>
    <x:row r="43">
      <x:c r="A43" s="62" t="str">
        <x:v>OCC|2025|5013|20|PO|43</x:v>
      </x:c>
      <x:c r="B43" s="62" t="str">
        <x:v>SOURCE</x:v>
      </x:c>
      <x:c r="C43" s="62" t="str">
        <x:v>5013</x:v>
      </x:c>
      <x:c r="D43" s="62" t="str">
        <x:v>20</x:v>
      </x:c>
      <x:c r="E43" s="62" t="str">
        <x:v>采购订单</x:v>
      </x:c>
      <x:c r="F43" s="62" t="str">
        <x:v>PO</x:v>
      </x:c>
      <x:c r="G43" s="62" t="str">
        <x:v>2025-002</x:v>
      </x:c>
      <x:c r="H43" s="62" t="str">
        <x:v>2025-02</x:v>
      </x:c>
      <x:c r="I43" s="74" t="n">
        <x:v>45703</x:v>
      </x:c>
      <x:c r="J43" s="74" t="n">
        <x:v>45703</x:v>
      </x:c>
      <x:c r="K43" s="81" t="n">
        <x:v>12.21</x:v>
      </x:c>
      <x:c r="L43" s="81" t="n">
        <x:v>12.21</x:v>
      </x:c>
      <x:c r="M43" s="62" t="str">
        <x:v>业务支持费</x:v>
      </x:c>
      <x:c r="N43" s="62" t="str">
        <x:v>技术配置-采购订单</x:v>
      </x:c>
      <x:c r="O43" s="62" t="str">
        <x:v>上海电气</x:v>
      </x:c>
      <x:c r="P43" s="62" t="str">
        <x:v>上海电气</x:v>
      </x:c>
      <x:c r="Q43" s="62" t="str">
        <x:v>上海电气</x:v>
      </x:c>
      <x:c r="R43" s="62" t="str">
        <x:v>技术部</x:v>
      </x:c>
      <x:c r="S43" s="62" t="str">
        <x:v>PRJ-JS-热能-2025-002</x:v>
      </x:c>
      <x:c r="T43" s="62" t="str">
        <x:v>正向</x:v>
      </x:c>
      <x:c r="U43" s="86" t="n">
        <x:f>IF(AND(F43="PR",L43&gt;0),L43,0)</x:f>
        <x:v>0</x:v>
      </x:c>
      <x:c r="V43" s="86" t="n">
        <x:f>IF(AND(F43="PR",L43&gt;0,MONTH(I43)=12),L43,0)</x:f>
        <x:v>0</x:v>
      </x:c>
      <x:c r="W43" s="74" t="n">
        <x:v>46022</x:v>
      </x:c>
      <x:c r="X43" s="62" t="str"/>
      <x:c r="Y43" s="62" t="str">
        <x:v>2025年预算占用.XLSX</x:v>
      </x:c>
      <x:c r="Z43" s="62" t="str">
        <x:v>Sheet</x:v>
      </x:c>
      <x:c r="AA43" s="62" t="n">
        <x:v>43</x:v>
      </x:c>
      <x:c r="AB43" s="62" t="str">
        <x:v>5013|20|PO|2025-02-15|43</x:v>
      </x:c>
      <x:c r="AC43" s="62" t="str">
        <x:f>IF(MONTH(I43)=VALUE(RIGHT(H43,2)),"OK","FAIL")</x:f>
        <x:v>OK</x:v>
      </x:c>
      <x:c r="AD43" s="62" t="str">
        <x:f>"OK"</x:f>
        <x:v>OK</x:v>
      </x:c>
    </x:row>
    <x:row r="44">
      <x:c r="A44" s="62" t="str">
        <x:v>OCC|2025|5013|10|PR|44</x:v>
      </x:c>
      <x:c r="B44" s="62" t="str">
        <x:v>CORRECTED</x:v>
      </x:c>
      <x:c r="C44" s="62" t="str">
        <x:v>5013</x:v>
      </x:c>
      <x:c r="D44" s="62" t="str">
        <x:v>10</x:v>
      </x:c>
      <x:c r="E44" s="62" t="str">
        <x:v>购买申请</x:v>
      </x:c>
      <x:c r="F44" s="62" t="str">
        <x:v>PR</x:v>
      </x:c>
      <x:c r="G44" s="62" t="str">
        <x:v>2025-002</x:v>
      </x:c>
      <x:c r="H44" s="62" t="str">
        <x:v>2025-02</x:v>
      </x:c>
      <x:c r="I44" s="74" t="n">
        <x:v>45703</x:v>
      </x:c>
      <x:c r="J44" s="74" t="n">
        <x:v>45703</x:v>
      </x:c>
      <x:c r="K44" s="81" t="n">
        <x:v>-12.85</x:v>
      </x:c>
      <x:c r="L44" s="81" t="n">
        <x:v>-12.85</x:v>
      </x:c>
      <x:c r="M44" s="62" t="str">
        <x:v>业务支持费</x:v>
      </x:c>
      <x:c r="N44" s="62" t="str">
        <x:v>冲销购买申请</x:v>
      </x:c>
      <x:c r="O44" s="62" t="str">
        <x:v>华能服务</x:v>
      </x:c>
      <x:c r="P44" s="62" t="str">
        <x:v>上海电气</x:v>
      </x:c>
      <x:c r="Q44" s="62" t="str">
        <x:v>上海电气</x:v>
      </x:c>
      <x:c r="R44" s="62" t="str">
        <x:v>技术部</x:v>
      </x:c>
      <x:c r="S44" s="62" t="str">
        <x:v>PRJ-JS-热能-2025-002</x:v>
      </x:c>
      <x:c r="T44" s="62" t="str">
        <x:v>释放</x:v>
      </x:c>
      <x:c r="U44" s="86" t="n">
        <x:f>IF(AND(F44="PR",L44&gt;0),L44,0)</x:f>
        <x:v>0</x:v>
      </x:c>
      <x:c r="V44" s="86" t="n">
        <x:f>IF(AND(F44="PR",L44&gt;0,MONTH(I44)=12),L44,0)</x:f>
        <x:v>0</x:v>
      </x:c>
      <x:c r="W44" s="74" t="n">
        <x:v>46022</x:v>
      </x:c>
      <x:c r="X44" s="62" t="str">
        <x:v>OCC|2025|5013|10|PR|42</x:v>
      </x:c>
      <x:c r="Y44" s="62" t="str">
        <x:v>2025年预算占用.XLSX</x:v>
      </x:c>
      <x:c r="Z44" s="62" t="str">
        <x:v>Sheet</x:v>
      </x:c>
      <x:c r="AA44" s="62" t="n">
        <x:v>44</x:v>
      </x:c>
      <x:c r="AB44" s="62" t="str">
        <x:v>5013|10|PR|2025-02-15|44</x:v>
      </x:c>
      <x:c r="AC44" s="62" t="str">
        <x:f>IF(MONTH(I44)=VALUE(RIGHT(H44,2)),"OK","FAIL")</x:f>
        <x:v>OK</x:v>
      </x:c>
      <x:c r="AD44" s="62" t="str">
        <x:f>IF(ABS(L44)&lt;=SUMIFS($L$2:$L$109,$C$2:$C$109,C44,$D$2:$D$109,D44,$F$2:$F$109,F44,$L$2:$L$109,"&gt;0"),"OK","FAIL")</x:f>
        <x:v>OK</x:v>
      </x:c>
    </x:row>
    <x:row r="45">
      <x:c r="A45" s="62" t="str">
        <x:v>OCC|2025|5013|20|PO|45</x:v>
      </x:c>
      <x:c r="B45" s="62" t="str">
        <x:v>CORRECTED</x:v>
      </x:c>
      <x:c r="C45" s="62" t="str">
        <x:v>5013</x:v>
      </x:c>
      <x:c r="D45" s="62" t="str">
        <x:v>20</x:v>
      </x:c>
      <x:c r="E45" s="62" t="str">
        <x:v>采购订单</x:v>
      </x:c>
      <x:c r="F45" s="62" t="str">
        <x:v>PO</x:v>
      </x:c>
      <x:c r="G45" s="62" t="str">
        <x:v>2025-002</x:v>
      </x:c>
      <x:c r="H45" s="62" t="str">
        <x:v>2025-02</x:v>
      </x:c>
      <x:c r="I45" s="74" t="n">
        <x:v>45708</x:v>
      </x:c>
      <x:c r="J45" s="74" t="n">
        <x:v>45708</x:v>
      </x:c>
      <x:c r="K45" s="81" t="n">
        <x:v>-9.77</x:v>
      </x:c>
      <x:c r="L45" s="81" t="n">
        <x:v>-9.77</x:v>
      </x:c>
      <x:c r="M45" s="62" t="str">
        <x:v>业务支持费</x:v>
      </x:c>
      <x:c r="N45" s="62" t="str">
        <x:v>确认成本冲销PO</x:v>
      </x:c>
      <x:c r="O45" s="62" t="str">
        <x:v>北京核工院</x:v>
      </x:c>
      <x:c r="P45" s="62" t="str">
        <x:v>上海电气</x:v>
      </x:c>
      <x:c r="Q45" s="62" t="str">
        <x:v>上海电气</x:v>
      </x:c>
      <x:c r="R45" s="62" t="str">
        <x:v>技术部</x:v>
      </x:c>
      <x:c r="S45" s="62" t="str">
        <x:v>PRJ-JS-热能-2025-002</x:v>
      </x:c>
      <x:c r="T45" s="62" t="str">
        <x:v>释放</x:v>
      </x:c>
      <x:c r="U45" s="86" t="n">
        <x:f>IF(AND(F45="PR",L45&gt;0),L45,0)</x:f>
        <x:v>0</x:v>
      </x:c>
      <x:c r="V45" s="86" t="n">
        <x:f>IF(AND(F45="PR",L45&gt;0,MONTH(I45)=12),L45,0)</x:f>
        <x:v>0</x:v>
      </x:c>
      <x:c r="W45" s="74" t="n">
        <x:v>46022</x:v>
      </x:c>
      <x:c r="X45" s="62" t="str">
        <x:v>OCC|2025|5013|20|PO|43</x:v>
      </x:c>
      <x:c r="Y45" s="62" t="str">
        <x:v>2025年预算占用.XLSX</x:v>
      </x:c>
      <x:c r="Z45" s="62" t="str">
        <x:v>Sheet</x:v>
      </x:c>
      <x:c r="AA45" s="62" t="n">
        <x:v>45</x:v>
      </x:c>
      <x:c r="AB45" s="62" t="str">
        <x:v>5013|20|PO|2025-02-20|45</x:v>
      </x:c>
      <x:c r="AC45" s="62" t="str">
        <x:f>IF(MONTH(I45)=VALUE(RIGHT(H45,2)),"OK","FAIL")</x:f>
        <x:v>OK</x:v>
      </x:c>
      <x:c r="AD45" s="62" t="str">
        <x:f>IF(ABS(L45)&lt;=SUMIFS($L$2:$L$109,$C$2:$C$109,C45,$D$2:$D$109,D45,$F$2:$F$109,F45,$L$2:$L$109,"&gt;0"),"OK","FAIL")</x:f>
        <x:v>OK</x:v>
      </x:c>
    </x:row>
    <x:row r="46">
      <x:c r="A46" s="62" t="str">
        <x:v>OCC|2025|5014|10|PR|46</x:v>
      </x:c>
      <x:c r="B46" s="62" t="str">
        <x:v>SOURCE</x:v>
      </x:c>
      <x:c r="C46" s="62" t="str">
        <x:v>5014</x:v>
      </x:c>
      <x:c r="D46" s="62" t="str">
        <x:v>10</x:v>
      </x:c>
      <x:c r="E46" s="62" t="str">
        <x:v>购买申请</x:v>
      </x:c>
      <x:c r="F46" s="62" t="str">
        <x:v>PR</x:v>
      </x:c>
      <x:c r="G46" s="62" t="str">
        <x:v>2025-003</x:v>
      </x:c>
      <x:c r="H46" s="62" t="str">
        <x:v>2025-03</x:v>
      </x:c>
      <x:c r="I46" s="74" t="n">
        <x:v>45726</x:v>
      </x:c>
      <x:c r="J46" s="74" t="n">
        <x:v>45726</x:v>
      </x:c>
      <x:c r="K46" s="81" t="n">
        <x:v>3.66</x:v>
      </x:c>
      <x:c r="L46" s="81" t="n">
        <x:v>3.66</x:v>
      </x:c>
      <x:c r="M46" s="62" t="str">
        <x:v>业务支持费</x:v>
      </x:c>
      <x:c r="N46" s="62" t="str">
        <x:v>技术配置-采购申请</x:v>
      </x:c>
      <x:c r="O46" s="62" t="str">
        <x:v>国电智深</x:v>
      </x:c>
      <x:c r="P46" s="62" t="str">
        <x:v>国电智深</x:v>
      </x:c>
      <x:c r="Q46" s="62" t="str">
        <x:v>国电智深</x:v>
      </x:c>
      <x:c r="R46" s="62" t="str">
        <x:v>技术部</x:v>
      </x:c>
      <x:c r="S46" s="62" t="str">
        <x:v>PRJ-JS-热能-2025-002</x:v>
      </x:c>
      <x:c r="T46" s="62" t="str">
        <x:v>正向</x:v>
      </x:c>
      <x:c r="U46" s="86" t="n">
        <x:f>IF(AND(F46="PR",L46&gt;0),L46,0)</x:f>
        <x:v>3.66</x:v>
      </x:c>
      <x:c r="V46" s="86" t="n">
        <x:f>IF(AND(F46="PR",L46&gt;0,MONTH(I46)=12),L46,0)</x:f>
        <x:v>0</x:v>
      </x:c>
      <x:c r="W46" s="74" t="n">
        <x:v>46022</x:v>
      </x:c>
      <x:c r="X46" s="62" t="str"/>
      <x:c r="Y46" s="62" t="str">
        <x:v>2025年预算占用.XLSX</x:v>
      </x:c>
      <x:c r="Z46" s="62" t="str">
        <x:v>Sheet</x:v>
      </x:c>
      <x:c r="AA46" s="62" t="n">
        <x:v>46</x:v>
      </x:c>
      <x:c r="AB46" s="62" t="str">
        <x:v>5014|10|PR|2025-03-10|46</x:v>
      </x:c>
      <x:c r="AC46" s="62" t="str">
        <x:f>IF(MONTH(I46)=VALUE(RIGHT(H46,2)),"OK","FAIL")</x:f>
        <x:v>OK</x:v>
      </x:c>
      <x:c r="AD46" s="62" t="str">
        <x:f>"OK"</x:f>
        <x:v>OK</x:v>
      </x:c>
    </x:row>
    <x:row r="47">
      <x:c r="A47" s="62" t="str">
        <x:v>OCC|2025|5014|20|PO|47</x:v>
      </x:c>
      <x:c r="B47" s="62" t="str">
        <x:v>SOURCE</x:v>
      </x:c>
      <x:c r="C47" s="62" t="str">
        <x:v>5014</x:v>
      </x:c>
      <x:c r="D47" s="62" t="str">
        <x:v>20</x:v>
      </x:c>
      <x:c r="E47" s="62" t="str">
        <x:v>采购订单</x:v>
      </x:c>
      <x:c r="F47" s="62" t="str">
        <x:v>PO</x:v>
      </x:c>
      <x:c r="G47" s="62" t="str">
        <x:v>2025-003</x:v>
      </x:c>
      <x:c r="H47" s="62" t="str">
        <x:v>2025-03</x:v>
      </x:c>
      <x:c r="I47" s="74" t="n">
        <x:v>45731</x:v>
      </x:c>
      <x:c r="J47" s="74" t="n">
        <x:v>45731</x:v>
      </x:c>
      <x:c r="K47" s="81" t="n">
        <x:v>3.48</x:v>
      </x:c>
      <x:c r="L47" s="81" t="n">
        <x:v>3.48</x:v>
      </x:c>
      <x:c r="M47" s="62" t="str">
        <x:v>业务支持费</x:v>
      </x:c>
      <x:c r="N47" s="62" t="str">
        <x:v>技术配置-采购订单</x:v>
      </x:c>
      <x:c r="O47" s="62" t="str">
        <x:v>国电智深</x:v>
      </x:c>
      <x:c r="P47" s="62" t="str">
        <x:v>国电智深</x:v>
      </x:c>
      <x:c r="Q47" s="62" t="str">
        <x:v>国电智深</x:v>
      </x:c>
      <x:c r="R47" s="62" t="str">
        <x:v>技术部</x:v>
      </x:c>
      <x:c r="S47" s="62" t="str">
        <x:v>PRJ-JS-热能-2025-002</x:v>
      </x:c>
      <x:c r="T47" s="62" t="str">
        <x:v>正向</x:v>
      </x:c>
      <x:c r="U47" s="86" t="n">
        <x:f>IF(AND(F47="PR",L47&gt;0),L47,0)</x:f>
        <x:v>0</x:v>
      </x:c>
      <x:c r="V47" s="86" t="n">
        <x:f>IF(AND(F47="PR",L47&gt;0,MONTH(I47)=12),L47,0)</x:f>
        <x:v>0</x:v>
      </x:c>
      <x:c r="W47" s="74" t="n">
        <x:v>46022</x:v>
      </x:c>
      <x:c r="X47" s="62" t="str"/>
      <x:c r="Y47" s="62" t="str">
        <x:v>2025年预算占用.XLSX</x:v>
      </x:c>
      <x:c r="Z47" s="62" t="str">
        <x:v>Sheet</x:v>
      </x:c>
      <x:c r="AA47" s="62" t="n">
        <x:v>47</x:v>
      </x:c>
      <x:c r="AB47" s="62" t="str">
        <x:v>5014|20|PO|2025-03-15|47</x:v>
      </x:c>
      <x:c r="AC47" s="62" t="str">
        <x:f>IF(MONTH(I47)=VALUE(RIGHT(H47,2)),"OK","FAIL")</x:f>
        <x:v>OK</x:v>
      </x:c>
      <x:c r="AD47" s="62" t="str">
        <x:f>"OK"</x:f>
        <x:v>OK</x:v>
      </x:c>
    </x:row>
    <x:row r="48">
      <x:c r="A48" s="62" t="str">
        <x:v>OCC|2025|5014|10|PR|48</x:v>
      </x:c>
      <x:c r="B48" s="62" t="str">
        <x:v>CORRECTED</x:v>
      </x:c>
      <x:c r="C48" s="62" t="str">
        <x:v>5014</x:v>
      </x:c>
      <x:c r="D48" s="62" t="str">
        <x:v>10</x:v>
      </x:c>
      <x:c r="E48" s="62" t="str">
        <x:v>购买申请</x:v>
      </x:c>
      <x:c r="F48" s="62" t="str">
        <x:v>PR</x:v>
      </x:c>
      <x:c r="G48" s="62" t="str">
        <x:v>2025-003</x:v>
      </x:c>
      <x:c r="H48" s="62" t="str">
        <x:v>2025-03</x:v>
      </x:c>
      <x:c r="I48" s="74" t="n">
        <x:v>45731</x:v>
      </x:c>
      <x:c r="J48" s="74" t="n">
        <x:v>45731</x:v>
      </x:c>
      <x:c r="K48" s="81" t="n">
        <x:v>-3.66</x:v>
      </x:c>
      <x:c r="L48" s="81" t="n">
        <x:v>-3.66</x:v>
      </x:c>
      <x:c r="M48" s="62" t="str">
        <x:v>业务支持费</x:v>
      </x:c>
      <x:c r="N48" s="62" t="str">
        <x:v>冲销购买申请</x:v>
      </x:c>
      <x:c r="O48" s="62" t="str">
        <x:v>中核运维</x:v>
      </x:c>
      <x:c r="P48" s="62" t="str">
        <x:v>国电智深</x:v>
      </x:c>
      <x:c r="Q48" s="62" t="str">
        <x:v>国电智深</x:v>
      </x:c>
      <x:c r="R48" s="62" t="str">
        <x:v>技术部</x:v>
      </x:c>
      <x:c r="S48" s="62" t="str">
        <x:v>PRJ-JS-热能-2025-002</x:v>
      </x:c>
      <x:c r="T48" s="62" t="str">
        <x:v>释放</x:v>
      </x:c>
      <x:c r="U48" s="86" t="n">
        <x:f>IF(AND(F48="PR",L48&gt;0),L48,0)</x:f>
        <x:v>0</x:v>
      </x:c>
      <x:c r="V48" s="86" t="n">
        <x:f>IF(AND(F48="PR",L48&gt;0,MONTH(I48)=12),L48,0)</x:f>
        <x:v>0</x:v>
      </x:c>
      <x:c r="W48" s="74" t="n">
        <x:v>46022</x:v>
      </x:c>
      <x:c r="X48" s="62" t="str">
        <x:v>OCC|2025|5014|10|PR|46</x:v>
      </x:c>
      <x:c r="Y48" s="62" t="str">
        <x:v>2025年预算占用.XLSX</x:v>
      </x:c>
      <x:c r="Z48" s="62" t="str">
        <x:v>Sheet</x:v>
      </x:c>
      <x:c r="AA48" s="62" t="n">
        <x:v>48</x:v>
      </x:c>
      <x:c r="AB48" s="62" t="str">
        <x:v>5014|10|PR|2025-03-15|48</x:v>
      </x:c>
      <x:c r="AC48" s="62" t="str">
        <x:f>IF(MONTH(I48)=VALUE(RIGHT(H48,2)),"OK","FAIL")</x:f>
        <x:v>OK</x:v>
      </x:c>
      <x:c r="AD48" s="62" t="str">
        <x:f>IF(ABS(L48)&lt;=SUMIFS($L$2:$L$109,$C$2:$C$109,C48,$D$2:$D$109,D48,$F$2:$F$109,F48,$L$2:$L$109,"&gt;0"),"OK","FAIL")</x:f>
        <x:v>OK</x:v>
      </x:c>
    </x:row>
    <x:row r="49">
      <x:c r="A49" s="62" t="str">
        <x:v>OCC|2025|5014|20|PO|49</x:v>
      </x:c>
      <x:c r="B49" s="62" t="str">
        <x:v>SOURCE</x:v>
      </x:c>
      <x:c r="C49" s="62" t="str">
        <x:v>5014</x:v>
      </x:c>
      <x:c r="D49" s="62" t="str">
        <x:v>20</x:v>
      </x:c>
      <x:c r="E49" s="62" t="str">
        <x:v>采购订单</x:v>
      </x:c>
      <x:c r="F49" s="62" t="str">
        <x:v>PO</x:v>
      </x:c>
      <x:c r="G49" s="62" t="str">
        <x:v>2025-003</x:v>
      </x:c>
      <x:c r="H49" s="62" t="str">
        <x:v>2025-03</x:v>
      </x:c>
      <x:c r="I49" s="74" t="n">
        <x:v>45736</x:v>
      </x:c>
      <x:c r="J49" s="74" t="n">
        <x:v>45736</x:v>
      </x:c>
      <x:c r="K49" s="81" t="n">
        <x:v>-2.78</x:v>
      </x:c>
      <x:c r="L49" s="81" t="n">
        <x:v>-2.78</x:v>
      </x:c>
      <x:c r="M49" s="62" t="str">
        <x:v>业务支持费</x:v>
      </x:c>
      <x:c r="N49" s="62" t="str">
        <x:v>确认成本冲销PO</x:v>
      </x:c>
      <x:c r="O49" s="62" t="str">
        <x:v>国电智深</x:v>
      </x:c>
      <x:c r="P49" s="62" t="str">
        <x:v>国电智深</x:v>
      </x:c>
      <x:c r="Q49" s="62" t="str">
        <x:v>国电智深</x:v>
      </x:c>
      <x:c r="R49" s="62" t="str">
        <x:v>技术部</x:v>
      </x:c>
      <x:c r="S49" s="62" t="str">
        <x:v>PRJ-JS-热能-2025-002</x:v>
      </x:c>
      <x:c r="T49" s="62" t="str">
        <x:v>释放</x:v>
      </x:c>
      <x:c r="U49" s="86" t="n">
        <x:f>IF(AND(F49="PR",L49&gt;0),L49,0)</x:f>
        <x:v>0</x:v>
      </x:c>
      <x:c r="V49" s="86" t="n">
        <x:f>IF(AND(F49="PR",L49&gt;0,MONTH(I49)=12),L49,0)</x:f>
        <x:v>0</x:v>
      </x:c>
      <x:c r="W49" s="74" t="n">
        <x:v>46022</x:v>
      </x:c>
      <x:c r="X49" s="62" t="str">
        <x:v>OCC|2025|5014|20|PO|47</x:v>
      </x:c>
      <x:c r="Y49" s="62" t="str">
        <x:v>2025年预算占用.XLSX</x:v>
      </x:c>
      <x:c r="Z49" s="62" t="str">
        <x:v>Sheet</x:v>
      </x:c>
      <x:c r="AA49" s="62" t="n">
        <x:v>49</x:v>
      </x:c>
      <x:c r="AB49" s="62" t="str">
        <x:v>5014|20|PO|2025-03-20|49</x:v>
      </x:c>
      <x:c r="AC49" s="62" t="str">
        <x:f>IF(MONTH(I49)=VALUE(RIGHT(H49,2)),"OK","FAIL")</x:f>
        <x:v>OK</x:v>
      </x:c>
      <x:c r="AD49" s="62" t="str">
        <x:f>IF(ABS(L49)&lt;=SUMIFS($L$2:$L$109,$C$2:$C$109,C49,$D$2:$D$109,D49,$F$2:$F$109,F49,$L$2:$L$109,"&gt;0"),"OK","FAIL")</x:f>
        <x:v>OK</x:v>
      </x:c>
    </x:row>
    <x:row r="50">
      <x:c r="A50" s="62" t="str">
        <x:v>OCC|2025|5015|10|PR|50</x:v>
      </x:c>
      <x:c r="B50" s="62" t="str">
        <x:v>SOURCE</x:v>
      </x:c>
      <x:c r="C50" s="62" t="str">
        <x:v>5015</x:v>
      </x:c>
      <x:c r="D50" s="62" t="str">
        <x:v>10</x:v>
      </x:c>
      <x:c r="E50" s="62" t="str">
        <x:v>购买申请</x:v>
      </x:c>
      <x:c r="F50" s="62" t="str">
        <x:v>PR</x:v>
      </x:c>
      <x:c r="G50" s="62" t="str">
        <x:v>2025-004</x:v>
      </x:c>
      <x:c r="H50" s="62" t="str">
        <x:v>2025-04</x:v>
      </x:c>
      <x:c r="I50" s="74" t="n">
        <x:v>45757</x:v>
      </x:c>
      <x:c r="J50" s="74" t="n">
        <x:v>45757</x:v>
      </x:c>
      <x:c r="K50" s="81" t="n">
        <x:v>4.73</x:v>
      </x:c>
      <x:c r="L50" s="81" t="n">
        <x:v>4.73</x:v>
      </x:c>
      <x:c r="M50" s="62" t="str">
        <x:v>业务支持费</x:v>
      </x:c>
      <x:c r="N50" s="62" t="str">
        <x:v>技术配置-采购申请</x:v>
      </x:c>
      <x:c r="O50" s="62" t="str">
        <x:v>华能服务</x:v>
      </x:c>
      <x:c r="P50" s="62" t="str">
        <x:v>华能服务</x:v>
      </x:c>
      <x:c r="Q50" s="62" t="str">
        <x:v>苏州热工</x:v>
      </x:c>
      <x:c r="R50" s="62" t="str">
        <x:v>技术部</x:v>
      </x:c>
      <x:c r="S50" s="62" t="str">
        <x:v>PRJ-JS-热能-2025-002</x:v>
      </x:c>
      <x:c r="T50" s="62" t="str">
        <x:v>正向</x:v>
      </x:c>
      <x:c r="U50" s="86" t="n">
        <x:f>IF(AND(F50="PR",L50&gt;0),L50,0)</x:f>
        <x:v>4.73</x:v>
      </x:c>
      <x:c r="V50" s="86" t="n">
        <x:f>IF(AND(F50="PR",L50&gt;0,MONTH(I50)=12),L50,0)</x:f>
        <x:v>0</x:v>
      </x:c>
      <x:c r="W50" s="74" t="n">
        <x:v>46022</x:v>
      </x:c>
      <x:c r="X50" s="62" t="str"/>
      <x:c r="Y50" s="62" t="str">
        <x:v>2025年预算占用.XLSX</x:v>
      </x:c>
      <x:c r="Z50" s="62" t="str">
        <x:v>Sheet</x:v>
      </x:c>
      <x:c r="AA50" s="62" t="n">
        <x:v>50</x:v>
      </x:c>
      <x:c r="AB50" s="62" t="str">
        <x:v>5015|10|PR|2025-04-10|50</x:v>
      </x:c>
      <x:c r="AC50" s="62" t="str">
        <x:f>IF(MONTH(I50)=VALUE(RIGHT(H50,2)),"OK","FAIL")</x:f>
        <x:v>OK</x:v>
      </x:c>
      <x:c r="AD50" s="62" t="str">
        <x:f>"OK"</x:f>
        <x:v>OK</x:v>
      </x:c>
    </x:row>
    <x:row r="51">
      <x:c r="A51" s="62" t="str">
        <x:v>OCC|2025|5015|20|PO|51</x:v>
      </x:c>
      <x:c r="B51" s="62" t="str">
        <x:v>SOURCE</x:v>
      </x:c>
      <x:c r="C51" s="62" t="str">
        <x:v>5015</x:v>
      </x:c>
      <x:c r="D51" s="62" t="str">
        <x:v>20</x:v>
      </x:c>
      <x:c r="E51" s="62" t="str">
        <x:v>采购订单</x:v>
      </x:c>
      <x:c r="F51" s="62" t="str">
        <x:v>PO</x:v>
      </x:c>
      <x:c r="G51" s="62" t="str">
        <x:v>2025-004</x:v>
      </x:c>
      <x:c r="H51" s="62" t="str">
        <x:v>2025-04</x:v>
      </x:c>
      <x:c r="I51" s="74" t="n">
        <x:v>45762</x:v>
      </x:c>
      <x:c r="J51" s="74" t="n">
        <x:v>45762</x:v>
      </x:c>
      <x:c r="K51" s="81" t="n">
        <x:v>4.49</x:v>
      </x:c>
      <x:c r="L51" s="81" t="n">
        <x:v>4.49</x:v>
      </x:c>
      <x:c r="M51" s="62" t="str">
        <x:v>业务支持费</x:v>
      </x:c>
      <x:c r="N51" s="62" t="str">
        <x:v>技术配置-采购订单</x:v>
      </x:c>
      <x:c r="O51" s="62" t="str">
        <x:v>苏州热工</x:v>
      </x:c>
      <x:c r="P51" s="62" t="str">
        <x:v>苏州热工</x:v>
      </x:c>
      <x:c r="Q51" s="62" t="str">
        <x:v>苏州热工</x:v>
      </x:c>
      <x:c r="R51" s="62" t="str">
        <x:v>技术部</x:v>
      </x:c>
      <x:c r="S51" s="62" t="str">
        <x:v>PRJ-JS-热能-2025-002</x:v>
      </x:c>
      <x:c r="T51" s="62" t="str">
        <x:v>正向</x:v>
      </x:c>
      <x:c r="U51" s="86" t="n">
        <x:f>IF(AND(F51="PR",L51&gt;0),L51,0)</x:f>
        <x:v>0</x:v>
      </x:c>
      <x:c r="V51" s="86" t="n">
        <x:f>IF(AND(F51="PR",L51&gt;0,MONTH(I51)=12),L51,0)</x:f>
        <x:v>0</x:v>
      </x:c>
      <x:c r="W51" s="74" t="n">
        <x:v>46022</x:v>
      </x:c>
      <x:c r="X51" s="62" t="str"/>
      <x:c r="Y51" s="62" t="str">
        <x:v>2025年预算占用.XLSX</x:v>
      </x:c>
      <x:c r="Z51" s="62" t="str">
        <x:v>Sheet</x:v>
      </x:c>
      <x:c r="AA51" s="62" t="n">
        <x:v>51</x:v>
      </x:c>
      <x:c r="AB51" s="62" t="str">
        <x:v>5015|20|PO|2025-04-15|51</x:v>
      </x:c>
      <x:c r="AC51" s="62" t="str">
        <x:f>IF(MONTH(I51)=VALUE(RIGHT(H51,2)),"OK","FAIL")</x:f>
        <x:v>OK</x:v>
      </x:c>
      <x:c r="AD51" s="62" t="str">
        <x:f>"OK"</x:f>
        <x:v>OK</x:v>
      </x:c>
    </x:row>
    <x:row r="52">
      <x:c r="A52" s="62" t="str">
        <x:v>OCC|2025|5015|10|PR|52</x:v>
      </x:c>
      <x:c r="B52" s="62" t="str">
        <x:v>CORRECTED</x:v>
      </x:c>
      <x:c r="C52" s="62" t="str">
        <x:v>5015</x:v>
      </x:c>
      <x:c r="D52" s="62" t="str">
        <x:v>10</x:v>
      </x:c>
      <x:c r="E52" s="62" t="str">
        <x:v>购买申请</x:v>
      </x:c>
      <x:c r="F52" s="62" t="str">
        <x:v>PR</x:v>
      </x:c>
      <x:c r="G52" s="62" t="str">
        <x:v>2025-004</x:v>
      </x:c>
      <x:c r="H52" s="62" t="str">
        <x:v>2025-04</x:v>
      </x:c>
      <x:c r="I52" s="74" t="n">
        <x:v>45762</x:v>
      </x:c>
      <x:c r="J52" s="74" t="n">
        <x:v>45762</x:v>
      </x:c>
      <x:c r="K52" s="81" t="n">
        <x:v>-4.73</x:v>
      </x:c>
      <x:c r="L52" s="81" t="n">
        <x:v>-4.73</x:v>
      </x:c>
      <x:c r="M52" s="62" t="str">
        <x:v>业务支持费</x:v>
      </x:c>
      <x:c r="N52" s="62" t="str">
        <x:v>冲销购买申请</x:v>
      </x:c>
      <x:c r="O52" s="62" t="str">
        <x:v>中核运维</x:v>
      </x:c>
      <x:c r="P52" s="62" t="str">
        <x:v>华能服务</x:v>
      </x:c>
      <x:c r="Q52" s="62" t="str">
        <x:v>苏州热工</x:v>
      </x:c>
      <x:c r="R52" s="62" t="str">
        <x:v>技术部</x:v>
      </x:c>
      <x:c r="S52" s="62" t="str">
        <x:v>PRJ-JS-热能-2025-002</x:v>
      </x:c>
      <x:c r="T52" s="62" t="str">
        <x:v>释放</x:v>
      </x:c>
      <x:c r="U52" s="86" t="n">
        <x:f>IF(AND(F52="PR",L52&gt;0),L52,0)</x:f>
        <x:v>0</x:v>
      </x:c>
      <x:c r="V52" s="86" t="n">
        <x:f>IF(AND(F52="PR",L52&gt;0,MONTH(I52)=12),L52,0)</x:f>
        <x:v>0</x:v>
      </x:c>
      <x:c r="W52" s="74" t="n">
        <x:v>46022</x:v>
      </x:c>
      <x:c r="X52" s="62" t="str">
        <x:v>OCC|2025|5015|10|PR|50</x:v>
      </x:c>
      <x:c r="Y52" s="62" t="str">
        <x:v>2025年预算占用.XLSX</x:v>
      </x:c>
      <x:c r="Z52" s="62" t="str">
        <x:v>Sheet</x:v>
      </x:c>
      <x:c r="AA52" s="62" t="n">
        <x:v>52</x:v>
      </x:c>
      <x:c r="AB52" s="62" t="str">
        <x:v>5015|10|PR|2025-04-15|52</x:v>
      </x:c>
      <x:c r="AC52" s="62" t="str">
        <x:f>IF(MONTH(I52)=VALUE(RIGHT(H52,2)),"OK","FAIL")</x:f>
        <x:v>OK</x:v>
      </x:c>
      <x:c r="AD52" s="62" t="str">
        <x:f>IF(ABS(L52)&lt;=SUMIFS($L$2:$L$109,$C$2:$C$109,C52,$D$2:$D$109,D52,$F$2:$F$109,F52,$L$2:$L$109,"&gt;0"),"OK","FAIL")</x:f>
        <x:v>OK</x:v>
      </x:c>
    </x:row>
    <x:row r="53">
      <x:c r="A53" s="62" t="str">
        <x:v>OCC|2025|5015|20|PO|53</x:v>
      </x:c>
      <x:c r="B53" s="62" t="str">
        <x:v>CORRECTED</x:v>
      </x:c>
      <x:c r="C53" s="62" t="str">
        <x:v>5015</x:v>
      </x:c>
      <x:c r="D53" s="62" t="str">
        <x:v>20</x:v>
      </x:c>
      <x:c r="E53" s="62" t="str">
        <x:v>采购订单</x:v>
      </x:c>
      <x:c r="F53" s="62" t="str">
        <x:v>PO</x:v>
      </x:c>
      <x:c r="G53" s="62" t="str">
        <x:v>2025-004</x:v>
      </x:c>
      <x:c r="H53" s="62" t="str">
        <x:v>2025-04</x:v>
      </x:c>
      <x:c r="I53" s="74" t="n">
        <x:v>45767</x:v>
      </x:c>
      <x:c r="J53" s="74" t="n">
        <x:v>45767</x:v>
      </x:c>
      <x:c r="K53" s="81" t="n">
        <x:v>-3.59</x:v>
      </x:c>
      <x:c r="L53" s="81" t="n">
        <x:v>-3.59</x:v>
      </x:c>
      <x:c r="M53" s="62" t="str">
        <x:v>业务支持费</x:v>
      </x:c>
      <x:c r="N53" s="62" t="str">
        <x:v>确认成本冲销PO</x:v>
      </x:c>
      <x:c r="O53" s="62" t="str">
        <x:v>国电智深</x:v>
      </x:c>
      <x:c r="P53" s="62" t="str">
        <x:v>苏州热工</x:v>
      </x:c>
      <x:c r="Q53" s="62" t="str">
        <x:v>苏州热工</x:v>
      </x:c>
      <x:c r="R53" s="62" t="str">
        <x:v>技术部</x:v>
      </x:c>
      <x:c r="S53" s="62" t="str">
        <x:v>PRJ-JS-热能-2025-002</x:v>
      </x:c>
      <x:c r="T53" s="62" t="str">
        <x:v>释放</x:v>
      </x:c>
      <x:c r="U53" s="86" t="n">
        <x:f>IF(AND(F53="PR",L53&gt;0),L53,0)</x:f>
        <x:v>0</x:v>
      </x:c>
      <x:c r="V53" s="86" t="n">
        <x:f>IF(AND(F53="PR",L53&gt;0,MONTH(I53)=12),L53,0)</x:f>
        <x:v>0</x:v>
      </x:c>
      <x:c r="W53" s="74" t="n">
        <x:v>46022</x:v>
      </x:c>
      <x:c r="X53" s="62" t="str">
        <x:v>OCC|2025|5015|20|PO|51</x:v>
      </x:c>
      <x:c r="Y53" s="62" t="str">
        <x:v>2025年预算占用.XLSX</x:v>
      </x:c>
      <x:c r="Z53" s="62" t="str">
        <x:v>Sheet</x:v>
      </x:c>
      <x:c r="AA53" s="62" t="n">
        <x:v>53</x:v>
      </x:c>
      <x:c r="AB53" s="62" t="str">
        <x:v>5015|20|PO|2025-04-20|53</x:v>
      </x:c>
      <x:c r="AC53" s="62" t="str">
        <x:f>IF(MONTH(I53)=VALUE(RIGHT(H53,2)),"OK","FAIL")</x:f>
        <x:v>OK</x:v>
      </x:c>
      <x:c r="AD53" s="62" t="str">
        <x:f>IF(ABS(L53)&lt;=SUMIFS($L$2:$L$109,$C$2:$C$109,C53,$D$2:$D$109,D53,$F$2:$F$109,F53,$L$2:$L$109,"&gt;0"),"OK","FAIL")</x:f>
        <x:v>OK</x:v>
      </x:c>
    </x:row>
    <x:row r="54">
      <x:c r="A54" s="62" t="str">
        <x:v>OCC|2025|5016|10|PR|54</x:v>
      </x:c>
      <x:c r="B54" s="62" t="str">
        <x:v>SOURCE</x:v>
      </x:c>
      <x:c r="C54" s="62" t="str">
        <x:v>5016</x:v>
      </x:c>
      <x:c r="D54" s="62" t="str">
        <x:v>10</x:v>
      </x:c>
      <x:c r="E54" s="62" t="str">
        <x:v>购买申请</x:v>
      </x:c>
      <x:c r="F54" s="62" t="str">
        <x:v>PR</x:v>
      </x:c>
      <x:c r="G54" s="62" t="str">
        <x:v>2025-005</x:v>
      </x:c>
      <x:c r="H54" s="62" t="str">
        <x:v>2025-05</x:v>
      </x:c>
      <x:c r="I54" s="74" t="n">
        <x:v>45787</x:v>
      </x:c>
      <x:c r="J54" s="74" t="n">
        <x:v>45787</x:v>
      </x:c>
      <x:c r="K54" s="81" t="n">
        <x:v>12.14</x:v>
      </x:c>
      <x:c r="L54" s="81" t="n">
        <x:v>12.14</x:v>
      </x:c>
      <x:c r="M54" s="62" t="str">
        <x:v>业务支持费</x:v>
      </x:c>
      <x:c r="N54" s="62" t="str">
        <x:v>技术配置-采购申请</x:v>
      </x:c>
      <x:c r="O54" s="62" t="str">
        <x:v>北京核工院</x:v>
      </x:c>
      <x:c r="P54" s="62" t="str">
        <x:v>北京核工院</x:v>
      </x:c>
      <x:c r="Q54" s="62" t="str">
        <x:v>上海电气</x:v>
      </x:c>
      <x:c r="R54" s="62" t="str">
        <x:v>技术部</x:v>
      </x:c>
      <x:c r="S54" s="62" t="str">
        <x:v>PRJ-JS-热能-2025-002</x:v>
      </x:c>
      <x:c r="T54" s="62" t="str">
        <x:v>正向</x:v>
      </x:c>
      <x:c r="U54" s="86" t="n">
        <x:f>IF(AND(F54="PR",L54&gt;0),L54,0)</x:f>
        <x:v>12.14</x:v>
      </x:c>
      <x:c r="V54" s="86" t="n">
        <x:f>IF(AND(F54="PR",L54&gt;0,MONTH(I54)=12),L54,0)</x:f>
        <x:v>0</x:v>
      </x:c>
      <x:c r="W54" s="74" t="n">
        <x:v>46022</x:v>
      </x:c>
      <x:c r="X54" s="62" t="str"/>
      <x:c r="Y54" s="62" t="str">
        <x:v>2025年预算占用.XLSX</x:v>
      </x:c>
      <x:c r="Z54" s="62" t="str">
        <x:v>Sheet</x:v>
      </x:c>
      <x:c r="AA54" s="62" t="n">
        <x:v>54</x:v>
      </x:c>
      <x:c r="AB54" s="62" t="str">
        <x:v>5016|10|PR|2025-05-10|54</x:v>
      </x:c>
      <x:c r="AC54" s="62" t="str">
        <x:f>IF(MONTH(I54)=VALUE(RIGHT(H54,2)),"OK","FAIL")</x:f>
        <x:v>OK</x:v>
      </x:c>
      <x:c r="AD54" s="62" t="str">
        <x:f>"OK"</x:f>
        <x:v>OK</x:v>
      </x:c>
    </x:row>
    <x:row r="55">
      <x:c r="A55" s="62" t="str">
        <x:v>OCC|2025|5016|20|PO|55</x:v>
      </x:c>
      <x:c r="B55" s="62" t="str">
        <x:v>SOURCE</x:v>
      </x:c>
      <x:c r="C55" s="62" t="str">
        <x:v>5016</x:v>
      </x:c>
      <x:c r="D55" s="62" t="str">
        <x:v>20</x:v>
      </x:c>
      <x:c r="E55" s="62" t="str">
        <x:v>采购订单</x:v>
      </x:c>
      <x:c r="F55" s="62" t="str">
        <x:v>PO</x:v>
      </x:c>
      <x:c r="G55" s="62" t="str">
        <x:v>2025-005</x:v>
      </x:c>
      <x:c r="H55" s="62" t="str">
        <x:v>2025-05</x:v>
      </x:c>
      <x:c r="I55" s="74" t="n">
        <x:v>45792</x:v>
      </x:c>
      <x:c r="J55" s="74" t="n">
        <x:v>45792</x:v>
      </x:c>
      <x:c r="K55" s="81" t="n">
        <x:v>11.53</x:v>
      </x:c>
      <x:c r="L55" s="81" t="n">
        <x:v>11.53</x:v>
      </x:c>
      <x:c r="M55" s="62" t="str">
        <x:v>业务支持费</x:v>
      </x:c>
      <x:c r="N55" s="62" t="str">
        <x:v>技术配置-采购订单</x:v>
      </x:c>
      <x:c r="O55" s="62" t="str">
        <x:v>上海电气</x:v>
      </x:c>
      <x:c r="P55" s="62" t="str">
        <x:v>上海电气</x:v>
      </x:c>
      <x:c r="Q55" s="62" t="str">
        <x:v>上海电气</x:v>
      </x:c>
      <x:c r="R55" s="62" t="str">
        <x:v>技术部</x:v>
      </x:c>
      <x:c r="S55" s="62" t="str">
        <x:v>PRJ-JS-热能-2025-002</x:v>
      </x:c>
      <x:c r="T55" s="62" t="str">
        <x:v>正向</x:v>
      </x:c>
      <x:c r="U55" s="86" t="n">
        <x:f>IF(AND(F55="PR",L55&gt;0),L55,0)</x:f>
        <x:v>0</x:v>
      </x:c>
      <x:c r="V55" s="86" t="n">
        <x:f>IF(AND(F55="PR",L55&gt;0,MONTH(I55)=12),L55,0)</x:f>
        <x:v>0</x:v>
      </x:c>
      <x:c r="W55" s="74" t="n">
        <x:v>46022</x:v>
      </x:c>
      <x:c r="X55" s="62" t="str"/>
      <x:c r="Y55" s="62" t="str">
        <x:v>2025年预算占用.XLSX</x:v>
      </x:c>
      <x:c r="Z55" s="62" t="str">
        <x:v>Sheet</x:v>
      </x:c>
      <x:c r="AA55" s="62" t="n">
        <x:v>55</x:v>
      </x:c>
      <x:c r="AB55" s="62" t="str">
        <x:v>5016|20|PO|2025-05-15|55</x:v>
      </x:c>
      <x:c r="AC55" s="62" t="str">
        <x:f>IF(MONTH(I55)=VALUE(RIGHT(H55,2)),"OK","FAIL")</x:f>
        <x:v>OK</x:v>
      </x:c>
      <x:c r="AD55" s="62" t="str">
        <x:f>"OK"</x:f>
        <x:v>OK</x:v>
      </x:c>
    </x:row>
    <x:row r="56">
      <x:c r="A56" s="62" t="str">
        <x:v>OCC|2025|5016|10|PR|56</x:v>
      </x:c>
      <x:c r="B56" s="62" t="str">
        <x:v>CORRECTED</x:v>
      </x:c>
      <x:c r="C56" s="62" t="str">
        <x:v>5016</x:v>
      </x:c>
      <x:c r="D56" s="62" t="str">
        <x:v>10</x:v>
      </x:c>
      <x:c r="E56" s="62" t="str">
        <x:v>购买申请</x:v>
      </x:c>
      <x:c r="F56" s="62" t="str">
        <x:v>PR</x:v>
      </x:c>
      <x:c r="G56" s="62" t="str">
        <x:v>2025-005</x:v>
      </x:c>
      <x:c r="H56" s="62" t="str">
        <x:v>2025-05</x:v>
      </x:c>
      <x:c r="I56" s="74" t="n">
        <x:v>45792</x:v>
      </x:c>
      <x:c r="J56" s="74" t="n">
        <x:v>45792</x:v>
      </x:c>
      <x:c r="K56" s="81" t="n">
        <x:v>-12.14</x:v>
      </x:c>
      <x:c r="L56" s="81" t="n">
        <x:v>-12.14</x:v>
      </x:c>
      <x:c r="M56" s="62" t="str">
        <x:v>业务支持费</x:v>
      </x:c>
      <x:c r="N56" s="62" t="str">
        <x:v>冲销购买申请</x:v>
      </x:c>
      <x:c r="O56" s="62" t="str">
        <x:v>苏州热工</x:v>
      </x:c>
      <x:c r="P56" s="62" t="str">
        <x:v>北京核工院</x:v>
      </x:c>
      <x:c r="Q56" s="62" t="str">
        <x:v>上海电气</x:v>
      </x:c>
      <x:c r="R56" s="62" t="str">
        <x:v>技术部</x:v>
      </x:c>
      <x:c r="S56" s="62" t="str">
        <x:v>PRJ-JS-热能-2025-002</x:v>
      </x:c>
      <x:c r="T56" s="62" t="str">
        <x:v>释放</x:v>
      </x:c>
      <x:c r="U56" s="86" t="n">
        <x:f>IF(AND(F56="PR",L56&gt;0),L56,0)</x:f>
        <x:v>0</x:v>
      </x:c>
      <x:c r="V56" s="86" t="n">
        <x:f>IF(AND(F56="PR",L56&gt;0,MONTH(I56)=12),L56,0)</x:f>
        <x:v>0</x:v>
      </x:c>
      <x:c r="W56" s="74" t="n">
        <x:v>46022</x:v>
      </x:c>
      <x:c r="X56" s="62" t="str">
        <x:v>OCC|2025|5016|10|PR|54</x:v>
      </x:c>
      <x:c r="Y56" s="62" t="str">
        <x:v>2025年预算占用.XLSX</x:v>
      </x:c>
      <x:c r="Z56" s="62" t="str">
        <x:v>Sheet</x:v>
      </x:c>
      <x:c r="AA56" s="62" t="n">
        <x:v>56</x:v>
      </x:c>
      <x:c r="AB56" s="62" t="str">
        <x:v>5016|10|PR|2025-05-15|56</x:v>
      </x:c>
      <x:c r="AC56" s="62" t="str">
        <x:f>IF(MONTH(I56)=VALUE(RIGHT(H56,2)),"OK","FAIL")</x:f>
        <x:v>OK</x:v>
      </x:c>
      <x:c r="AD56" s="62" t="str">
        <x:f>IF(ABS(L56)&lt;=SUMIFS($L$2:$L$109,$C$2:$C$109,C56,$D$2:$D$109,D56,$F$2:$F$109,F56,$L$2:$L$109,"&gt;0"),"OK","FAIL")</x:f>
        <x:v>OK</x:v>
      </x:c>
    </x:row>
    <x:row r="57">
      <x:c r="A57" s="62" t="str">
        <x:v>OCC|2025|5016|20|PO|57</x:v>
      </x:c>
      <x:c r="B57" s="62" t="str">
        <x:v>CORRECTED</x:v>
      </x:c>
      <x:c r="C57" s="62" t="str">
        <x:v>5016</x:v>
      </x:c>
      <x:c r="D57" s="62" t="str">
        <x:v>20</x:v>
      </x:c>
      <x:c r="E57" s="62" t="str">
        <x:v>采购订单</x:v>
      </x:c>
      <x:c r="F57" s="62" t="str">
        <x:v>PO</x:v>
      </x:c>
      <x:c r="G57" s="62" t="str">
        <x:v>2025-005</x:v>
      </x:c>
      <x:c r="H57" s="62" t="str">
        <x:v>2025-05</x:v>
      </x:c>
      <x:c r="I57" s="74" t="n">
        <x:v>45797</x:v>
      </x:c>
      <x:c r="J57" s="74" t="n">
        <x:v>45797</x:v>
      </x:c>
      <x:c r="K57" s="81" t="n">
        <x:v>-9.22</x:v>
      </x:c>
      <x:c r="L57" s="81" t="n">
        <x:v>-9.22</x:v>
      </x:c>
      <x:c r="M57" s="62" t="str">
        <x:v>业务支持费</x:v>
      </x:c>
      <x:c r="N57" s="62" t="str">
        <x:v>确认成本冲销PO</x:v>
      </x:c>
      <x:c r="O57" s="62" t="str">
        <x:v>华能服务</x:v>
      </x:c>
      <x:c r="P57" s="62" t="str">
        <x:v>上海电气</x:v>
      </x:c>
      <x:c r="Q57" s="62" t="str">
        <x:v>上海电气</x:v>
      </x:c>
      <x:c r="R57" s="62" t="str">
        <x:v>技术部</x:v>
      </x:c>
      <x:c r="S57" s="62" t="str">
        <x:v>PRJ-JS-热能-2025-002</x:v>
      </x:c>
      <x:c r="T57" s="62" t="str">
        <x:v>释放</x:v>
      </x:c>
      <x:c r="U57" s="86" t="n">
        <x:f>IF(AND(F57="PR",L57&gt;0),L57,0)</x:f>
        <x:v>0</x:v>
      </x:c>
      <x:c r="V57" s="86" t="n">
        <x:f>IF(AND(F57="PR",L57&gt;0,MONTH(I57)=12),L57,0)</x:f>
        <x:v>0</x:v>
      </x:c>
      <x:c r="W57" s="74" t="n">
        <x:v>46022</x:v>
      </x:c>
      <x:c r="X57" s="62" t="str">
        <x:v>OCC|2025|5016|20|PO|55</x:v>
      </x:c>
      <x:c r="Y57" s="62" t="str">
        <x:v>2025年预算占用.XLSX</x:v>
      </x:c>
      <x:c r="Z57" s="62" t="str">
        <x:v>Sheet</x:v>
      </x:c>
      <x:c r="AA57" s="62" t="n">
        <x:v>57</x:v>
      </x:c>
      <x:c r="AB57" s="62" t="str">
        <x:v>5016|20|PO|2025-05-20|57</x:v>
      </x:c>
      <x:c r="AC57" s="62" t="str">
        <x:f>IF(MONTH(I57)=VALUE(RIGHT(H57,2)),"OK","FAIL")</x:f>
        <x:v>OK</x:v>
      </x:c>
      <x:c r="AD57" s="62" t="str">
        <x:f>IF(ABS(L57)&lt;=SUMIFS($L$2:$L$109,$C$2:$C$109,C57,$D$2:$D$109,D57,$F$2:$F$109,F57,$L$2:$L$109,"&gt;0"),"OK","FAIL")</x:f>
        <x:v>OK</x:v>
      </x:c>
    </x:row>
    <x:row r="58">
      <x:c r="A58" s="62" t="str">
        <x:v>OCC|2025|5017|10|PR|58</x:v>
      </x:c>
      <x:c r="B58" s="62" t="str">
        <x:v>SOURCE</x:v>
      </x:c>
      <x:c r="C58" s="62" t="str">
        <x:v>5017</x:v>
      </x:c>
      <x:c r="D58" s="62" t="str">
        <x:v>10</x:v>
      </x:c>
      <x:c r="E58" s="62" t="str">
        <x:v>购买申请</x:v>
      </x:c>
      <x:c r="F58" s="62" t="str">
        <x:v>PR</x:v>
      </x:c>
      <x:c r="G58" s="62" t="str">
        <x:v>2025-006</x:v>
      </x:c>
      <x:c r="H58" s="62" t="str">
        <x:v>2025-06</x:v>
      </x:c>
      <x:c r="I58" s="74" t="n">
        <x:v>45818</x:v>
      </x:c>
      <x:c r="J58" s="74" t="n">
        <x:v>45818</x:v>
      </x:c>
      <x:c r="K58" s="81" t="n">
        <x:v>14.03</x:v>
      </x:c>
      <x:c r="L58" s="81" t="n">
        <x:v>14.03</x:v>
      </x:c>
      <x:c r="M58" s="62" t="str">
        <x:v>业务支持费</x:v>
      </x:c>
      <x:c r="N58" s="62" t="str">
        <x:v>技术配置-采购申请</x:v>
      </x:c>
      <x:c r="O58" s="62" t="str">
        <x:v>华能服务</x:v>
      </x:c>
      <x:c r="P58" s="62" t="str">
        <x:v>华能服务</x:v>
      </x:c>
      <x:c r="Q58" s="62" t="str">
        <x:v>华能服务</x:v>
      </x:c>
      <x:c r="R58" s="62" t="str">
        <x:v>技术部</x:v>
      </x:c>
      <x:c r="S58" s="62" t="str">
        <x:v>PRJ-JS-热能-2025-002</x:v>
      </x:c>
      <x:c r="T58" s="62" t="str">
        <x:v>正向</x:v>
      </x:c>
      <x:c r="U58" s="86" t="n">
        <x:f>IF(AND(F58="PR",L58&gt;0),L58,0)</x:f>
        <x:v>14.03</x:v>
      </x:c>
      <x:c r="V58" s="86" t="n">
        <x:f>IF(AND(F58="PR",L58&gt;0,MONTH(I58)=12),L58,0)</x:f>
        <x:v>0</x:v>
      </x:c>
      <x:c r="W58" s="74" t="n">
        <x:v>46022</x:v>
      </x:c>
      <x:c r="X58" s="62" t="str"/>
      <x:c r="Y58" s="62" t="str">
        <x:v>2025年预算占用.XLSX</x:v>
      </x:c>
      <x:c r="Z58" s="62" t="str">
        <x:v>Sheet</x:v>
      </x:c>
      <x:c r="AA58" s="62" t="n">
        <x:v>58</x:v>
      </x:c>
      <x:c r="AB58" s="62" t="str">
        <x:v>5017|10|PR|2025-06-10|58</x:v>
      </x:c>
      <x:c r="AC58" s="62" t="str">
        <x:f>IF(MONTH(I58)=VALUE(RIGHT(H58,2)),"OK","FAIL")</x:f>
        <x:v>OK</x:v>
      </x:c>
      <x:c r="AD58" s="62" t="str">
        <x:f>"OK"</x:f>
        <x:v>OK</x:v>
      </x:c>
    </x:row>
    <x:row r="59">
      <x:c r="A59" s="62" t="str">
        <x:v>OCC|2025|5017|20|PO|59</x:v>
      </x:c>
      <x:c r="B59" s="62" t="str">
        <x:v>SOURCE</x:v>
      </x:c>
      <x:c r="C59" s="62" t="str">
        <x:v>5017</x:v>
      </x:c>
      <x:c r="D59" s="62" t="str">
        <x:v>20</x:v>
      </x:c>
      <x:c r="E59" s="62" t="str">
        <x:v>采购订单</x:v>
      </x:c>
      <x:c r="F59" s="62" t="str">
        <x:v>PO</x:v>
      </x:c>
      <x:c r="G59" s="62" t="str">
        <x:v>2025-006</x:v>
      </x:c>
      <x:c r="H59" s="62" t="str">
        <x:v>2025-06</x:v>
      </x:c>
      <x:c r="I59" s="74" t="n">
        <x:v>45823</x:v>
      </x:c>
      <x:c r="J59" s="74" t="n">
        <x:v>45823</x:v>
      </x:c>
      <x:c r="K59" s="81" t="n">
        <x:v>13.33</x:v>
      </x:c>
      <x:c r="L59" s="81" t="n">
        <x:v>13.33</x:v>
      </x:c>
      <x:c r="M59" s="62" t="str">
        <x:v>业务支持费</x:v>
      </x:c>
      <x:c r="N59" s="62" t="str">
        <x:v>技术配置-采购订单</x:v>
      </x:c>
      <x:c r="O59" s="62" t="str">
        <x:v>华能服务</x:v>
      </x:c>
      <x:c r="P59" s="62" t="str">
        <x:v>华能服务</x:v>
      </x:c>
      <x:c r="Q59" s="62" t="str">
        <x:v>华能服务</x:v>
      </x:c>
      <x:c r="R59" s="62" t="str">
        <x:v>技术部</x:v>
      </x:c>
      <x:c r="S59" s="62" t="str">
        <x:v>PRJ-JS-热能-2025-002</x:v>
      </x:c>
      <x:c r="T59" s="62" t="str">
        <x:v>正向</x:v>
      </x:c>
      <x:c r="U59" s="86" t="n">
        <x:f>IF(AND(F59="PR",L59&gt;0),L59,0)</x:f>
        <x:v>0</x:v>
      </x:c>
      <x:c r="V59" s="86" t="n">
        <x:f>IF(AND(F59="PR",L59&gt;0,MONTH(I59)=12),L59,0)</x:f>
        <x:v>0</x:v>
      </x:c>
      <x:c r="W59" s="74" t="n">
        <x:v>46022</x:v>
      </x:c>
      <x:c r="X59" s="62" t="str"/>
      <x:c r="Y59" s="62" t="str">
        <x:v>2025年预算占用.XLSX</x:v>
      </x:c>
      <x:c r="Z59" s="62" t="str">
        <x:v>Sheet</x:v>
      </x:c>
      <x:c r="AA59" s="62" t="n">
        <x:v>59</x:v>
      </x:c>
      <x:c r="AB59" s="62" t="str">
        <x:v>5017|20|PO|2025-06-15|59</x:v>
      </x:c>
      <x:c r="AC59" s="62" t="str">
        <x:f>IF(MONTH(I59)=VALUE(RIGHT(H59,2)),"OK","FAIL")</x:f>
        <x:v>OK</x:v>
      </x:c>
      <x:c r="AD59" s="62" t="str">
        <x:f>"OK"</x:f>
        <x:v>OK</x:v>
      </x:c>
    </x:row>
    <x:row r="60">
      <x:c r="A60" s="62" t="str">
        <x:v>OCC|2025|5017|10|PR|60</x:v>
      </x:c>
      <x:c r="B60" s="62" t="str">
        <x:v>SOURCE</x:v>
      </x:c>
      <x:c r="C60" s="62" t="str">
        <x:v>5017</x:v>
      </x:c>
      <x:c r="D60" s="62" t="str">
        <x:v>10</x:v>
      </x:c>
      <x:c r="E60" s="62" t="str">
        <x:v>购买申请</x:v>
      </x:c>
      <x:c r="F60" s="62" t="str">
        <x:v>PR</x:v>
      </x:c>
      <x:c r="G60" s="62" t="str">
        <x:v>2025-006</x:v>
      </x:c>
      <x:c r="H60" s="62" t="str">
        <x:v>2025-06</x:v>
      </x:c>
      <x:c r="I60" s="74" t="n">
        <x:v>45823</x:v>
      </x:c>
      <x:c r="J60" s="74" t="n">
        <x:v>45823</x:v>
      </x:c>
      <x:c r="K60" s="81" t="n">
        <x:v>-14.03</x:v>
      </x:c>
      <x:c r="L60" s="81" t="n">
        <x:v>-14.03</x:v>
      </x:c>
      <x:c r="M60" s="62" t="str">
        <x:v>业务支持费</x:v>
      </x:c>
      <x:c r="N60" s="62" t="str">
        <x:v>冲销购买申请</x:v>
      </x:c>
      <x:c r="O60" s="62" t="str">
        <x:v>华能服务</x:v>
      </x:c>
      <x:c r="P60" s="62" t="str">
        <x:v>华能服务</x:v>
      </x:c>
      <x:c r="Q60" s="62" t="str">
        <x:v>华能服务</x:v>
      </x:c>
      <x:c r="R60" s="62" t="str">
        <x:v>技术部</x:v>
      </x:c>
      <x:c r="S60" s="62" t="str">
        <x:v>PRJ-JS-热能-2025-002</x:v>
      </x:c>
      <x:c r="T60" s="62" t="str">
        <x:v>释放</x:v>
      </x:c>
      <x:c r="U60" s="86" t="n">
        <x:f>IF(AND(F60="PR",L60&gt;0),L60,0)</x:f>
        <x:v>0</x:v>
      </x:c>
      <x:c r="V60" s="86" t="n">
        <x:f>IF(AND(F60="PR",L60&gt;0,MONTH(I60)=12),L60,0)</x:f>
        <x:v>0</x:v>
      </x:c>
      <x:c r="W60" s="74" t="n">
        <x:v>46022</x:v>
      </x:c>
      <x:c r="X60" s="62" t="str">
        <x:v>OCC|2025|5017|10|PR|58</x:v>
      </x:c>
      <x:c r="Y60" s="62" t="str">
        <x:v>2025年预算占用.XLSX</x:v>
      </x:c>
      <x:c r="Z60" s="62" t="str">
        <x:v>Sheet</x:v>
      </x:c>
      <x:c r="AA60" s="62" t="n">
        <x:v>60</x:v>
      </x:c>
      <x:c r="AB60" s="62" t="str">
        <x:v>5017|10|PR|2025-06-15|60</x:v>
      </x:c>
      <x:c r="AC60" s="62" t="str">
        <x:f>IF(MONTH(I60)=VALUE(RIGHT(H60,2)),"OK","FAIL")</x:f>
        <x:v>OK</x:v>
      </x:c>
      <x:c r="AD60" s="62" t="str">
        <x:f>IF(ABS(L60)&lt;=SUMIFS($L$2:$L$109,$C$2:$C$109,C60,$D$2:$D$109,D60,$F$2:$F$109,F60,$L$2:$L$109,"&gt;0"),"OK","FAIL")</x:f>
        <x:v>OK</x:v>
      </x:c>
    </x:row>
    <x:row r="61">
      <x:c r="A61" s="62" t="str">
        <x:v>OCC|2025|5017|20|PO|61</x:v>
      </x:c>
      <x:c r="B61" s="62" t="str">
        <x:v>CORRECTED</x:v>
      </x:c>
      <x:c r="C61" s="62" t="str">
        <x:v>5017</x:v>
      </x:c>
      <x:c r="D61" s="62" t="str">
        <x:v>20</x:v>
      </x:c>
      <x:c r="E61" s="62" t="str">
        <x:v>采购订单</x:v>
      </x:c>
      <x:c r="F61" s="62" t="str">
        <x:v>PO</x:v>
      </x:c>
      <x:c r="G61" s="62" t="str">
        <x:v>2025-006</x:v>
      </x:c>
      <x:c r="H61" s="62" t="str">
        <x:v>2025-06</x:v>
      </x:c>
      <x:c r="I61" s="74" t="n">
        <x:v>45828</x:v>
      </x:c>
      <x:c r="J61" s="74" t="n">
        <x:v>45828</x:v>
      </x:c>
      <x:c r="K61" s="81" t="n">
        <x:v>-10.66</x:v>
      </x:c>
      <x:c r="L61" s="81" t="n">
        <x:v>-10.66</x:v>
      </x:c>
      <x:c r="M61" s="62" t="str">
        <x:v>业务支持费</x:v>
      </x:c>
      <x:c r="N61" s="62" t="str">
        <x:v>确认成本冲销PO</x:v>
      </x:c>
      <x:c r="O61" s="62" t="str">
        <x:v>北京核工院</x:v>
      </x:c>
      <x:c r="P61" s="62" t="str">
        <x:v>华能服务</x:v>
      </x:c>
      <x:c r="Q61" s="62" t="str">
        <x:v>华能服务</x:v>
      </x:c>
      <x:c r="R61" s="62" t="str">
        <x:v>技术部</x:v>
      </x:c>
      <x:c r="S61" s="62" t="str">
        <x:v>PRJ-JS-热能-2025-002</x:v>
      </x:c>
      <x:c r="T61" s="62" t="str">
        <x:v>释放</x:v>
      </x:c>
      <x:c r="U61" s="86" t="n">
        <x:f>IF(AND(F61="PR",L61&gt;0),L61,0)</x:f>
        <x:v>0</x:v>
      </x:c>
      <x:c r="V61" s="86" t="n">
        <x:f>IF(AND(F61="PR",L61&gt;0,MONTH(I61)=12),L61,0)</x:f>
        <x:v>0</x:v>
      </x:c>
      <x:c r="W61" s="74" t="n">
        <x:v>46022</x:v>
      </x:c>
      <x:c r="X61" s="62" t="str">
        <x:v>OCC|2025|5017|20|PO|59</x:v>
      </x:c>
      <x:c r="Y61" s="62" t="str">
        <x:v>2025年预算占用.XLSX</x:v>
      </x:c>
      <x:c r="Z61" s="62" t="str">
        <x:v>Sheet</x:v>
      </x:c>
      <x:c r="AA61" s="62" t="n">
        <x:v>61</x:v>
      </x:c>
      <x:c r="AB61" s="62" t="str">
        <x:v>5017|20|PO|2025-06-20|61</x:v>
      </x:c>
      <x:c r="AC61" s="62" t="str">
        <x:f>IF(MONTH(I61)=VALUE(RIGHT(H61,2)),"OK","FAIL")</x:f>
        <x:v>OK</x:v>
      </x:c>
      <x:c r="AD61" s="62" t="str">
        <x:f>IF(ABS(L61)&lt;=SUMIFS($L$2:$L$109,$C$2:$C$109,C61,$D$2:$D$109,D61,$F$2:$F$109,F61,$L$2:$L$109,"&gt;0"),"OK","FAIL")</x:f>
        <x:v>OK</x:v>
      </x:c>
    </x:row>
    <x:row r="62">
      <x:c r="A62" s="62" t="str">
        <x:v>OCC|2025|5018|10|PR|62</x:v>
      </x:c>
      <x:c r="B62" s="62" t="str">
        <x:v>SOURCE</x:v>
      </x:c>
      <x:c r="C62" s="62" t="str">
        <x:v>5018</x:v>
      </x:c>
      <x:c r="D62" s="62" t="str">
        <x:v>10</x:v>
      </x:c>
      <x:c r="E62" s="62" t="str">
        <x:v>购买申请</x:v>
      </x:c>
      <x:c r="F62" s="62" t="str">
        <x:v>PR</x:v>
      </x:c>
      <x:c r="G62" s="62" t="str">
        <x:v>2025-007</x:v>
      </x:c>
      <x:c r="H62" s="62" t="str">
        <x:v>2025-07</x:v>
      </x:c>
      <x:c r="I62" s="74" t="n">
        <x:v>45848</x:v>
      </x:c>
      <x:c r="J62" s="74" t="n">
        <x:v>45848</x:v>
      </x:c>
      <x:c r="K62" s="81" t="n">
        <x:v>2.32</x:v>
      </x:c>
      <x:c r="L62" s="81" t="n">
        <x:v>2.32</x:v>
      </x:c>
      <x:c r="M62" s="62" t="str">
        <x:v>业务支持费</x:v>
      </x:c>
      <x:c r="N62" s="62" t="str">
        <x:v>技术配置-采购申请</x:v>
      </x:c>
      <x:c r="O62" s="62" t="str">
        <x:v>苏州热工</x:v>
      </x:c>
      <x:c r="P62" s="62" t="str">
        <x:v>苏州热工</x:v>
      </x:c>
      <x:c r="Q62" s="62" t="str">
        <x:v>国电智深</x:v>
      </x:c>
      <x:c r="R62" s="62" t="str">
        <x:v>技术部</x:v>
      </x:c>
      <x:c r="S62" s="62" t="str">
        <x:v>PRJ-JS-热能-2025-002</x:v>
      </x:c>
      <x:c r="T62" s="62" t="str">
        <x:v>正向</x:v>
      </x:c>
      <x:c r="U62" s="86" t="n">
        <x:f>IF(AND(F62="PR",L62&gt;0),L62,0)</x:f>
        <x:v>2.32</x:v>
      </x:c>
      <x:c r="V62" s="86" t="n">
        <x:f>IF(AND(F62="PR",L62&gt;0,MONTH(I62)=12),L62,0)</x:f>
        <x:v>0</x:v>
      </x:c>
      <x:c r="W62" s="74" t="n">
        <x:v>46022</x:v>
      </x:c>
      <x:c r="X62" s="62" t="str"/>
      <x:c r="Y62" s="62" t="str">
        <x:v>2025年预算占用.XLSX</x:v>
      </x:c>
      <x:c r="Z62" s="62" t="str">
        <x:v>Sheet</x:v>
      </x:c>
      <x:c r="AA62" s="62" t="n">
        <x:v>62</x:v>
      </x:c>
      <x:c r="AB62" s="62" t="str">
        <x:v>5018|10|PR|2025-07-10|62</x:v>
      </x:c>
      <x:c r="AC62" s="62" t="str">
        <x:f>IF(MONTH(I62)=VALUE(RIGHT(H62,2)),"OK","FAIL")</x:f>
        <x:v>OK</x:v>
      </x:c>
      <x:c r="AD62" s="62" t="str">
        <x:f>"OK"</x:f>
        <x:v>OK</x:v>
      </x:c>
    </x:row>
    <x:row r="63">
      <x:c r="A63" s="62" t="str">
        <x:v>OCC|2025|5018|20|PO|63</x:v>
      </x:c>
      <x:c r="B63" s="62" t="str">
        <x:v>SOURCE</x:v>
      </x:c>
      <x:c r="C63" s="62" t="str">
        <x:v>5018</x:v>
      </x:c>
      <x:c r="D63" s="62" t="str">
        <x:v>20</x:v>
      </x:c>
      <x:c r="E63" s="62" t="str">
        <x:v>采购订单</x:v>
      </x:c>
      <x:c r="F63" s="62" t="str">
        <x:v>PO</x:v>
      </x:c>
      <x:c r="G63" s="62" t="str">
        <x:v>2025-007</x:v>
      </x:c>
      <x:c r="H63" s="62" t="str">
        <x:v>2025-07</x:v>
      </x:c>
      <x:c r="I63" s="74" t="n">
        <x:v>45853</x:v>
      </x:c>
      <x:c r="J63" s="74" t="n">
        <x:v>45853</x:v>
      </x:c>
      <x:c r="K63" s="81" t="n">
        <x:v>2.2</x:v>
      </x:c>
      <x:c r="L63" s="81" t="n">
        <x:v>2.2</x:v>
      </x:c>
      <x:c r="M63" s="62" t="str">
        <x:v>业务支持费</x:v>
      </x:c>
      <x:c r="N63" s="62" t="str">
        <x:v>技术配置-采购订单</x:v>
      </x:c>
      <x:c r="O63" s="62" t="str">
        <x:v>国电智深</x:v>
      </x:c>
      <x:c r="P63" s="62" t="str">
        <x:v>国电智深</x:v>
      </x:c>
      <x:c r="Q63" s="62" t="str">
        <x:v>国电智深</x:v>
      </x:c>
      <x:c r="R63" s="62" t="str">
        <x:v>技术部</x:v>
      </x:c>
      <x:c r="S63" s="62" t="str">
        <x:v>PRJ-JS-热能-2025-002</x:v>
      </x:c>
      <x:c r="T63" s="62" t="str">
        <x:v>正向</x:v>
      </x:c>
      <x:c r="U63" s="86" t="n">
        <x:f>IF(AND(F63="PR",L63&gt;0),L63,0)</x:f>
        <x:v>0</x:v>
      </x:c>
      <x:c r="V63" s="86" t="n">
        <x:f>IF(AND(F63="PR",L63&gt;0,MONTH(I63)=12),L63,0)</x:f>
        <x:v>0</x:v>
      </x:c>
      <x:c r="W63" s="74" t="n">
        <x:v>46022</x:v>
      </x:c>
      <x:c r="X63" s="62" t="str"/>
      <x:c r="Y63" s="62" t="str">
        <x:v>2025年预算占用.XLSX</x:v>
      </x:c>
      <x:c r="Z63" s="62" t="str">
        <x:v>Sheet</x:v>
      </x:c>
      <x:c r="AA63" s="62" t="n">
        <x:v>63</x:v>
      </x:c>
      <x:c r="AB63" s="62" t="str">
        <x:v>5018|20|PO|2025-07-15|63</x:v>
      </x:c>
      <x:c r="AC63" s="62" t="str">
        <x:f>IF(MONTH(I63)=VALUE(RIGHT(H63,2)),"OK","FAIL")</x:f>
        <x:v>OK</x:v>
      </x:c>
      <x:c r="AD63" s="62" t="str">
        <x:f>"OK"</x:f>
        <x:v>OK</x:v>
      </x:c>
    </x:row>
    <x:row r="64">
      <x:c r="A64" s="62" t="str">
        <x:v>OCC|2025|5018|10|PR|64</x:v>
      </x:c>
      <x:c r="B64" s="62" t="str">
        <x:v>CORRECTED</x:v>
      </x:c>
      <x:c r="C64" s="62" t="str">
        <x:v>5018</x:v>
      </x:c>
      <x:c r="D64" s="62" t="str">
        <x:v>10</x:v>
      </x:c>
      <x:c r="E64" s="62" t="str">
        <x:v>购买申请</x:v>
      </x:c>
      <x:c r="F64" s="62" t="str">
        <x:v>PR</x:v>
      </x:c>
      <x:c r="G64" s="62" t="str">
        <x:v>2025-007</x:v>
      </x:c>
      <x:c r="H64" s="62" t="str">
        <x:v>2025-07</x:v>
      </x:c>
      <x:c r="I64" s="74" t="n">
        <x:v>45853</x:v>
      </x:c>
      <x:c r="J64" s="74" t="n">
        <x:v>45853</x:v>
      </x:c>
      <x:c r="K64" s="81" t="n">
        <x:v>-2.32</x:v>
      </x:c>
      <x:c r="L64" s="81" t="n">
        <x:v>-2.32</x:v>
      </x:c>
      <x:c r="M64" s="62" t="str">
        <x:v>业务支持费</x:v>
      </x:c>
      <x:c r="N64" s="62" t="str">
        <x:v>冲销购买申请</x:v>
      </x:c>
      <x:c r="O64" s="62" t="str">
        <x:v>北京核工院</x:v>
      </x:c>
      <x:c r="P64" s="62" t="str">
        <x:v>苏州热工</x:v>
      </x:c>
      <x:c r="Q64" s="62" t="str">
        <x:v>国电智深</x:v>
      </x:c>
      <x:c r="R64" s="62" t="str">
        <x:v>技术部</x:v>
      </x:c>
      <x:c r="S64" s="62" t="str">
        <x:v>PRJ-JS-热能-2025-002</x:v>
      </x:c>
      <x:c r="T64" s="62" t="str">
        <x:v>释放</x:v>
      </x:c>
      <x:c r="U64" s="86" t="n">
        <x:f>IF(AND(F64="PR",L64&gt;0),L64,0)</x:f>
        <x:v>0</x:v>
      </x:c>
      <x:c r="V64" s="86" t="n">
        <x:f>IF(AND(F64="PR",L64&gt;0,MONTH(I64)=12),L64,0)</x:f>
        <x:v>0</x:v>
      </x:c>
      <x:c r="W64" s="74" t="n">
        <x:v>46022</x:v>
      </x:c>
      <x:c r="X64" s="62" t="str">
        <x:v>OCC|2025|5018|10|PR|62</x:v>
      </x:c>
      <x:c r="Y64" s="62" t="str">
        <x:v>2025年预算占用.XLSX</x:v>
      </x:c>
      <x:c r="Z64" s="62" t="str">
        <x:v>Sheet</x:v>
      </x:c>
      <x:c r="AA64" s="62" t="n">
        <x:v>64</x:v>
      </x:c>
      <x:c r="AB64" s="62" t="str">
        <x:v>5018|10|PR|2025-07-15|64</x:v>
      </x:c>
      <x:c r="AC64" s="62" t="str">
        <x:f>IF(MONTH(I64)=VALUE(RIGHT(H64,2)),"OK","FAIL")</x:f>
        <x:v>OK</x:v>
      </x:c>
      <x:c r="AD64" s="62" t="str">
        <x:f>IF(ABS(L64)&lt;=SUMIFS($L$2:$L$109,$C$2:$C$109,C64,$D$2:$D$109,D64,$F$2:$F$109,F64,$L$2:$L$109,"&gt;0"),"OK","FAIL")</x:f>
        <x:v>OK</x:v>
      </x:c>
    </x:row>
    <x:row r="65">
      <x:c r="A65" s="62" t="str">
        <x:v>OCC|2025|5019|10|PR|65</x:v>
      </x:c>
      <x:c r="B65" s="62" t="str">
        <x:v>SOURCE</x:v>
      </x:c>
      <x:c r="C65" s="62" t="str">
        <x:v>5019</x:v>
      </x:c>
      <x:c r="D65" s="62" t="str">
        <x:v>10</x:v>
      </x:c>
      <x:c r="E65" s="62" t="str">
        <x:v>购买申请</x:v>
      </x:c>
      <x:c r="F65" s="62" t="str">
        <x:v>PR</x:v>
      </x:c>
      <x:c r="G65" s="62" t="str">
        <x:v>2025-008</x:v>
      </x:c>
      <x:c r="H65" s="62" t="str">
        <x:v>2025-08</x:v>
      </x:c>
      <x:c r="I65" s="74" t="n">
        <x:v>45879</x:v>
      </x:c>
      <x:c r="J65" s="74" t="n">
        <x:v>45879</x:v>
      </x:c>
      <x:c r="K65" s="81" t="n">
        <x:v>12.43</x:v>
      </x:c>
      <x:c r="L65" s="81" t="n">
        <x:v>12.43</x:v>
      </x:c>
      <x:c r="M65" s="62" t="str">
        <x:v>业务支持费</x:v>
      </x:c>
      <x:c r="N65" s="62" t="str">
        <x:v>技术配置-采购申请</x:v>
      </x:c>
      <x:c r="O65" s="62" t="str">
        <x:v>苏州热工</x:v>
      </x:c>
      <x:c r="P65" s="62" t="str">
        <x:v>苏州热工</x:v>
      </x:c>
      <x:c r="Q65" s="62" t="str">
        <x:v>华能服务</x:v>
      </x:c>
      <x:c r="R65" s="62" t="str">
        <x:v>技术部</x:v>
      </x:c>
      <x:c r="S65" s="62" t="str">
        <x:v>PRJ-JS-热能-2025-002</x:v>
      </x:c>
      <x:c r="T65" s="62" t="str">
        <x:v>正向</x:v>
      </x:c>
      <x:c r="U65" s="86" t="n">
        <x:f>IF(AND(F65="PR",L65&gt;0),L65,0)</x:f>
        <x:v>12.43</x:v>
      </x:c>
      <x:c r="V65" s="86" t="n">
        <x:f>IF(AND(F65="PR",L65&gt;0,MONTH(I65)=12),L65,0)</x:f>
        <x:v>0</x:v>
      </x:c>
      <x:c r="W65" s="74" t="n">
        <x:v>46022</x:v>
      </x:c>
      <x:c r="X65" s="62" t="str"/>
      <x:c r="Y65" s="62" t="str">
        <x:v>2025年预算占用.XLSX</x:v>
      </x:c>
      <x:c r="Z65" s="62" t="str">
        <x:v>Sheet</x:v>
      </x:c>
      <x:c r="AA65" s="62" t="n">
        <x:v>65</x:v>
      </x:c>
      <x:c r="AB65" s="62" t="str">
        <x:v>5019|10|PR|2025-08-10|65</x:v>
      </x:c>
      <x:c r="AC65" s="62" t="str">
        <x:f>IF(MONTH(I65)=VALUE(RIGHT(H65,2)),"OK","FAIL")</x:f>
        <x:v>OK</x:v>
      </x:c>
      <x:c r="AD65" s="62" t="str">
        <x:f>"OK"</x:f>
        <x:v>OK</x:v>
      </x:c>
    </x:row>
    <x:row r="66">
      <x:c r="A66" s="62" t="str">
        <x:v>OCC|2025|5019|20|PO|66</x:v>
      </x:c>
      <x:c r="B66" s="62" t="str">
        <x:v>SOURCE</x:v>
      </x:c>
      <x:c r="C66" s="62" t="str">
        <x:v>5019</x:v>
      </x:c>
      <x:c r="D66" s="62" t="str">
        <x:v>20</x:v>
      </x:c>
      <x:c r="E66" s="62" t="str">
        <x:v>采购订单</x:v>
      </x:c>
      <x:c r="F66" s="62" t="str">
        <x:v>PO</x:v>
      </x:c>
      <x:c r="G66" s="62" t="str">
        <x:v>2025-008</x:v>
      </x:c>
      <x:c r="H66" s="62" t="str">
        <x:v>2025-08</x:v>
      </x:c>
      <x:c r="I66" s="74" t="n">
        <x:v>45884</x:v>
      </x:c>
      <x:c r="J66" s="74" t="n">
        <x:v>45884</x:v>
      </x:c>
      <x:c r="K66" s="81" t="n">
        <x:v>11.81</x:v>
      </x:c>
      <x:c r="L66" s="81" t="n">
        <x:v>11.81</x:v>
      </x:c>
      <x:c r="M66" s="62" t="str">
        <x:v>业务支持费</x:v>
      </x:c>
      <x:c r="N66" s="62" t="str">
        <x:v>技术配置-采购订单</x:v>
      </x:c>
      <x:c r="O66" s="62" t="str">
        <x:v>华能服务</x:v>
      </x:c>
      <x:c r="P66" s="62" t="str">
        <x:v>华能服务</x:v>
      </x:c>
      <x:c r="Q66" s="62" t="str">
        <x:v>华能服务</x:v>
      </x:c>
      <x:c r="R66" s="62" t="str">
        <x:v>技术部</x:v>
      </x:c>
      <x:c r="S66" s="62" t="str">
        <x:v>PRJ-JS-热能-2025-002</x:v>
      </x:c>
      <x:c r="T66" s="62" t="str">
        <x:v>正向</x:v>
      </x:c>
      <x:c r="U66" s="86" t="n">
        <x:f>IF(AND(F66="PR",L66&gt;0),L66,0)</x:f>
        <x:v>0</x:v>
      </x:c>
      <x:c r="V66" s="86" t="n">
        <x:f>IF(AND(F66="PR",L66&gt;0,MONTH(I66)=12),L66,0)</x:f>
        <x:v>0</x:v>
      </x:c>
      <x:c r="W66" s="74" t="n">
        <x:v>46022</x:v>
      </x:c>
      <x:c r="X66" s="62" t="str"/>
      <x:c r="Y66" s="62" t="str">
        <x:v>2025年预算占用.XLSX</x:v>
      </x:c>
      <x:c r="Z66" s="62" t="str">
        <x:v>Sheet</x:v>
      </x:c>
      <x:c r="AA66" s="62" t="n">
        <x:v>66</x:v>
      </x:c>
      <x:c r="AB66" s="62" t="str">
        <x:v>5019|20|PO|2025-08-15|66</x:v>
      </x:c>
      <x:c r="AC66" s="62" t="str">
        <x:f>IF(MONTH(I66)=VALUE(RIGHT(H66,2)),"OK","FAIL")</x:f>
        <x:v>OK</x:v>
      </x:c>
      <x:c r="AD66" s="62" t="str">
        <x:f>"OK"</x:f>
        <x:v>OK</x:v>
      </x:c>
    </x:row>
    <x:row r="67">
      <x:c r="A67" s="62" t="str">
        <x:v>OCC|2025|5019|10|PR|67</x:v>
      </x:c>
      <x:c r="B67" s="62" t="str">
        <x:v>CORRECTED</x:v>
      </x:c>
      <x:c r="C67" s="62" t="str">
        <x:v>5019</x:v>
      </x:c>
      <x:c r="D67" s="62" t="str">
        <x:v>10</x:v>
      </x:c>
      <x:c r="E67" s="62" t="str">
        <x:v>购买申请</x:v>
      </x:c>
      <x:c r="F67" s="62" t="str">
        <x:v>PR</x:v>
      </x:c>
      <x:c r="G67" s="62" t="str">
        <x:v>2025-008</x:v>
      </x:c>
      <x:c r="H67" s="62" t="str">
        <x:v>2025-08</x:v>
      </x:c>
      <x:c r="I67" s="74" t="n">
        <x:v>45884</x:v>
      </x:c>
      <x:c r="J67" s="74" t="n">
        <x:v>45884</x:v>
      </x:c>
      <x:c r="K67" s="81" t="n">
        <x:v>-12.43</x:v>
      </x:c>
      <x:c r="L67" s="81" t="n">
        <x:v>-12.43</x:v>
      </x:c>
      <x:c r="M67" s="62" t="str">
        <x:v>业务支持费</x:v>
      </x:c>
      <x:c r="N67" s="62" t="str">
        <x:v>冲销购买申请</x:v>
      </x:c>
      <x:c r="O67" s="62" t="str">
        <x:v>国电智深</x:v>
      </x:c>
      <x:c r="P67" s="62" t="str">
        <x:v>苏州热工</x:v>
      </x:c>
      <x:c r="Q67" s="62" t="str">
        <x:v>华能服务</x:v>
      </x:c>
      <x:c r="R67" s="62" t="str">
        <x:v>技术部</x:v>
      </x:c>
      <x:c r="S67" s="62" t="str">
        <x:v>PRJ-JS-热能-2025-002</x:v>
      </x:c>
      <x:c r="T67" s="62" t="str">
        <x:v>释放</x:v>
      </x:c>
      <x:c r="U67" s="86" t="n">
        <x:f>IF(AND(F67="PR",L67&gt;0),L67,0)</x:f>
        <x:v>0</x:v>
      </x:c>
      <x:c r="V67" s="86" t="n">
        <x:f>IF(AND(F67="PR",L67&gt;0,MONTH(I67)=12),L67,0)</x:f>
        <x:v>0</x:v>
      </x:c>
      <x:c r="W67" s="74" t="n">
        <x:v>46022</x:v>
      </x:c>
      <x:c r="X67" s="62" t="str">
        <x:v>OCC|2025|5019|10|PR|65</x:v>
      </x:c>
      <x:c r="Y67" s="62" t="str">
        <x:v>2025年预算占用.XLSX</x:v>
      </x:c>
      <x:c r="Z67" s="62" t="str">
        <x:v>Sheet</x:v>
      </x:c>
      <x:c r="AA67" s="62" t="n">
        <x:v>67</x:v>
      </x:c>
      <x:c r="AB67" s="62" t="str">
        <x:v>5019|10|PR|2025-08-15|67</x:v>
      </x:c>
      <x:c r="AC67" s="62" t="str">
        <x:f>IF(MONTH(I67)=VALUE(RIGHT(H67,2)),"OK","FAIL")</x:f>
        <x:v>OK</x:v>
      </x:c>
      <x:c r="AD67" s="62" t="str">
        <x:f>IF(ABS(L67)&lt;=SUMIFS($L$2:$L$109,$C$2:$C$109,C67,$D$2:$D$109,D67,$F$2:$F$109,F67,$L$2:$L$109,"&gt;0"),"OK","FAIL")</x:f>
        <x:v>OK</x:v>
      </x:c>
    </x:row>
    <x:row r="68">
      <x:c r="A68" s="62" t="str">
        <x:v>OCC|2025|5020|10|PR|68</x:v>
      </x:c>
      <x:c r="B68" s="62" t="str">
        <x:v>SOURCE</x:v>
      </x:c>
      <x:c r="C68" s="62" t="str">
        <x:v>5020</x:v>
      </x:c>
      <x:c r="D68" s="62" t="str">
        <x:v>10</x:v>
      </x:c>
      <x:c r="E68" s="62" t="str">
        <x:v>购买申请</x:v>
      </x:c>
      <x:c r="F68" s="62" t="str">
        <x:v>PR</x:v>
      </x:c>
      <x:c r="G68" s="62" t="str">
        <x:v>2025-009</x:v>
      </x:c>
      <x:c r="H68" s="62" t="str">
        <x:v>2025-09</x:v>
      </x:c>
      <x:c r="I68" s="74" t="n">
        <x:v>45910</x:v>
      </x:c>
      <x:c r="J68" s="74" t="n">
        <x:v>45910</x:v>
      </x:c>
      <x:c r="K68" s="81" t="n">
        <x:v>4.07</x:v>
      </x:c>
      <x:c r="L68" s="81" t="n">
        <x:v>4.07</x:v>
      </x:c>
      <x:c r="M68" s="62" t="str">
        <x:v>业务支持费</x:v>
      </x:c>
      <x:c r="N68" s="62" t="str">
        <x:v>技术配置-采购申请</x:v>
      </x:c>
      <x:c r="O68" s="62" t="str">
        <x:v>苏州热工</x:v>
      </x:c>
      <x:c r="P68" s="62" t="str">
        <x:v>苏州热工</x:v>
      </x:c>
      <x:c r="Q68" s="62" t="str">
        <x:v>中核运维</x:v>
      </x:c>
      <x:c r="R68" s="62" t="str">
        <x:v>技术部</x:v>
      </x:c>
      <x:c r="S68" s="62" t="str">
        <x:v>PRJ-JS-热能-2025-002</x:v>
      </x:c>
      <x:c r="T68" s="62" t="str">
        <x:v>正向</x:v>
      </x:c>
      <x:c r="U68" s="86" t="n">
        <x:f>IF(AND(F68="PR",L68&gt;0),L68,0)</x:f>
        <x:v>4.07</x:v>
      </x:c>
      <x:c r="V68" s="86" t="n">
        <x:f>IF(AND(F68="PR",L68&gt;0,MONTH(I68)=12),L68,0)</x:f>
        <x:v>0</x:v>
      </x:c>
      <x:c r="W68" s="74" t="n">
        <x:v>46022</x:v>
      </x:c>
      <x:c r="X68" s="62" t="str"/>
      <x:c r="Y68" s="62" t="str">
        <x:v>2025年预算占用.XLSX</x:v>
      </x:c>
      <x:c r="Z68" s="62" t="str">
        <x:v>Sheet</x:v>
      </x:c>
      <x:c r="AA68" s="62" t="n">
        <x:v>68</x:v>
      </x:c>
      <x:c r="AB68" s="62" t="str">
        <x:v>5020|10|PR|2025-09-10|68</x:v>
      </x:c>
      <x:c r="AC68" s="62" t="str">
        <x:f>IF(MONTH(I68)=VALUE(RIGHT(H68,2)),"OK","FAIL")</x:f>
        <x:v>OK</x:v>
      </x:c>
      <x:c r="AD68" s="62" t="str">
        <x:f>"OK"</x:f>
        <x:v>OK</x:v>
      </x:c>
    </x:row>
    <x:row r="69">
      <x:c r="A69" s="62" t="str">
        <x:v>OCC|2025|5020|20|PO|69</x:v>
      </x:c>
      <x:c r="B69" s="62" t="str">
        <x:v>SOURCE</x:v>
      </x:c>
      <x:c r="C69" s="62" t="str">
        <x:v>5020</x:v>
      </x:c>
      <x:c r="D69" s="62" t="str">
        <x:v>20</x:v>
      </x:c>
      <x:c r="E69" s="62" t="str">
        <x:v>采购订单</x:v>
      </x:c>
      <x:c r="F69" s="62" t="str">
        <x:v>PO</x:v>
      </x:c>
      <x:c r="G69" s="62" t="str">
        <x:v>2025-009</x:v>
      </x:c>
      <x:c r="H69" s="62" t="str">
        <x:v>2025-09</x:v>
      </x:c>
      <x:c r="I69" s="74" t="n">
        <x:v>45915</x:v>
      </x:c>
      <x:c r="J69" s="74" t="n">
        <x:v>45915</x:v>
      </x:c>
      <x:c r="K69" s="81" t="n">
        <x:v>3.87</x:v>
      </x:c>
      <x:c r="L69" s="81" t="n">
        <x:v>3.87</x:v>
      </x:c>
      <x:c r="M69" s="62" t="str">
        <x:v>业务支持费</x:v>
      </x:c>
      <x:c r="N69" s="62" t="str">
        <x:v>技术配置-采购订单</x:v>
      </x:c>
      <x:c r="O69" s="62" t="str">
        <x:v>中核运维</x:v>
      </x:c>
      <x:c r="P69" s="62" t="str">
        <x:v>中核运维</x:v>
      </x:c>
      <x:c r="Q69" s="62" t="str">
        <x:v>中核运维</x:v>
      </x:c>
      <x:c r="R69" s="62" t="str">
        <x:v>技术部</x:v>
      </x:c>
      <x:c r="S69" s="62" t="str">
        <x:v>PRJ-JS-热能-2025-002</x:v>
      </x:c>
      <x:c r="T69" s="62" t="str">
        <x:v>正向</x:v>
      </x:c>
      <x:c r="U69" s="86" t="n">
        <x:f>IF(AND(F69="PR",L69&gt;0),L69,0)</x:f>
        <x:v>0</x:v>
      </x:c>
      <x:c r="V69" s="86" t="n">
        <x:f>IF(AND(F69="PR",L69&gt;0,MONTH(I69)=12),L69,0)</x:f>
        <x:v>0</x:v>
      </x:c>
      <x:c r="W69" s="74" t="n">
        <x:v>46022</x:v>
      </x:c>
      <x:c r="X69" s="62" t="str"/>
      <x:c r="Y69" s="62" t="str">
        <x:v>2025年预算占用.XLSX</x:v>
      </x:c>
      <x:c r="Z69" s="62" t="str">
        <x:v>Sheet</x:v>
      </x:c>
      <x:c r="AA69" s="62" t="n">
        <x:v>69</x:v>
      </x:c>
      <x:c r="AB69" s="62" t="str">
        <x:v>5020|20|PO|2025-09-15|69</x:v>
      </x:c>
      <x:c r="AC69" s="62" t="str">
        <x:f>IF(MONTH(I69)=VALUE(RIGHT(H69,2)),"OK","FAIL")</x:f>
        <x:v>OK</x:v>
      </x:c>
      <x:c r="AD69" s="62" t="str">
        <x:f>"OK"</x:f>
        <x:v>OK</x:v>
      </x:c>
    </x:row>
    <x:row r="70">
      <x:c r="A70" s="62" t="str">
        <x:v>OCC|2025|5020|10|PR|70</x:v>
      </x:c>
      <x:c r="B70" s="62" t="str">
        <x:v>CORRECTED</x:v>
      </x:c>
      <x:c r="C70" s="62" t="str">
        <x:v>5020</x:v>
      </x:c>
      <x:c r="D70" s="62" t="str">
        <x:v>10</x:v>
      </x:c>
      <x:c r="E70" s="62" t="str">
        <x:v>购买申请</x:v>
      </x:c>
      <x:c r="F70" s="62" t="str">
        <x:v>PR</x:v>
      </x:c>
      <x:c r="G70" s="62" t="str">
        <x:v>2025-009</x:v>
      </x:c>
      <x:c r="H70" s="62" t="str">
        <x:v>2025-09</x:v>
      </x:c>
      <x:c r="I70" s="74" t="n">
        <x:v>45915</x:v>
      </x:c>
      <x:c r="J70" s="74" t="n">
        <x:v>45915</x:v>
      </x:c>
      <x:c r="K70" s="81" t="n">
        <x:v>-4.07</x:v>
      </x:c>
      <x:c r="L70" s="81" t="n">
        <x:v>-4.07</x:v>
      </x:c>
      <x:c r="M70" s="62" t="str">
        <x:v>业务支持费</x:v>
      </x:c>
      <x:c r="N70" s="62" t="str">
        <x:v>冲销购买申请</x:v>
      </x:c>
      <x:c r="O70" s="62" t="str">
        <x:v>北京核工院</x:v>
      </x:c>
      <x:c r="P70" s="62" t="str">
        <x:v>苏州热工</x:v>
      </x:c>
      <x:c r="Q70" s="62" t="str">
        <x:v>中核运维</x:v>
      </x:c>
      <x:c r="R70" s="62" t="str">
        <x:v>技术部</x:v>
      </x:c>
      <x:c r="S70" s="62" t="str">
        <x:v>PRJ-JS-热能-2025-002</x:v>
      </x:c>
      <x:c r="T70" s="62" t="str">
        <x:v>释放</x:v>
      </x:c>
      <x:c r="U70" s="86" t="n">
        <x:f>IF(AND(F70="PR",L70&gt;0),L70,0)</x:f>
        <x:v>0</x:v>
      </x:c>
      <x:c r="V70" s="86" t="n">
        <x:f>IF(AND(F70="PR",L70&gt;0,MONTH(I70)=12),L70,0)</x:f>
        <x:v>0</x:v>
      </x:c>
      <x:c r="W70" s="74" t="n">
        <x:v>46022</x:v>
      </x:c>
      <x:c r="X70" s="62" t="str">
        <x:v>OCC|2025|5020|10|PR|68</x:v>
      </x:c>
      <x:c r="Y70" s="62" t="str">
        <x:v>2025年预算占用.XLSX</x:v>
      </x:c>
      <x:c r="Z70" s="62" t="str">
        <x:v>Sheet</x:v>
      </x:c>
      <x:c r="AA70" s="62" t="n">
        <x:v>70</x:v>
      </x:c>
      <x:c r="AB70" s="62" t="str">
        <x:v>5020|10|PR|2025-09-15|70</x:v>
      </x:c>
      <x:c r="AC70" s="62" t="str">
        <x:f>IF(MONTH(I70)=VALUE(RIGHT(H70,2)),"OK","FAIL")</x:f>
        <x:v>OK</x:v>
      </x:c>
      <x:c r="AD70" s="62" t="str">
        <x:f>IF(ABS(L70)&lt;=SUMIFS($L$2:$L$109,$C$2:$C$109,C70,$D$2:$D$109,D70,$F$2:$F$109,F70,$L$2:$L$109,"&gt;0"),"OK","FAIL")</x:f>
        <x:v>OK</x:v>
      </x:c>
    </x:row>
    <x:row r="71">
      <x:c r="A71" s="62" t="str">
        <x:v>OCC|2025|5021|10|PR|71</x:v>
      </x:c>
      <x:c r="B71" s="62" t="str">
        <x:v>SOURCE</x:v>
      </x:c>
      <x:c r="C71" s="62" t="str">
        <x:v>5021</x:v>
      </x:c>
      <x:c r="D71" s="62" t="str">
        <x:v>10</x:v>
      </x:c>
      <x:c r="E71" s="62" t="str">
        <x:v>购买申请</x:v>
      </x:c>
      <x:c r="F71" s="62" t="str">
        <x:v>PR</x:v>
      </x:c>
      <x:c r="G71" s="62" t="str">
        <x:v>2025-010</x:v>
      </x:c>
      <x:c r="H71" s="62" t="str">
        <x:v>2025-10</x:v>
      </x:c>
      <x:c r="I71" s="74" t="n">
        <x:v>45940</x:v>
      </x:c>
      <x:c r="J71" s="74" t="n">
        <x:v>45940</x:v>
      </x:c>
      <x:c r="K71" s="81" t="n">
        <x:v>13.34</x:v>
      </x:c>
      <x:c r="L71" s="81" t="n">
        <x:v>13.34</x:v>
      </x:c>
      <x:c r="M71" s="62" t="str">
        <x:v>业务支持费</x:v>
      </x:c>
      <x:c r="N71" s="62" t="str">
        <x:v>技术配置-采购申请</x:v>
      </x:c>
      <x:c r="O71" s="62" t="str">
        <x:v>北京核工院</x:v>
      </x:c>
      <x:c r="P71" s="62" t="str">
        <x:v>北京核工院</x:v>
      </x:c>
      <x:c r="Q71" s="62" t="str">
        <x:v>北京核工院</x:v>
      </x:c>
      <x:c r="R71" s="62" t="str">
        <x:v>技术部</x:v>
      </x:c>
      <x:c r="S71" s="62" t="str">
        <x:v>PRJ-JS-热能-2025-002</x:v>
      </x:c>
      <x:c r="T71" s="62" t="str">
        <x:v>正向</x:v>
      </x:c>
      <x:c r="U71" s="86" t="n">
        <x:f>IF(AND(F71="PR",L71&gt;0),L71,0)</x:f>
        <x:v>13.34</x:v>
      </x:c>
      <x:c r="V71" s="86" t="n">
        <x:f>IF(AND(F71="PR",L71&gt;0,MONTH(I71)=12),L71,0)</x:f>
        <x:v>0</x:v>
      </x:c>
      <x:c r="W71" s="74" t="n">
        <x:v>46022</x:v>
      </x:c>
      <x:c r="X71" s="62" t="str"/>
      <x:c r="Y71" s="62" t="str">
        <x:v>2025年预算占用.XLSX</x:v>
      </x:c>
      <x:c r="Z71" s="62" t="str">
        <x:v>Sheet</x:v>
      </x:c>
      <x:c r="AA71" s="62" t="n">
        <x:v>71</x:v>
      </x:c>
      <x:c r="AB71" s="62" t="str">
        <x:v>5021|10|PR|2025-10-10|71</x:v>
      </x:c>
      <x:c r="AC71" s="62" t="str">
        <x:f>IF(MONTH(I71)=VALUE(RIGHT(H71,2)),"OK","FAIL")</x:f>
        <x:v>OK</x:v>
      </x:c>
      <x:c r="AD71" s="62" t="str">
        <x:f>"OK"</x:f>
        <x:v>OK</x:v>
      </x:c>
    </x:row>
    <x:row r="72">
      <x:c r="A72" s="62" t="str">
        <x:v>OCC|2025|5022|10|PR|72</x:v>
      </x:c>
      <x:c r="B72" s="62" t="str">
        <x:v>SOURCE</x:v>
      </x:c>
      <x:c r="C72" s="62" t="str">
        <x:v>5022</x:v>
      </x:c>
      <x:c r="D72" s="62" t="str">
        <x:v>10</x:v>
      </x:c>
      <x:c r="E72" s="62" t="str">
        <x:v>购买申请</x:v>
      </x:c>
      <x:c r="F72" s="62" t="str">
        <x:v>PR</x:v>
      </x:c>
      <x:c r="G72" s="62" t="str">
        <x:v>2025-011</x:v>
      </x:c>
      <x:c r="H72" s="62" t="str">
        <x:v>2025-11</x:v>
      </x:c>
      <x:c r="I72" s="74" t="n">
        <x:v>45971</x:v>
      </x:c>
      <x:c r="J72" s="74" t="n">
        <x:v>45971</x:v>
      </x:c>
      <x:c r="K72" s="81" t="n">
        <x:v>4.89</x:v>
      </x:c>
      <x:c r="L72" s="81" t="n">
        <x:v>4.89</x:v>
      </x:c>
      <x:c r="M72" s="62" t="str">
        <x:v>业务支持费</x:v>
      </x:c>
      <x:c r="N72" s="62" t="str">
        <x:v>技术配置-采购申请</x:v>
      </x:c>
      <x:c r="O72" s="62" t="str">
        <x:v>北京核工院</x:v>
      </x:c>
      <x:c r="P72" s="62" t="str">
        <x:v>北京核工院</x:v>
      </x:c>
      <x:c r="Q72" s="62" t="str">
        <x:v>北京核工院</x:v>
      </x:c>
      <x:c r="R72" s="62" t="str">
        <x:v>技术部</x:v>
      </x:c>
      <x:c r="S72" s="62" t="str">
        <x:v>PRJ-JS-热能-2025-002</x:v>
      </x:c>
      <x:c r="T72" s="62" t="str">
        <x:v>正向</x:v>
      </x:c>
      <x:c r="U72" s="86" t="n">
        <x:f>IF(AND(F72="PR",L72&gt;0),L72,0)</x:f>
        <x:v>4.89</x:v>
      </x:c>
      <x:c r="V72" s="86" t="n">
        <x:f>IF(AND(F72="PR",L72&gt;0,MONTH(I72)=12),L72,0)</x:f>
        <x:v>0</x:v>
      </x:c>
      <x:c r="W72" s="74" t="n">
        <x:v>46022</x:v>
      </x:c>
      <x:c r="X72" s="62" t="str"/>
      <x:c r="Y72" s="62" t="str">
        <x:v>2025年预算占用.XLSX</x:v>
      </x:c>
      <x:c r="Z72" s="62" t="str">
        <x:v>Sheet</x:v>
      </x:c>
      <x:c r="AA72" s="62" t="n">
        <x:v>72</x:v>
      </x:c>
      <x:c r="AB72" s="62" t="str">
        <x:v>5022|10|PR|2025-11-10|72</x:v>
      </x:c>
      <x:c r="AC72" s="62" t="str">
        <x:f>IF(MONTH(I72)=VALUE(RIGHT(H72,2)),"OK","FAIL")</x:f>
        <x:v>OK</x:v>
      </x:c>
      <x:c r="AD72" s="62" t="str">
        <x:f>"OK"</x:f>
        <x:v>OK</x:v>
      </x:c>
    </x:row>
    <x:row r="73">
      <x:c r="A73" s="62" t="str">
        <x:v>OCC|2025|5023|10|PR|73</x:v>
      </x:c>
      <x:c r="B73" s="62" t="str">
        <x:v>SOURCE</x:v>
      </x:c>
      <x:c r="C73" s="62" t="str">
        <x:v>5023</x:v>
      </x:c>
      <x:c r="D73" s="62" t="str">
        <x:v>10</x:v>
      </x:c>
      <x:c r="E73" s="62" t="str">
        <x:v>购买申请</x:v>
      </x:c>
      <x:c r="F73" s="62" t="str">
        <x:v>PR</x:v>
      </x:c>
      <x:c r="G73" s="62" t="str">
        <x:v>2025-012</x:v>
      </x:c>
      <x:c r="H73" s="62" t="str">
        <x:v>2025-12</x:v>
      </x:c>
      <x:c r="I73" s="74" t="n">
        <x:v>46001</x:v>
      </x:c>
      <x:c r="J73" s="74" t="n">
        <x:v>46001</x:v>
      </x:c>
      <x:c r="K73" s="81" t="n">
        <x:v>6.55</x:v>
      </x:c>
      <x:c r="L73" s="81" t="n">
        <x:v>6.55</x:v>
      </x:c>
      <x:c r="M73" s="62" t="str">
        <x:v>业务支持费</x:v>
      </x:c>
      <x:c r="N73" s="62" t="str">
        <x:v>技术配置-采购申请</x:v>
      </x:c>
      <x:c r="O73" s="62" t="str">
        <x:v>华能服务</x:v>
      </x:c>
      <x:c r="P73" s="62" t="str">
        <x:v>华能服务</x:v>
      </x:c>
      <x:c r="Q73" s="62" t="str">
        <x:v>华能服务</x:v>
      </x:c>
      <x:c r="R73" s="62" t="str">
        <x:v>技术部</x:v>
      </x:c>
      <x:c r="S73" s="62" t="str">
        <x:v>PRJ-JS-热能-2025-002</x:v>
      </x:c>
      <x:c r="T73" s="62" t="str">
        <x:v>正向</x:v>
      </x:c>
      <x:c r="U73" s="86" t="n">
        <x:f>IF(AND(F73="PR",L73&gt;0),L73,0)</x:f>
        <x:v>6.55</x:v>
      </x:c>
      <x:c r="V73" s="86" t="n">
        <x:f>IF(AND(F73="PR",L73&gt;0,MONTH(I73)=12),L73,0)</x:f>
        <x:v>6.55</x:v>
      </x:c>
      <x:c r="W73" s="74" t="n">
        <x:v>46022</x:v>
      </x:c>
      <x:c r="X73" s="62" t="str"/>
      <x:c r="Y73" s="62" t="str">
        <x:v>2025年预算占用.XLSX</x:v>
      </x:c>
      <x:c r="Z73" s="62" t="str">
        <x:v>Sheet</x:v>
      </x:c>
      <x:c r="AA73" s="62" t="n">
        <x:v>73</x:v>
      </x:c>
      <x:c r="AB73" s="62" t="str">
        <x:v>5023|10|PR|2025-12-10|73</x:v>
      </x:c>
      <x:c r="AC73" s="62" t="str">
        <x:f>IF(MONTH(I73)=VALUE(RIGHT(H73,2)),"OK","FAIL")</x:f>
        <x:v>OK</x:v>
      </x:c>
      <x:c r="AD73" s="62" t="str">
        <x:f>"OK"</x:f>
        <x:v>OK</x:v>
      </x:c>
    </x:row>
    <x:row r="74">
      <x:c r="A74" s="62" t="str">
        <x:v>OCC|2025|5024|10|PR|74</x:v>
      </x:c>
      <x:c r="B74" s="62" t="str">
        <x:v>SOURCE</x:v>
      </x:c>
      <x:c r="C74" s="62" t="str">
        <x:v>5024</x:v>
      </x:c>
      <x:c r="D74" s="62" t="str">
        <x:v>10</x:v>
      </x:c>
      <x:c r="E74" s="62" t="str">
        <x:v>购买申请</x:v>
      </x:c>
      <x:c r="F74" s="62" t="str">
        <x:v>PR</x:v>
      </x:c>
      <x:c r="G74" s="62" t="str">
        <x:v>2025-001</x:v>
      </x:c>
      <x:c r="H74" s="62" t="str">
        <x:v>2025-01</x:v>
      </x:c>
      <x:c r="I74" s="74" t="n">
        <x:v>45667</x:v>
      </x:c>
      <x:c r="J74" s="74" t="n">
        <x:v>45667</x:v>
      </x:c>
      <x:c r="K74" s="81" t="n">
        <x:v>4.9</x:v>
      </x:c>
      <x:c r="L74" s="81" t="n">
        <x:v>4.9</x:v>
      </x:c>
      <x:c r="M74" s="62" t="str">
        <x:v>业务支持费</x:v>
      </x:c>
      <x:c r="N74" s="62" t="str">
        <x:v>技术配置-采购申请</x:v>
      </x:c>
      <x:c r="O74" s="62" t="str">
        <x:v>苏州热工</x:v>
      </x:c>
      <x:c r="P74" s="62" t="str">
        <x:v>苏州热工</x:v>
      </x:c>
      <x:c r="Q74" s="62" t="str">
        <x:v>华能服务</x:v>
      </x:c>
      <x:c r="R74" s="62" t="str">
        <x:v>安全运行部</x:v>
      </x:c>
      <x:c r="S74" s="62" t="str">
        <x:v>PRJ-AQ-概率-2025-002</x:v>
      </x:c>
      <x:c r="T74" s="62" t="str">
        <x:v>正向</x:v>
      </x:c>
      <x:c r="U74" s="86" t="n">
        <x:f>IF(AND(F74="PR",L74&gt;0),L74,0)</x:f>
        <x:v>4.9</x:v>
      </x:c>
      <x:c r="V74" s="86" t="n">
        <x:f>IF(AND(F74="PR",L74&gt;0,MONTH(I74)=12),L74,0)</x:f>
        <x:v>0</x:v>
      </x:c>
      <x:c r="W74" s="74" t="n">
        <x:v>46022</x:v>
      </x:c>
      <x:c r="X74" s="62" t="str"/>
      <x:c r="Y74" s="62" t="str">
        <x:v>2025年预算占用.XLSX</x:v>
      </x:c>
      <x:c r="Z74" s="62" t="str">
        <x:v>Sheet</x:v>
      </x:c>
      <x:c r="AA74" s="62" t="n">
        <x:v>74</x:v>
      </x:c>
      <x:c r="AB74" s="62" t="str">
        <x:v>5024|10|PR|2025-01-10|74</x:v>
      </x:c>
      <x:c r="AC74" s="62" t="str">
        <x:f>IF(MONTH(I74)=VALUE(RIGHT(H74,2)),"OK","FAIL")</x:f>
        <x:v>OK</x:v>
      </x:c>
      <x:c r="AD74" s="62" t="str">
        <x:f>"OK"</x:f>
        <x:v>OK</x:v>
      </x:c>
    </x:row>
    <x:row r="75">
      <x:c r="A75" s="62" t="str">
        <x:v>OCC|2025|5024|20|PO|75</x:v>
      </x:c>
      <x:c r="B75" s="62" t="str">
        <x:v>SOURCE</x:v>
      </x:c>
      <x:c r="C75" s="62" t="str">
        <x:v>5024</x:v>
      </x:c>
      <x:c r="D75" s="62" t="str">
        <x:v>20</x:v>
      </x:c>
      <x:c r="E75" s="62" t="str">
        <x:v>采购订单</x:v>
      </x:c>
      <x:c r="F75" s="62" t="str">
        <x:v>PO</x:v>
      </x:c>
      <x:c r="G75" s="62" t="str">
        <x:v>2025-001</x:v>
      </x:c>
      <x:c r="H75" s="62" t="str">
        <x:v>2025-01</x:v>
      </x:c>
      <x:c r="I75" s="74" t="n">
        <x:v>45672</x:v>
      </x:c>
      <x:c r="J75" s="74" t="n">
        <x:v>45672</x:v>
      </x:c>
      <x:c r="K75" s="81" t="n">
        <x:v>4.66</x:v>
      </x:c>
      <x:c r="L75" s="81" t="n">
        <x:v>4.66</x:v>
      </x:c>
      <x:c r="M75" s="62" t="str">
        <x:v>业务支持费</x:v>
      </x:c>
      <x:c r="N75" s="62" t="str">
        <x:v>技术配置-采购订单</x:v>
      </x:c>
      <x:c r="O75" s="62" t="str">
        <x:v>华能服务</x:v>
      </x:c>
      <x:c r="P75" s="62" t="str">
        <x:v>华能服务</x:v>
      </x:c>
      <x:c r="Q75" s="62" t="str">
        <x:v>华能服务</x:v>
      </x:c>
      <x:c r="R75" s="62" t="str">
        <x:v>安全运行部</x:v>
      </x:c>
      <x:c r="S75" s="62" t="str">
        <x:v>PRJ-AQ-概率-2025-002</x:v>
      </x:c>
      <x:c r="T75" s="62" t="str">
        <x:v>正向</x:v>
      </x:c>
      <x:c r="U75" s="86" t="n">
        <x:f>IF(AND(F75="PR",L75&gt;0),L75,0)</x:f>
        <x:v>0</x:v>
      </x:c>
      <x:c r="V75" s="86" t="n">
        <x:f>IF(AND(F75="PR",L75&gt;0,MONTH(I75)=12),L75,0)</x:f>
        <x:v>0</x:v>
      </x:c>
      <x:c r="W75" s="74" t="n">
        <x:v>46022</x:v>
      </x:c>
      <x:c r="X75" s="62" t="str"/>
      <x:c r="Y75" s="62" t="str">
        <x:v>2025年预算占用.XLSX</x:v>
      </x:c>
      <x:c r="Z75" s="62" t="str">
        <x:v>Sheet</x:v>
      </x:c>
      <x:c r="AA75" s="62" t="n">
        <x:v>75</x:v>
      </x:c>
      <x:c r="AB75" s="62" t="str">
        <x:v>5024|20|PO|2025-01-15|75</x:v>
      </x:c>
      <x:c r="AC75" s="62" t="str">
        <x:f>IF(MONTH(I75)=VALUE(RIGHT(H75,2)),"OK","FAIL")</x:f>
        <x:v>OK</x:v>
      </x:c>
      <x:c r="AD75" s="62" t="str">
        <x:f>"OK"</x:f>
        <x:v>OK</x:v>
      </x:c>
    </x:row>
    <x:row r="76">
      <x:c r="A76" s="62" t="str">
        <x:v>OCC|2025|5024|10|PR|76</x:v>
      </x:c>
      <x:c r="B76" s="62" t="str">
        <x:v>CORRECTED</x:v>
      </x:c>
      <x:c r="C76" s="62" t="str">
        <x:v>5024</x:v>
      </x:c>
      <x:c r="D76" s="62" t="str">
        <x:v>10</x:v>
      </x:c>
      <x:c r="E76" s="62" t="str">
        <x:v>购买申请</x:v>
      </x:c>
      <x:c r="F76" s="62" t="str">
        <x:v>PR</x:v>
      </x:c>
      <x:c r="G76" s="62" t="str">
        <x:v>2025-001</x:v>
      </x:c>
      <x:c r="H76" s="62" t="str">
        <x:v>2025-01</x:v>
      </x:c>
      <x:c r="I76" s="74" t="n">
        <x:v>45672</x:v>
      </x:c>
      <x:c r="J76" s="74" t="n">
        <x:v>45672</x:v>
      </x:c>
      <x:c r="K76" s="81" t="n">
        <x:v>-4.9</x:v>
      </x:c>
      <x:c r="L76" s="81" t="n">
        <x:v>-4.9</x:v>
      </x:c>
      <x:c r="M76" s="62" t="str">
        <x:v>业务支持费</x:v>
      </x:c>
      <x:c r="N76" s="62" t="str">
        <x:v>冲销购买申请</x:v>
      </x:c>
      <x:c r="O76" s="62" t="str">
        <x:v>北京核工院</x:v>
      </x:c>
      <x:c r="P76" s="62" t="str">
        <x:v>苏州热工</x:v>
      </x:c>
      <x:c r="Q76" s="62" t="str">
        <x:v>华能服务</x:v>
      </x:c>
      <x:c r="R76" s="62" t="str">
        <x:v>安全运行部</x:v>
      </x:c>
      <x:c r="S76" s="62" t="str">
        <x:v>PRJ-AQ-概率-2025-002</x:v>
      </x:c>
      <x:c r="T76" s="62" t="str">
        <x:v>释放</x:v>
      </x:c>
      <x:c r="U76" s="86" t="n">
        <x:f>IF(AND(F76="PR",L76&gt;0),L76,0)</x:f>
        <x:v>0</x:v>
      </x:c>
      <x:c r="V76" s="86" t="n">
        <x:f>IF(AND(F76="PR",L76&gt;0,MONTH(I76)=12),L76,0)</x:f>
        <x:v>0</x:v>
      </x:c>
      <x:c r="W76" s="74" t="n">
        <x:v>46022</x:v>
      </x:c>
      <x:c r="X76" s="62" t="str">
        <x:v>OCC|2025|5024|10|PR|74</x:v>
      </x:c>
      <x:c r="Y76" s="62" t="str">
        <x:v>2025年预算占用.XLSX</x:v>
      </x:c>
      <x:c r="Z76" s="62" t="str">
        <x:v>Sheet</x:v>
      </x:c>
      <x:c r="AA76" s="62" t="n">
        <x:v>76</x:v>
      </x:c>
      <x:c r="AB76" s="62" t="str">
        <x:v>5024|10|PR|2025-01-15|76</x:v>
      </x:c>
      <x:c r="AC76" s="62" t="str">
        <x:f>IF(MONTH(I76)=VALUE(RIGHT(H76,2)),"OK","FAIL")</x:f>
        <x:v>OK</x:v>
      </x:c>
      <x:c r="AD76" s="62" t="str">
        <x:f>IF(ABS(L76)&lt;=SUMIFS($L$2:$L$109,$C$2:$C$109,C76,$D$2:$D$109,D76,$F$2:$F$109,F76,$L$2:$L$109,"&gt;0"),"OK","FAIL")</x:f>
        <x:v>OK</x:v>
      </x:c>
    </x:row>
    <x:row r="77">
      <x:c r="A77" s="62" t="str">
        <x:v>OCC|2025|5024|20|PO|77</x:v>
      </x:c>
      <x:c r="B77" s="62" t="str">
        <x:v>CORRECTED</x:v>
      </x:c>
      <x:c r="C77" s="62" t="str">
        <x:v>5024</x:v>
      </x:c>
      <x:c r="D77" s="62" t="str">
        <x:v>20</x:v>
      </x:c>
      <x:c r="E77" s="62" t="str">
        <x:v>采购订单</x:v>
      </x:c>
      <x:c r="F77" s="62" t="str">
        <x:v>PO</x:v>
      </x:c>
      <x:c r="G77" s="62" t="str">
        <x:v>2025-001</x:v>
      </x:c>
      <x:c r="H77" s="62" t="str">
        <x:v>2025-01</x:v>
      </x:c>
      <x:c r="I77" s="74" t="n">
        <x:v>45677</x:v>
      </x:c>
      <x:c r="J77" s="74" t="n">
        <x:v>45677</x:v>
      </x:c>
      <x:c r="K77" s="81" t="n">
        <x:v>-3.73</x:v>
      </x:c>
      <x:c r="L77" s="81" t="n">
        <x:v>-3.73</x:v>
      </x:c>
      <x:c r="M77" s="62" t="str">
        <x:v>业务支持费</x:v>
      </x:c>
      <x:c r="N77" s="62" t="str">
        <x:v>确认成本冲销PO</x:v>
      </x:c>
      <x:c r="O77" s="62" t="str">
        <x:v>国电智深</x:v>
      </x:c>
      <x:c r="P77" s="62" t="str">
        <x:v>华能服务</x:v>
      </x:c>
      <x:c r="Q77" s="62" t="str">
        <x:v>华能服务</x:v>
      </x:c>
      <x:c r="R77" s="62" t="str">
        <x:v>安全运行部</x:v>
      </x:c>
      <x:c r="S77" s="62" t="str">
        <x:v>PRJ-AQ-概率-2025-002</x:v>
      </x:c>
      <x:c r="T77" s="62" t="str">
        <x:v>释放</x:v>
      </x:c>
      <x:c r="U77" s="86" t="n">
        <x:f>IF(AND(F77="PR",L77&gt;0),L77,0)</x:f>
        <x:v>0</x:v>
      </x:c>
      <x:c r="V77" s="86" t="n">
        <x:f>IF(AND(F77="PR",L77&gt;0,MONTH(I77)=12),L77,0)</x:f>
        <x:v>0</x:v>
      </x:c>
      <x:c r="W77" s="74" t="n">
        <x:v>46022</x:v>
      </x:c>
      <x:c r="X77" s="62" t="str">
        <x:v>OCC|2025|5024|20|PO|75</x:v>
      </x:c>
      <x:c r="Y77" s="62" t="str">
        <x:v>2025年预算占用.XLSX</x:v>
      </x:c>
      <x:c r="Z77" s="62" t="str">
        <x:v>Sheet</x:v>
      </x:c>
      <x:c r="AA77" s="62" t="n">
        <x:v>77</x:v>
      </x:c>
      <x:c r="AB77" s="62" t="str">
        <x:v>5024|20|PO|2025-01-20|77</x:v>
      </x:c>
      <x:c r="AC77" s="62" t="str">
        <x:f>IF(MONTH(I77)=VALUE(RIGHT(H77,2)),"OK","FAIL")</x:f>
        <x:v>OK</x:v>
      </x:c>
      <x:c r="AD77" s="62" t="str">
        <x:f>IF(ABS(L77)&lt;=SUMIFS($L$2:$L$109,$C$2:$C$109,C77,$D$2:$D$109,D77,$F$2:$F$109,F77,$L$2:$L$109,"&gt;0"),"OK","FAIL")</x:f>
        <x:v>OK</x:v>
      </x:c>
    </x:row>
    <x:row r="78">
      <x:c r="A78" s="62" t="str">
        <x:v>OCC|2025|5025|10|PR|78</x:v>
      </x:c>
      <x:c r="B78" s="62" t="str">
        <x:v>SOURCE</x:v>
      </x:c>
      <x:c r="C78" s="62" t="str">
        <x:v>5025</x:v>
      </x:c>
      <x:c r="D78" s="62" t="str">
        <x:v>10</x:v>
      </x:c>
      <x:c r="E78" s="62" t="str">
        <x:v>购买申请</x:v>
      </x:c>
      <x:c r="F78" s="62" t="str">
        <x:v>PR</x:v>
      </x:c>
      <x:c r="G78" s="62" t="str">
        <x:v>2025-002</x:v>
      </x:c>
      <x:c r="H78" s="62" t="str">
        <x:v>2025-02</x:v>
      </x:c>
      <x:c r="I78" s="74" t="n">
        <x:v>45698</x:v>
      </x:c>
      <x:c r="J78" s="74" t="n">
        <x:v>45698</x:v>
      </x:c>
      <x:c r="K78" s="81" t="n">
        <x:v>5.62</x:v>
      </x:c>
      <x:c r="L78" s="81" t="n">
        <x:v>5.62</x:v>
      </x:c>
      <x:c r="M78" s="62" t="str">
        <x:v>业务支持费</x:v>
      </x:c>
      <x:c r="N78" s="62" t="str">
        <x:v>技术配置-采购申请</x:v>
      </x:c>
      <x:c r="O78" s="62" t="str">
        <x:v>中核运维</x:v>
      </x:c>
      <x:c r="P78" s="62" t="str">
        <x:v>中核运维</x:v>
      </x:c>
      <x:c r="Q78" s="62" t="str">
        <x:v>国电智深</x:v>
      </x:c>
      <x:c r="R78" s="62" t="str">
        <x:v>安全运行部</x:v>
      </x:c>
      <x:c r="S78" s="62" t="str">
        <x:v>PRJ-AQ-概率-2025-002</x:v>
      </x:c>
      <x:c r="T78" s="62" t="str">
        <x:v>正向</x:v>
      </x:c>
      <x:c r="U78" s="86" t="n">
        <x:f>IF(AND(F78="PR",L78&gt;0),L78,0)</x:f>
        <x:v>5.62</x:v>
      </x:c>
      <x:c r="V78" s="86" t="n">
        <x:f>IF(AND(F78="PR",L78&gt;0,MONTH(I78)=12),L78,0)</x:f>
        <x:v>0</x:v>
      </x:c>
      <x:c r="W78" s="74" t="n">
        <x:v>46022</x:v>
      </x:c>
      <x:c r="X78" s="62" t="str"/>
      <x:c r="Y78" s="62" t="str">
        <x:v>2025年预算占用.XLSX</x:v>
      </x:c>
      <x:c r="Z78" s="62" t="str">
        <x:v>Sheet</x:v>
      </x:c>
      <x:c r="AA78" s="62" t="n">
        <x:v>78</x:v>
      </x:c>
      <x:c r="AB78" s="62" t="str">
        <x:v>5025|10|PR|2025-02-10|78</x:v>
      </x:c>
      <x:c r="AC78" s="62" t="str">
        <x:f>IF(MONTH(I78)=VALUE(RIGHT(H78,2)),"OK","FAIL")</x:f>
        <x:v>OK</x:v>
      </x:c>
      <x:c r="AD78" s="62" t="str">
        <x:f>"OK"</x:f>
        <x:v>OK</x:v>
      </x:c>
    </x:row>
    <x:row r="79">
      <x:c r="A79" s="62" t="str">
        <x:v>OCC|2025|5025|20|PO|79</x:v>
      </x:c>
      <x:c r="B79" s="62" t="str">
        <x:v>SOURCE</x:v>
      </x:c>
      <x:c r="C79" s="62" t="str">
        <x:v>5025</x:v>
      </x:c>
      <x:c r="D79" s="62" t="str">
        <x:v>20</x:v>
      </x:c>
      <x:c r="E79" s="62" t="str">
        <x:v>采购订单</x:v>
      </x:c>
      <x:c r="F79" s="62" t="str">
        <x:v>PO</x:v>
      </x:c>
      <x:c r="G79" s="62" t="str">
        <x:v>2025-002</x:v>
      </x:c>
      <x:c r="H79" s="62" t="str">
        <x:v>2025-02</x:v>
      </x:c>
      <x:c r="I79" s="74" t="n">
        <x:v>45703</x:v>
      </x:c>
      <x:c r="J79" s="74" t="n">
        <x:v>45703</x:v>
      </x:c>
      <x:c r="K79" s="81" t="n">
        <x:v>5.34</x:v>
      </x:c>
      <x:c r="L79" s="81" t="n">
        <x:v>5.34</x:v>
      </x:c>
      <x:c r="M79" s="62" t="str">
        <x:v>业务支持费</x:v>
      </x:c>
      <x:c r="N79" s="62" t="str">
        <x:v>技术配置-采购订单</x:v>
      </x:c>
      <x:c r="O79" s="62" t="str">
        <x:v>国电智深</x:v>
      </x:c>
      <x:c r="P79" s="62" t="str">
        <x:v>国电智深</x:v>
      </x:c>
      <x:c r="Q79" s="62" t="str">
        <x:v>国电智深</x:v>
      </x:c>
      <x:c r="R79" s="62" t="str">
        <x:v>安全运行部</x:v>
      </x:c>
      <x:c r="S79" s="62" t="str">
        <x:v>PRJ-AQ-概率-2025-002</x:v>
      </x:c>
      <x:c r="T79" s="62" t="str">
        <x:v>正向</x:v>
      </x:c>
      <x:c r="U79" s="86" t="n">
        <x:f>IF(AND(F79="PR",L79&gt;0),L79,0)</x:f>
        <x:v>0</x:v>
      </x:c>
      <x:c r="V79" s="86" t="n">
        <x:f>IF(AND(F79="PR",L79&gt;0,MONTH(I79)=12),L79,0)</x:f>
        <x:v>0</x:v>
      </x:c>
      <x:c r="W79" s="74" t="n">
        <x:v>46022</x:v>
      </x:c>
      <x:c r="X79" s="62" t="str"/>
      <x:c r="Y79" s="62" t="str">
        <x:v>2025年预算占用.XLSX</x:v>
      </x:c>
      <x:c r="Z79" s="62" t="str">
        <x:v>Sheet</x:v>
      </x:c>
      <x:c r="AA79" s="62" t="n">
        <x:v>79</x:v>
      </x:c>
      <x:c r="AB79" s="62" t="str">
        <x:v>5025|20|PO|2025-02-15|79</x:v>
      </x:c>
      <x:c r="AC79" s="62" t="str">
        <x:f>IF(MONTH(I79)=VALUE(RIGHT(H79,2)),"OK","FAIL")</x:f>
        <x:v>OK</x:v>
      </x:c>
      <x:c r="AD79" s="62" t="str">
        <x:f>"OK"</x:f>
        <x:v>OK</x:v>
      </x:c>
    </x:row>
    <x:row r="80">
      <x:c r="A80" s="62" t="str">
        <x:v>OCC|2025|5025|10|PR|80</x:v>
      </x:c>
      <x:c r="B80" s="62" t="str">
        <x:v>CORRECTED</x:v>
      </x:c>
      <x:c r="C80" s="62" t="str">
        <x:v>5025</x:v>
      </x:c>
      <x:c r="D80" s="62" t="str">
        <x:v>10</x:v>
      </x:c>
      <x:c r="E80" s="62" t="str">
        <x:v>购买申请</x:v>
      </x:c>
      <x:c r="F80" s="62" t="str">
        <x:v>PR</x:v>
      </x:c>
      <x:c r="G80" s="62" t="str">
        <x:v>2025-002</x:v>
      </x:c>
      <x:c r="H80" s="62" t="str">
        <x:v>2025-02</x:v>
      </x:c>
      <x:c r="I80" s="74" t="n">
        <x:v>45703</x:v>
      </x:c>
      <x:c r="J80" s="74" t="n">
        <x:v>45703</x:v>
      </x:c>
      <x:c r="K80" s="81" t="n">
        <x:v>-5.62</x:v>
      </x:c>
      <x:c r="L80" s="81" t="n">
        <x:v>-5.62</x:v>
      </x:c>
      <x:c r="M80" s="62" t="str">
        <x:v>业务支持费</x:v>
      </x:c>
      <x:c r="N80" s="62" t="str">
        <x:v>冲销购买申请</x:v>
      </x:c>
      <x:c r="O80" s="62" t="str">
        <x:v>国电智深</x:v>
      </x:c>
      <x:c r="P80" s="62" t="str">
        <x:v>中核运维</x:v>
      </x:c>
      <x:c r="Q80" s="62" t="str">
        <x:v>国电智深</x:v>
      </x:c>
      <x:c r="R80" s="62" t="str">
        <x:v>安全运行部</x:v>
      </x:c>
      <x:c r="S80" s="62" t="str">
        <x:v>PRJ-AQ-概率-2025-002</x:v>
      </x:c>
      <x:c r="T80" s="62" t="str">
        <x:v>释放</x:v>
      </x:c>
      <x:c r="U80" s="86" t="n">
        <x:f>IF(AND(F80="PR",L80&gt;0),L80,0)</x:f>
        <x:v>0</x:v>
      </x:c>
      <x:c r="V80" s="86" t="n">
        <x:f>IF(AND(F80="PR",L80&gt;0,MONTH(I80)=12),L80,0)</x:f>
        <x:v>0</x:v>
      </x:c>
      <x:c r="W80" s="74" t="n">
        <x:v>46022</x:v>
      </x:c>
      <x:c r="X80" s="62" t="str">
        <x:v>OCC|2025|5025|10|PR|78</x:v>
      </x:c>
      <x:c r="Y80" s="62" t="str">
        <x:v>2025年预算占用.XLSX</x:v>
      </x:c>
      <x:c r="Z80" s="62" t="str">
        <x:v>Sheet</x:v>
      </x:c>
      <x:c r="AA80" s="62" t="n">
        <x:v>80</x:v>
      </x:c>
      <x:c r="AB80" s="62" t="str">
        <x:v>5025|10|PR|2025-02-15|80</x:v>
      </x:c>
      <x:c r="AC80" s="62" t="str">
        <x:f>IF(MONTH(I80)=VALUE(RIGHT(H80,2)),"OK","FAIL")</x:f>
        <x:v>OK</x:v>
      </x:c>
      <x:c r="AD80" s="62" t="str">
        <x:f>IF(ABS(L80)&lt;=SUMIFS($L$2:$L$109,$C$2:$C$109,C80,$D$2:$D$109,D80,$F$2:$F$109,F80,$L$2:$L$109,"&gt;0"),"OK","FAIL")</x:f>
        <x:v>OK</x:v>
      </x:c>
    </x:row>
    <x:row r="81">
      <x:c r="A81" s="62" t="str">
        <x:v>OCC|2025|5025|20|PO|81</x:v>
      </x:c>
      <x:c r="B81" s="62" t="str">
        <x:v>CORRECTED</x:v>
      </x:c>
      <x:c r="C81" s="62" t="str">
        <x:v>5025</x:v>
      </x:c>
      <x:c r="D81" s="62" t="str">
        <x:v>20</x:v>
      </x:c>
      <x:c r="E81" s="62" t="str">
        <x:v>采购订单</x:v>
      </x:c>
      <x:c r="F81" s="62" t="str">
        <x:v>PO</x:v>
      </x:c>
      <x:c r="G81" s="62" t="str">
        <x:v>2025-002</x:v>
      </x:c>
      <x:c r="H81" s="62" t="str">
        <x:v>2025-02</x:v>
      </x:c>
      <x:c r="I81" s="74" t="n">
        <x:v>45708</x:v>
      </x:c>
      <x:c r="J81" s="74" t="n">
        <x:v>45708</x:v>
      </x:c>
      <x:c r="K81" s="81" t="n">
        <x:v>-4.27</x:v>
      </x:c>
      <x:c r="L81" s="81" t="n">
        <x:v>-4.27</x:v>
      </x:c>
      <x:c r="M81" s="62" t="str">
        <x:v>业务支持费</x:v>
      </x:c>
      <x:c r="N81" s="62" t="str">
        <x:v>确认成本冲销PO</x:v>
      </x:c>
      <x:c r="O81" s="62" t="str">
        <x:v>苏州热工</x:v>
      </x:c>
      <x:c r="P81" s="62" t="str">
        <x:v>国电智深</x:v>
      </x:c>
      <x:c r="Q81" s="62" t="str">
        <x:v>国电智深</x:v>
      </x:c>
      <x:c r="R81" s="62" t="str">
        <x:v>安全运行部</x:v>
      </x:c>
      <x:c r="S81" s="62" t="str">
        <x:v>PRJ-AQ-概率-2025-002</x:v>
      </x:c>
      <x:c r="T81" s="62" t="str">
        <x:v>释放</x:v>
      </x:c>
      <x:c r="U81" s="86" t="n">
        <x:f>IF(AND(F81="PR",L81&gt;0),L81,0)</x:f>
        <x:v>0</x:v>
      </x:c>
      <x:c r="V81" s="86" t="n">
        <x:f>IF(AND(F81="PR",L81&gt;0,MONTH(I81)=12),L81,0)</x:f>
        <x:v>0</x:v>
      </x:c>
      <x:c r="W81" s="74" t="n">
        <x:v>46022</x:v>
      </x:c>
      <x:c r="X81" s="62" t="str">
        <x:v>OCC|2025|5025|20|PO|79</x:v>
      </x:c>
      <x:c r="Y81" s="62" t="str">
        <x:v>2025年预算占用.XLSX</x:v>
      </x:c>
      <x:c r="Z81" s="62" t="str">
        <x:v>Sheet</x:v>
      </x:c>
      <x:c r="AA81" s="62" t="n">
        <x:v>81</x:v>
      </x:c>
      <x:c r="AB81" s="62" t="str">
        <x:v>5025|20|PO|2025-02-20|81</x:v>
      </x:c>
      <x:c r="AC81" s="62" t="str">
        <x:f>IF(MONTH(I81)=VALUE(RIGHT(H81,2)),"OK","FAIL")</x:f>
        <x:v>OK</x:v>
      </x:c>
      <x:c r="AD81" s="62" t="str">
        <x:f>IF(ABS(L81)&lt;=SUMIFS($L$2:$L$109,$C$2:$C$109,C81,$D$2:$D$109,D81,$F$2:$F$109,F81,$L$2:$L$109,"&gt;0"),"OK","FAIL")</x:f>
        <x:v>OK</x:v>
      </x:c>
    </x:row>
    <x:row r="82">
      <x:c r="A82" s="62" t="str">
        <x:v>OCC|2025|5026|10|PR|82</x:v>
      </x:c>
      <x:c r="B82" s="62" t="str">
        <x:v>SOURCE</x:v>
      </x:c>
      <x:c r="C82" s="62" t="str">
        <x:v>5026</x:v>
      </x:c>
      <x:c r="D82" s="62" t="str">
        <x:v>10</x:v>
      </x:c>
      <x:c r="E82" s="62" t="str">
        <x:v>购买申请</x:v>
      </x:c>
      <x:c r="F82" s="62" t="str">
        <x:v>PR</x:v>
      </x:c>
      <x:c r="G82" s="62" t="str">
        <x:v>2025-003</x:v>
      </x:c>
      <x:c r="H82" s="62" t="str">
        <x:v>2025-03</x:v>
      </x:c>
      <x:c r="I82" s="74" t="n">
        <x:v>45726</x:v>
      </x:c>
      <x:c r="J82" s="74" t="n">
        <x:v>45726</x:v>
      </x:c>
      <x:c r="K82" s="81" t="n">
        <x:v>8.62</x:v>
      </x:c>
      <x:c r="L82" s="81" t="n">
        <x:v>8.62</x:v>
      </x:c>
      <x:c r="M82" s="62" t="str">
        <x:v>业务支持费</x:v>
      </x:c>
      <x:c r="N82" s="62" t="str">
        <x:v>技术配置-采购申请</x:v>
      </x:c>
      <x:c r="O82" s="62" t="str">
        <x:v>苏州热工</x:v>
      </x:c>
      <x:c r="P82" s="62" t="str">
        <x:v>苏州热工</x:v>
      </x:c>
      <x:c r="Q82" s="62" t="str">
        <x:v>上海电气</x:v>
      </x:c>
      <x:c r="R82" s="62" t="str">
        <x:v>安全运行部</x:v>
      </x:c>
      <x:c r="S82" s="62" t="str">
        <x:v>PRJ-AQ-概率-2025-002</x:v>
      </x:c>
      <x:c r="T82" s="62" t="str">
        <x:v>正向</x:v>
      </x:c>
      <x:c r="U82" s="86" t="n">
        <x:f>IF(AND(F82="PR",L82&gt;0),L82,0)</x:f>
        <x:v>8.62</x:v>
      </x:c>
      <x:c r="V82" s="86" t="n">
        <x:f>IF(AND(F82="PR",L82&gt;0,MONTH(I82)=12),L82,0)</x:f>
        <x:v>0</x:v>
      </x:c>
      <x:c r="W82" s="74" t="n">
        <x:v>46022</x:v>
      </x:c>
      <x:c r="X82" s="62" t="str"/>
      <x:c r="Y82" s="62" t="str">
        <x:v>2025年预算占用.XLSX</x:v>
      </x:c>
      <x:c r="Z82" s="62" t="str">
        <x:v>Sheet</x:v>
      </x:c>
      <x:c r="AA82" s="62" t="n">
        <x:v>82</x:v>
      </x:c>
      <x:c r="AB82" s="62" t="str">
        <x:v>5026|10|PR|2025-03-10|82</x:v>
      </x:c>
      <x:c r="AC82" s="62" t="str">
        <x:f>IF(MONTH(I82)=VALUE(RIGHT(H82,2)),"OK","FAIL")</x:f>
        <x:v>OK</x:v>
      </x:c>
      <x:c r="AD82" s="62" t="str">
        <x:f>"OK"</x:f>
        <x:v>OK</x:v>
      </x:c>
    </x:row>
    <x:row r="83">
      <x:c r="A83" s="62" t="str">
        <x:v>OCC|2025|5026|20|PO|83</x:v>
      </x:c>
      <x:c r="B83" s="62" t="str">
        <x:v>SOURCE</x:v>
      </x:c>
      <x:c r="C83" s="62" t="str">
        <x:v>5026</x:v>
      </x:c>
      <x:c r="D83" s="62" t="str">
        <x:v>20</x:v>
      </x:c>
      <x:c r="E83" s="62" t="str">
        <x:v>采购订单</x:v>
      </x:c>
      <x:c r="F83" s="62" t="str">
        <x:v>PO</x:v>
      </x:c>
      <x:c r="G83" s="62" t="str">
        <x:v>2025-003</x:v>
      </x:c>
      <x:c r="H83" s="62" t="str">
        <x:v>2025-03</x:v>
      </x:c>
      <x:c r="I83" s="74" t="n">
        <x:v>45731</x:v>
      </x:c>
      <x:c r="J83" s="74" t="n">
        <x:v>45731</x:v>
      </x:c>
      <x:c r="K83" s="81" t="n">
        <x:v>8.19</x:v>
      </x:c>
      <x:c r="L83" s="81" t="n">
        <x:v>8.19</x:v>
      </x:c>
      <x:c r="M83" s="62" t="str">
        <x:v>业务支持费</x:v>
      </x:c>
      <x:c r="N83" s="62" t="str">
        <x:v>技术配置-采购订单</x:v>
      </x:c>
      <x:c r="O83" s="62" t="str">
        <x:v>上海电气</x:v>
      </x:c>
      <x:c r="P83" s="62" t="str">
        <x:v>上海电气</x:v>
      </x:c>
      <x:c r="Q83" s="62" t="str">
        <x:v>上海电气</x:v>
      </x:c>
      <x:c r="R83" s="62" t="str">
        <x:v>安全运行部</x:v>
      </x:c>
      <x:c r="S83" s="62" t="str">
        <x:v>PRJ-AQ-概率-2025-002</x:v>
      </x:c>
      <x:c r="T83" s="62" t="str">
        <x:v>正向</x:v>
      </x:c>
      <x:c r="U83" s="86" t="n">
        <x:f>IF(AND(F83="PR",L83&gt;0),L83,0)</x:f>
        <x:v>0</x:v>
      </x:c>
      <x:c r="V83" s="86" t="n">
        <x:f>IF(AND(F83="PR",L83&gt;0,MONTH(I83)=12),L83,0)</x:f>
        <x:v>0</x:v>
      </x:c>
      <x:c r="W83" s="74" t="n">
        <x:v>46022</x:v>
      </x:c>
      <x:c r="X83" s="62" t="str"/>
      <x:c r="Y83" s="62" t="str">
        <x:v>2025年预算占用.XLSX</x:v>
      </x:c>
      <x:c r="Z83" s="62" t="str">
        <x:v>Sheet</x:v>
      </x:c>
      <x:c r="AA83" s="62" t="n">
        <x:v>83</x:v>
      </x:c>
      <x:c r="AB83" s="62" t="str">
        <x:v>5026|20|PO|2025-03-15|83</x:v>
      </x:c>
      <x:c r="AC83" s="62" t="str">
        <x:f>IF(MONTH(I83)=VALUE(RIGHT(H83,2)),"OK","FAIL")</x:f>
        <x:v>OK</x:v>
      </x:c>
      <x:c r="AD83" s="62" t="str">
        <x:f>"OK"</x:f>
        <x:v>OK</x:v>
      </x:c>
    </x:row>
    <x:row r="84">
      <x:c r="A84" s="62" t="str">
        <x:v>OCC|2025|5026|10|PR|84</x:v>
      </x:c>
      <x:c r="B84" s="62" t="str">
        <x:v>CORRECTED</x:v>
      </x:c>
      <x:c r="C84" s="62" t="str">
        <x:v>5026</x:v>
      </x:c>
      <x:c r="D84" s="62" t="str">
        <x:v>10</x:v>
      </x:c>
      <x:c r="E84" s="62" t="str">
        <x:v>购买申请</x:v>
      </x:c>
      <x:c r="F84" s="62" t="str">
        <x:v>PR</x:v>
      </x:c>
      <x:c r="G84" s="62" t="str">
        <x:v>2025-003</x:v>
      </x:c>
      <x:c r="H84" s="62" t="str">
        <x:v>2025-03</x:v>
      </x:c>
      <x:c r="I84" s="74" t="n">
        <x:v>45731</x:v>
      </x:c>
      <x:c r="J84" s="74" t="n">
        <x:v>45731</x:v>
      </x:c>
      <x:c r="K84" s="81" t="n">
        <x:v>-8.62</x:v>
      </x:c>
      <x:c r="L84" s="81" t="n">
        <x:v>-8.62</x:v>
      </x:c>
      <x:c r="M84" s="62" t="str">
        <x:v>业务支持费</x:v>
      </x:c>
      <x:c r="N84" s="62" t="str">
        <x:v>冲销购买申请</x:v>
      </x:c>
      <x:c r="O84" s="62" t="str">
        <x:v>国电智深</x:v>
      </x:c>
      <x:c r="P84" s="62" t="str">
        <x:v>苏州热工</x:v>
      </x:c>
      <x:c r="Q84" s="62" t="str">
        <x:v>上海电气</x:v>
      </x:c>
      <x:c r="R84" s="62" t="str">
        <x:v>安全运行部</x:v>
      </x:c>
      <x:c r="S84" s="62" t="str">
        <x:v>PRJ-AQ-概率-2025-002</x:v>
      </x:c>
      <x:c r="T84" s="62" t="str">
        <x:v>释放</x:v>
      </x:c>
      <x:c r="U84" s="86" t="n">
        <x:f>IF(AND(F84="PR",L84&gt;0),L84,0)</x:f>
        <x:v>0</x:v>
      </x:c>
      <x:c r="V84" s="86" t="n">
        <x:f>IF(AND(F84="PR",L84&gt;0,MONTH(I84)=12),L84,0)</x:f>
        <x:v>0</x:v>
      </x:c>
      <x:c r="W84" s="74" t="n">
        <x:v>46022</x:v>
      </x:c>
      <x:c r="X84" s="62" t="str">
        <x:v>OCC|2025|5026|10|PR|82</x:v>
      </x:c>
      <x:c r="Y84" s="62" t="str">
        <x:v>2025年预算占用.XLSX</x:v>
      </x:c>
      <x:c r="Z84" s="62" t="str">
        <x:v>Sheet</x:v>
      </x:c>
      <x:c r="AA84" s="62" t="n">
        <x:v>84</x:v>
      </x:c>
      <x:c r="AB84" s="62" t="str">
        <x:v>5026|10|PR|2025-03-15|84</x:v>
      </x:c>
      <x:c r="AC84" s="62" t="str">
        <x:f>IF(MONTH(I84)=VALUE(RIGHT(H84,2)),"OK","FAIL")</x:f>
        <x:v>OK</x:v>
      </x:c>
      <x:c r="AD84" s="62" t="str">
        <x:f>IF(ABS(L84)&lt;=SUMIFS($L$2:$L$109,$C$2:$C$109,C84,$D$2:$D$109,D84,$F$2:$F$109,F84,$L$2:$L$109,"&gt;0"),"OK","FAIL")</x:f>
        <x:v>OK</x:v>
      </x:c>
    </x:row>
    <x:row r="85">
      <x:c r="A85" s="62" t="str">
        <x:v>OCC|2025|5026|20|PO|85</x:v>
      </x:c>
      <x:c r="B85" s="62" t="str">
        <x:v>CORRECTED</x:v>
      </x:c>
      <x:c r="C85" s="62" t="str">
        <x:v>5026</x:v>
      </x:c>
      <x:c r="D85" s="62" t="str">
        <x:v>20</x:v>
      </x:c>
      <x:c r="E85" s="62" t="str">
        <x:v>采购订单</x:v>
      </x:c>
      <x:c r="F85" s="62" t="str">
        <x:v>PO</x:v>
      </x:c>
      <x:c r="G85" s="62" t="str">
        <x:v>2025-003</x:v>
      </x:c>
      <x:c r="H85" s="62" t="str">
        <x:v>2025-03</x:v>
      </x:c>
      <x:c r="I85" s="74" t="n">
        <x:v>45736</x:v>
      </x:c>
      <x:c r="J85" s="74" t="n">
        <x:v>45736</x:v>
      </x:c>
      <x:c r="K85" s="81" t="n">
        <x:v>-6.55</x:v>
      </x:c>
      <x:c r="L85" s="81" t="n">
        <x:v>-6.55</x:v>
      </x:c>
      <x:c r="M85" s="62" t="str">
        <x:v>业务支持费</x:v>
      </x:c>
      <x:c r="N85" s="62" t="str">
        <x:v>确认成本冲销PO</x:v>
      </x:c>
      <x:c r="O85" s="62" t="str">
        <x:v>中核运维</x:v>
      </x:c>
      <x:c r="P85" s="62" t="str">
        <x:v>上海电气</x:v>
      </x:c>
      <x:c r="Q85" s="62" t="str">
        <x:v>上海电气</x:v>
      </x:c>
      <x:c r="R85" s="62" t="str">
        <x:v>安全运行部</x:v>
      </x:c>
      <x:c r="S85" s="62" t="str">
        <x:v>PRJ-AQ-概率-2025-002</x:v>
      </x:c>
      <x:c r="T85" s="62" t="str">
        <x:v>释放</x:v>
      </x:c>
      <x:c r="U85" s="86" t="n">
        <x:f>IF(AND(F85="PR",L85&gt;0),L85,0)</x:f>
        <x:v>0</x:v>
      </x:c>
      <x:c r="V85" s="86" t="n">
        <x:f>IF(AND(F85="PR",L85&gt;0,MONTH(I85)=12),L85,0)</x:f>
        <x:v>0</x:v>
      </x:c>
      <x:c r="W85" s="74" t="n">
        <x:v>46022</x:v>
      </x:c>
      <x:c r="X85" s="62" t="str">
        <x:v>OCC|2025|5026|20|PO|83</x:v>
      </x:c>
      <x:c r="Y85" s="62" t="str">
        <x:v>2025年预算占用.XLSX</x:v>
      </x:c>
      <x:c r="Z85" s="62" t="str">
        <x:v>Sheet</x:v>
      </x:c>
      <x:c r="AA85" s="62" t="n">
        <x:v>85</x:v>
      </x:c>
      <x:c r="AB85" s="62" t="str">
        <x:v>5026|20|PO|2025-03-20|85</x:v>
      </x:c>
      <x:c r="AC85" s="62" t="str">
        <x:f>IF(MONTH(I85)=VALUE(RIGHT(H85,2)),"OK","FAIL")</x:f>
        <x:v>OK</x:v>
      </x:c>
      <x:c r="AD85" s="62" t="str">
        <x:f>IF(ABS(L85)&lt;=SUMIFS($L$2:$L$109,$C$2:$C$109,C85,$D$2:$D$109,D85,$F$2:$F$109,F85,$L$2:$L$109,"&gt;0"),"OK","FAIL")</x:f>
        <x:v>OK</x:v>
      </x:c>
    </x:row>
    <x:row r="86">
      <x:c r="A86" s="62" t="str">
        <x:v>OCC|2025|5027|10|PR|86</x:v>
      </x:c>
      <x:c r="B86" s="62" t="str">
        <x:v>SOURCE</x:v>
      </x:c>
      <x:c r="C86" s="62" t="str">
        <x:v>5027</x:v>
      </x:c>
      <x:c r="D86" s="62" t="str">
        <x:v>10</x:v>
      </x:c>
      <x:c r="E86" s="62" t="str">
        <x:v>购买申请</x:v>
      </x:c>
      <x:c r="F86" s="62" t="str">
        <x:v>PR</x:v>
      </x:c>
      <x:c r="G86" s="62" t="str">
        <x:v>2025-004</x:v>
      </x:c>
      <x:c r="H86" s="62" t="str">
        <x:v>2025-04</x:v>
      </x:c>
      <x:c r="I86" s="74" t="n">
        <x:v>45757</x:v>
      </x:c>
      <x:c r="J86" s="74" t="n">
        <x:v>45757</x:v>
      </x:c>
      <x:c r="K86" s="81" t="n">
        <x:v>3.5</x:v>
      </x:c>
      <x:c r="L86" s="81" t="n">
        <x:v>3.5</x:v>
      </x:c>
      <x:c r="M86" s="62" t="str">
        <x:v>业务支持费</x:v>
      </x:c>
      <x:c r="N86" s="62" t="str">
        <x:v>技术配置-采购申请</x:v>
      </x:c>
      <x:c r="O86" s="62" t="str">
        <x:v>国电智深</x:v>
      </x:c>
      <x:c r="P86" s="62" t="str">
        <x:v>国电智深</x:v>
      </x:c>
      <x:c r="Q86" s="62" t="str">
        <x:v>华能服务</x:v>
      </x:c>
      <x:c r="R86" s="62" t="str">
        <x:v>安全运行部</x:v>
      </x:c>
      <x:c r="S86" s="62" t="str">
        <x:v>PRJ-AQ-概率-2025-002</x:v>
      </x:c>
      <x:c r="T86" s="62" t="str">
        <x:v>正向</x:v>
      </x:c>
      <x:c r="U86" s="86" t="n">
        <x:f>IF(AND(F86="PR",L86&gt;0),L86,0)</x:f>
        <x:v>3.5</x:v>
      </x:c>
      <x:c r="V86" s="86" t="n">
        <x:f>IF(AND(F86="PR",L86&gt;0,MONTH(I86)=12),L86,0)</x:f>
        <x:v>0</x:v>
      </x:c>
      <x:c r="W86" s="74" t="n">
        <x:v>46022</x:v>
      </x:c>
      <x:c r="X86" s="62" t="str"/>
      <x:c r="Y86" s="62" t="str">
        <x:v>2025年预算占用.XLSX</x:v>
      </x:c>
      <x:c r="Z86" s="62" t="str">
        <x:v>Sheet</x:v>
      </x:c>
      <x:c r="AA86" s="62" t="n">
        <x:v>86</x:v>
      </x:c>
      <x:c r="AB86" s="62" t="str">
        <x:v>5027|10|PR|2025-04-10|86</x:v>
      </x:c>
      <x:c r="AC86" s="62" t="str">
        <x:f>IF(MONTH(I86)=VALUE(RIGHT(H86,2)),"OK","FAIL")</x:f>
        <x:v>OK</x:v>
      </x:c>
      <x:c r="AD86" s="62" t="str">
        <x:f>"OK"</x:f>
        <x:v>OK</x:v>
      </x:c>
    </x:row>
    <x:row r="87">
      <x:c r="A87" s="62" t="str">
        <x:v>OCC|2025|5027|20|PO|87</x:v>
      </x:c>
      <x:c r="B87" s="62" t="str">
        <x:v>SOURCE</x:v>
      </x:c>
      <x:c r="C87" s="62" t="str">
        <x:v>5027</x:v>
      </x:c>
      <x:c r="D87" s="62" t="str">
        <x:v>20</x:v>
      </x:c>
      <x:c r="E87" s="62" t="str">
        <x:v>采购订单</x:v>
      </x:c>
      <x:c r="F87" s="62" t="str">
        <x:v>PO</x:v>
      </x:c>
      <x:c r="G87" s="62" t="str">
        <x:v>2025-004</x:v>
      </x:c>
      <x:c r="H87" s="62" t="str">
        <x:v>2025-04</x:v>
      </x:c>
      <x:c r="I87" s="74" t="n">
        <x:v>45762</x:v>
      </x:c>
      <x:c r="J87" s="74" t="n">
        <x:v>45762</x:v>
      </x:c>
      <x:c r="K87" s="81" t="n">
        <x:v>3.32</x:v>
      </x:c>
      <x:c r="L87" s="81" t="n">
        <x:v>3.32</x:v>
      </x:c>
      <x:c r="M87" s="62" t="str">
        <x:v>业务支持费</x:v>
      </x:c>
      <x:c r="N87" s="62" t="str">
        <x:v>技术配置-采购订单</x:v>
      </x:c>
      <x:c r="O87" s="62" t="str">
        <x:v>华能服务</x:v>
      </x:c>
      <x:c r="P87" s="62" t="str">
        <x:v>华能服务</x:v>
      </x:c>
      <x:c r="Q87" s="62" t="str">
        <x:v>华能服务</x:v>
      </x:c>
      <x:c r="R87" s="62" t="str">
        <x:v>安全运行部</x:v>
      </x:c>
      <x:c r="S87" s="62" t="str">
        <x:v>PRJ-AQ-概率-2025-002</x:v>
      </x:c>
      <x:c r="T87" s="62" t="str">
        <x:v>正向</x:v>
      </x:c>
      <x:c r="U87" s="86" t="n">
        <x:f>IF(AND(F87="PR",L87&gt;0),L87,0)</x:f>
        <x:v>0</x:v>
      </x:c>
      <x:c r="V87" s="86" t="n">
        <x:f>IF(AND(F87="PR",L87&gt;0,MONTH(I87)=12),L87,0)</x:f>
        <x:v>0</x:v>
      </x:c>
      <x:c r="W87" s="74" t="n">
        <x:v>46022</x:v>
      </x:c>
      <x:c r="X87" s="62" t="str"/>
      <x:c r="Y87" s="62" t="str">
        <x:v>2025年预算占用.XLSX</x:v>
      </x:c>
      <x:c r="Z87" s="62" t="str">
        <x:v>Sheet</x:v>
      </x:c>
      <x:c r="AA87" s="62" t="n">
        <x:v>87</x:v>
      </x:c>
      <x:c r="AB87" s="62" t="str">
        <x:v>5027|20|PO|2025-04-15|87</x:v>
      </x:c>
      <x:c r="AC87" s="62" t="str">
        <x:f>IF(MONTH(I87)=VALUE(RIGHT(H87,2)),"OK","FAIL")</x:f>
        <x:v>OK</x:v>
      </x:c>
      <x:c r="AD87" s="62" t="str">
        <x:f>"OK"</x:f>
        <x:v>OK</x:v>
      </x:c>
    </x:row>
    <x:row r="88">
      <x:c r="A88" s="62" t="str">
        <x:v>OCC|2025|5027|10|PR|88</x:v>
      </x:c>
      <x:c r="B88" s="62" t="str">
        <x:v>CORRECTED</x:v>
      </x:c>
      <x:c r="C88" s="62" t="str">
        <x:v>5027</x:v>
      </x:c>
      <x:c r="D88" s="62" t="str">
        <x:v>10</x:v>
      </x:c>
      <x:c r="E88" s="62" t="str">
        <x:v>购买申请</x:v>
      </x:c>
      <x:c r="F88" s="62" t="str">
        <x:v>PR</x:v>
      </x:c>
      <x:c r="G88" s="62" t="str">
        <x:v>2025-004</x:v>
      </x:c>
      <x:c r="H88" s="62" t="str">
        <x:v>2025-04</x:v>
      </x:c>
      <x:c r="I88" s="74" t="n">
        <x:v>45762</x:v>
      </x:c>
      <x:c r="J88" s="74" t="n">
        <x:v>45762</x:v>
      </x:c>
      <x:c r="K88" s="81" t="n">
        <x:v>-3.5</x:v>
      </x:c>
      <x:c r="L88" s="81" t="n">
        <x:v>-3.5</x:v>
      </x:c>
      <x:c r="M88" s="62" t="str">
        <x:v>业务支持费</x:v>
      </x:c>
      <x:c r="N88" s="62" t="str">
        <x:v>冲销购买申请</x:v>
      </x:c>
      <x:c r="O88" s="62" t="str">
        <x:v>上海电气</x:v>
      </x:c>
      <x:c r="P88" s="62" t="str">
        <x:v>国电智深</x:v>
      </x:c>
      <x:c r="Q88" s="62" t="str">
        <x:v>华能服务</x:v>
      </x:c>
      <x:c r="R88" s="62" t="str">
        <x:v>安全运行部</x:v>
      </x:c>
      <x:c r="S88" s="62" t="str">
        <x:v>PRJ-AQ-概率-2025-002</x:v>
      </x:c>
      <x:c r="T88" s="62" t="str">
        <x:v>释放</x:v>
      </x:c>
      <x:c r="U88" s="86" t="n">
        <x:f>IF(AND(F88="PR",L88&gt;0),L88,0)</x:f>
        <x:v>0</x:v>
      </x:c>
      <x:c r="V88" s="86" t="n">
        <x:f>IF(AND(F88="PR",L88&gt;0,MONTH(I88)=12),L88,0)</x:f>
        <x:v>0</x:v>
      </x:c>
      <x:c r="W88" s="74" t="n">
        <x:v>46022</x:v>
      </x:c>
      <x:c r="X88" s="62" t="str">
        <x:v>OCC|2025|5027|10|PR|86</x:v>
      </x:c>
      <x:c r="Y88" s="62" t="str">
        <x:v>2025年预算占用.XLSX</x:v>
      </x:c>
      <x:c r="Z88" s="62" t="str">
        <x:v>Sheet</x:v>
      </x:c>
      <x:c r="AA88" s="62" t="n">
        <x:v>88</x:v>
      </x:c>
      <x:c r="AB88" s="62" t="str">
        <x:v>5027|10|PR|2025-04-15|88</x:v>
      </x:c>
      <x:c r="AC88" s="62" t="str">
        <x:f>IF(MONTH(I88)=VALUE(RIGHT(H88,2)),"OK","FAIL")</x:f>
        <x:v>OK</x:v>
      </x:c>
      <x:c r="AD88" s="62" t="str">
        <x:f>IF(ABS(L88)&lt;=SUMIFS($L$2:$L$109,$C$2:$C$109,C88,$D$2:$D$109,D88,$F$2:$F$109,F88,$L$2:$L$109,"&gt;0"),"OK","FAIL")</x:f>
        <x:v>OK</x:v>
      </x:c>
    </x:row>
    <x:row r="89">
      <x:c r="A89" s="62" t="str">
        <x:v>OCC|2025|5027|20|PO|89</x:v>
      </x:c>
      <x:c r="B89" s="62" t="str">
        <x:v>CORRECTED</x:v>
      </x:c>
      <x:c r="C89" s="62" t="str">
        <x:v>5027</x:v>
      </x:c>
      <x:c r="D89" s="62" t="str">
        <x:v>20</x:v>
      </x:c>
      <x:c r="E89" s="62" t="str">
        <x:v>采购订单</x:v>
      </x:c>
      <x:c r="F89" s="62" t="str">
        <x:v>PO</x:v>
      </x:c>
      <x:c r="G89" s="62" t="str">
        <x:v>2025-004</x:v>
      </x:c>
      <x:c r="H89" s="62" t="str">
        <x:v>2025-04</x:v>
      </x:c>
      <x:c r="I89" s="74" t="n">
        <x:v>45767</x:v>
      </x:c>
      <x:c r="J89" s="74" t="n">
        <x:v>45767</x:v>
      </x:c>
      <x:c r="K89" s="81" t="n">
        <x:v>-2.66</x:v>
      </x:c>
      <x:c r="L89" s="81" t="n">
        <x:v>-2.66</x:v>
      </x:c>
      <x:c r="M89" s="62" t="str">
        <x:v>业务支持费</x:v>
      </x:c>
      <x:c r="N89" s="62" t="str">
        <x:v>确认成本冲销PO</x:v>
      </x:c>
      <x:c r="O89" s="62" t="str">
        <x:v>国电智深</x:v>
      </x:c>
      <x:c r="P89" s="62" t="str">
        <x:v>华能服务</x:v>
      </x:c>
      <x:c r="Q89" s="62" t="str">
        <x:v>华能服务</x:v>
      </x:c>
      <x:c r="R89" s="62" t="str">
        <x:v>安全运行部</x:v>
      </x:c>
      <x:c r="S89" s="62" t="str">
        <x:v>PRJ-AQ-概率-2025-002</x:v>
      </x:c>
      <x:c r="T89" s="62" t="str">
        <x:v>释放</x:v>
      </x:c>
      <x:c r="U89" s="86" t="n">
        <x:f>IF(AND(F89="PR",L89&gt;0),L89,0)</x:f>
        <x:v>0</x:v>
      </x:c>
      <x:c r="V89" s="86" t="n">
        <x:f>IF(AND(F89="PR",L89&gt;0,MONTH(I89)=12),L89,0)</x:f>
        <x:v>0</x:v>
      </x:c>
      <x:c r="W89" s="74" t="n">
        <x:v>46022</x:v>
      </x:c>
      <x:c r="X89" s="62" t="str">
        <x:v>OCC|2025|5027|20|PO|87</x:v>
      </x:c>
      <x:c r="Y89" s="62" t="str">
        <x:v>2025年预算占用.XLSX</x:v>
      </x:c>
      <x:c r="Z89" s="62" t="str">
        <x:v>Sheet</x:v>
      </x:c>
      <x:c r="AA89" s="62" t="n">
        <x:v>89</x:v>
      </x:c>
      <x:c r="AB89" s="62" t="str">
        <x:v>5027|20|PO|2025-04-20|89</x:v>
      </x:c>
      <x:c r="AC89" s="62" t="str">
        <x:f>IF(MONTH(I89)=VALUE(RIGHT(H89,2)),"OK","FAIL")</x:f>
        <x:v>OK</x:v>
      </x:c>
      <x:c r="AD89" s="62" t="str">
        <x:f>IF(ABS(L89)&lt;=SUMIFS($L$2:$L$109,$C$2:$C$109,C89,$D$2:$D$109,D89,$F$2:$F$109,F89,$L$2:$L$109,"&gt;0"),"OK","FAIL")</x:f>
        <x:v>OK</x:v>
      </x:c>
    </x:row>
    <x:row r="90">
      <x:c r="A90" s="62" t="str">
        <x:v>OCC|2025|5028|10|PR|90</x:v>
      </x:c>
      <x:c r="B90" s="62" t="str">
        <x:v>SOURCE</x:v>
      </x:c>
      <x:c r="C90" s="62" t="str">
        <x:v>5028</x:v>
      </x:c>
      <x:c r="D90" s="62" t="str">
        <x:v>10</x:v>
      </x:c>
      <x:c r="E90" s="62" t="str">
        <x:v>购买申请</x:v>
      </x:c>
      <x:c r="F90" s="62" t="str">
        <x:v>PR</x:v>
      </x:c>
      <x:c r="G90" s="62" t="str">
        <x:v>2025-005</x:v>
      </x:c>
      <x:c r="H90" s="62" t="str">
        <x:v>2025-05</x:v>
      </x:c>
      <x:c r="I90" s="74" t="n">
        <x:v>45787</x:v>
      </x:c>
      <x:c r="J90" s="74" t="n">
        <x:v>45787</x:v>
      </x:c>
      <x:c r="K90" s="81" t="n">
        <x:v>2.5</x:v>
      </x:c>
      <x:c r="L90" s="81" t="n">
        <x:v>2.5</x:v>
      </x:c>
      <x:c r="M90" s="62" t="str">
        <x:v>业务支持费</x:v>
      </x:c>
      <x:c r="N90" s="62" t="str">
        <x:v>技术配置-采购申请</x:v>
      </x:c>
      <x:c r="O90" s="62" t="str">
        <x:v>上海电气</x:v>
      </x:c>
      <x:c r="P90" s="62" t="str">
        <x:v>上海电气</x:v>
      </x:c>
      <x:c r="Q90" s="62" t="str">
        <x:v>北京核工院</x:v>
      </x:c>
      <x:c r="R90" s="62" t="str">
        <x:v>安全运行部</x:v>
      </x:c>
      <x:c r="S90" s="62" t="str">
        <x:v>PRJ-AQ-概率-2025-002</x:v>
      </x:c>
      <x:c r="T90" s="62" t="str">
        <x:v>正向</x:v>
      </x:c>
      <x:c r="U90" s="86" t="n">
        <x:f>IF(AND(F90="PR",L90&gt;0),L90,0)</x:f>
        <x:v>2.5</x:v>
      </x:c>
      <x:c r="V90" s="86" t="n">
        <x:f>IF(AND(F90="PR",L90&gt;0,MONTH(I90)=12),L90,0)</x:f>
        <x:v>0</x:v>
      </x:c>
      <x:c r="W90" s="74" t="n">
        <x:v>46022</x:v>
      </x:c>
      <x:c r="X90" s="62" t="str"/>
      <x:c r="Y90" s="62" t="str">
        <x:v>2025年预算占用.XLSX</x:v>
      </x:c>
      <x:c r="Z90" s="62" t="str">
        <x:v>Sheet</x:v>
      </x:c>
      <x:c r="AA90" s="62" t="n">
        <x:v>90</x:v>
      </x:c>
      <x:c r="AB90" s="62" t="str">
        <x:v>5028|10|PR|2025-05-10|90</x:v>
      </x:c>
      <x:c r="AC90" s="62" t="str">
        <x:f>IF(MONTH(I90)=VALUE(RIGHT(H90,2)),"OK","FAIL")</x:f>
        <x:v>OK</x:v>
      </x:c>
      <x:c r="AD90" s="62" t="str">
        <x:f>"OK"</x:f>
        <x:v>OK</x:v>
      </x:c>
    </x:row>
    <x:row r="91">
      <x:c r="A91" s="62" t="str">
        <x:v>OCC|2025|5028|20|PO|91</x:v>
      </x:c>
      <x:c r="B91" s="62" t="str">
        <x:v>SOURCE</x:v>
      </x:c>
      <x:c r="C91" s="62" t="str">
        <x:v>5028</x:v>
      </x:c>
      <x:c r="D91" s="62" t="str">
        <x:v>20</x:v>
      </x:c>
      <x:c r="E91" s="62" t="str">
        <x:v>采购订单</x:v>
      </x:c>
      <x:c r="F91" s="62" t="str">
        <x:v>PO</x:v>
      </x:c>
      <x:c r="G91" s="62" t="str">
        <x:v>2025-005</x:v>
      </x:c>
      <x:c r="H91" s="62" t="str">
        <x:v>2025-05</x:v>
      </x:c>
      <x:c r="I91" s="74" t="n">
        <x:v>45792</x:v>
      </x:c>
      <x:c r="J91" s="74" t="n">
        <x:v>45792</x:v>
      </x:c>
      <x:c r="K91" s="81" t="n">
        <x:v>2.38</x:v>
      </x:c>
      <x:c r="L91" s="81" t="n">
        <x:v>2.38</x:v>
      </x:c>
      <x:c r="M91" s="62" t="str">
        <x:v>业务支持费</x:v>
      </x:c>
      <x:c r="N91" s="62" t="str">
        <x:v>技术配置-采购订单</x:v>
      </x:c>
      <x:c r="O91" s="62" t="str">
        <x:v>北京核工院</x:v>
      </x:c>
      <x:c r="P91" s="62" t="str">
        <x:v>北京核工院</x:v>
      </x:c>
      <x:c r="Q91" s="62" t="str">
        <x:v>北京核工院</x:v>
      </x:c>
      <x:c r="R91" s="62" t="str">
        <x:v>安全运行部</x:v>
      </x:c>
      <x:c r="S91" s="62" t="str">
        <x:v>PRJ-AQ-概率-2025-002</x:v>
      </x:c>
      <x:c r="T91" s="62" t="str">
        <x:v>正向</x:v>
      </x:c>
      <x:c r="U91" s="86" t="n">
        <x:f>IF(AND(F91="PR",L91&gt;0),L91,0)</x:f>
        <x:v>0</x:v>
      </x:c>
      <x:c r="V91" s="86" t="n">
        <x:f>IF(AND(F91="PR",L91&gt;0,MONTH(I91)=12),L91,0)</x:f>
        <x:v>0</x:v>
      </x:c>
      <x:c r="W91" s="74" t="n">
        <x:v>46022</x:v>
      </x:c>
      <x:c r="X91" s="62" t="str"/>
      <x:c r="Y91" s="62" t="str">
        <x:v>2025年预算占用.XLSX</x:v>
      </x:c>
      <x:c r="Z91" s="62" t="str">
        <x:v>Sheet</x:v>
      </x:c>
      <x:c r="AA91" s="62" t="n">
        <x:v>91</x:v>
      </x:c>
      <x:c r="AB91" s="62" t="str">
        <x:v>5028|20|PO|2025-05-15|91</x:v>
      </x:c>
      <x:c r="AC91" s="62" t="str">
        <x:f>IF(MONTH(I91)=VALUE(RIGHT(H91,2)),"OK","FAIL")</x:f>
        <x:v>OK</x:v>
      </x:c>
      <x:c r="AD91" s="62" t="str">
        <x:f>"OK"</x:f>
        <x:v>OK</x:v>
      </x:c>
    </x:row>
    <x:row r="92">
      <x:c r="A92" s="62" t="str">
        <x:v>OCC|2025|5028|10|PR|92</x:v>
      </x:c>
      <x:c r="B92" s="62" t="str">
        <x:v>CORRECTED</x:v>
      </x:c>
      <x:c r="C92" s="62" t="str">
        <x:v>5028</x:v>
      </x:c>
      <x:c r="D92" s="62" t="str">
        <x:v>10</x:v>
      </x:c>
      <x:c r="E92" s="62" t="str">
        <x:v>购买申请</x:v>
      </x:c>
      <x:c r="F92" s="62" t="str">
        <x:v>PR</x:v>
      </x:c>
      <x:c r="G92" s="62" t="str">
        <x:v>2025-005</x:v>
      </x:c>
      <x:c r="H92" s="62" t="str">
        <x:v>2025-05</x:v>
      </x:c>
      <x:c r="I92" s="74" t="n">
        <x:v>45792</x:v>
      </x:c>
      <x:c r="J92" s="74" t="n">
        <x:v>45792</x:v>
      </x:c>
      <x:c r="K92" s="81" t="n">
        <x:v>-2.5</x:v>
      </x:c>
      <x:c r="L92" s="81" t="n">
        <x:v>-2.5</x:v>
      </x:c>
      <x:c r="M92" s="62" t="str">
        <x:v>业务支持费</x:v>
      </x:c>
      <x:c r="N92" s="62" t="str">
        <x:v>冲销购买申请</x:v>
      </x:c>
      <x:c r="O92" s="62" t="str">
        <x:v>国电智深</x:v>
      </x:c>
      <x:c r="P92" s="62" t="str">
        <x:v>上海电气</x:v>
      </x:c>
      <x:c r="Q92" s="62" t="str">
        <x:v>北京核工院</x:v>
      </x:c>
      <x:c r="R92" s="62" t="str">
        <x:v>安全运行部</x:v>
      </x:c>
      <x:c r="S92" s="62" t="str">
        <x:v>PRJ-AQ-概率-2025-002</x:v>
      </x:c>
      <x:c r="T92" s="62" t="str">
        <x:v>释放</x:v>
      </x:c>
      <x:c r="U92" s="86" t="n">
        <x:f>IF(AND(F92="PR",L92&gt;0),L92,0)</x:f>
        <x:v>0</x:v>
      </x:c>
      <x:c r="V92" s="86" t="n">
        <x:f>IF(AND(F92="PR",L92&gt;0,MONTH(I92)=12),L92,0)</x:f>
        <x:v>0</x:v>
      </x:c>
      <x:c r="W92" s="74" t="n">
        <x:v>46022</x:v>
      </x:c>
      <x:c r="X92" s="62" t="str">
        <x:v>OCC|2025|5028|10|PR|90</x:v>
      </x:c>
      <x:c r="Y92" s="62" t="str">
        <x:v>2025年预算占用.XLSX</x:v>
      </x:c>
      <x:c r="Z92" s="62" t="str">
        <x:v>Sheet</x:v>
      </x:c>
      <x:c r="AA92" s="62" t="n">
        <x:v>92</x:v>
      </x:c>
      <x:c r="AB92" s="62" t="str">
        <x:v>5028|10|PR|2025-05-15|92</x:v>
      </x:c>
      <x:c r="AC92" s="62" t="str">
        <x:f>IF(MONTH(I92)=VALUE(RIGHT(H92,2)),"OK","FAIL")</x:f>
        <x:v>OK</x:v>
      </x:c>
      <x:c r="AD92" s="62" t="str">
        <x:f>IF(ABS(L92)&lt;=SUMIFS($L$2:$L$109,$C$2:$C$109,C92,$D$2:$D$109,D92,$F$2:$F$109,F92,$L$2:$L$109,"&gt;0"),"OK","FAIL")</x:f>
        <x:v>OK</x:v>
      </x:c>
    </x:row>
    <x:row r="93">
      <x:c r="A93" s="62" t="str">
        <x:v>OCC|2025|5028|20|PO|93</x:v>
      </x:c>
      <x:c r="B93" s="62" t="str">
        <x:v>CORRECTED</x:v>
      </x:c>
      <x:c r="C93" s="62" t="str">
        <x:v>5028</x:v>
      </x:c>
      <x:c r="D93" s="62" t="str">
        <x:v>20</x:v>
      </x:c>
      <x:c r="E93" s="62" t="str">
        <x:v>采购订单</x:v>
      </x:c>
      <x:c r="F93" s="62" t="str">
        <x:v>PO</x:v>
      </x:c>
      <x:c r="G93" s="62" t="str">
        <x:v>2025-005</x:v>
      </x:c>
      <x:c r="H93" s="62" t="str">
        <x:v>2025-05</x:v>
      </x:c>
      <x:c r="I93" s="74" t="n">
        <x:v>45797</x:v>
      </x:c>
      <x:c r="J93" s="74" t="n">
        <x:v>45797</x:v>
      </x:c>
      <x:c r="K93" s="81" t="n">
        <x:v>-1.9</x:v>
      </x:c>
      <x:c r="L93" s="81" t="n">
        <x:v>-1.9</x:v>
      </x:c>
      <x:c r="M93" s="62" t="str">
        <x:v>业务支持费</x:v>
      </x:c>
      <x:c r="N93" s="62" t="str">
        <x:v>确认成本冲销PO</x:v>
      </x:c>
      <x:c r="O93" s="62" t="str">
        <x:v>苏州热工</x:v>
      </x:c>
      <x:c r="P93" s="62" t="str">
        <x:v>北京核工院</x:v>
      </x:c>
      <x:c r="Q93" s="62" t="str">
        <x:v>北京核工院</x:v>
      </x:c>
      <x:c r="R93" s="62" t="str">
        <x:v>安全运行部</x:v>
      </x:c>
      <x:c r="S93" s="62" t="str">
        <x:v>PRJ-AQ-概率-2025-002</x:v>
      </x:c>
      <x:c r="T93" s="62" t="str">
        <x:v>释放</x:v>
      </x:c>
      <x:c r="U93" s="86" t="n">
        <x:f>IF(AND(F93="PR",L93&gt;0),L93,0)</x:f>
        <x:v>0</x:v>
      </x:c>
      <x:c r="V93" s="86" t="n">
        <x:f>IF(AND(F93="PR",L93&gt;0,MONTH(I93)=12),L93,0)</x:f>
        <x:v>0</x:v>
      </x:c>
      <x:c r="W93" s="74" t="n">
        <x:v>46022</x:v>
      </x:c>
      <x:c r="X93" s="62" t="str">
        <x:v>OCC|2025|5028|20|PO|91</x:v>
      </x:c>
      <x:c r="Y93" s="62" t="str">
        <x:v>2025年预算占用.XLSX</x:v>
      </x:c>
      <x:c r="Z93" s="62" t="str">
        <x:v>Sheet</x:v>
      </x:c>
      <x:c r="AA93" s="62" t="n">
        <x:v>93</x:v>
      </x:c>
      <x:c r="AB93" s="62" t="str">
        <x:v>5028|20|PO|2025-05-20|93</x:v>
      </x:c>
      <x:c r="AC93" s="62" t="str">
        <x:f>IF(MONTH(I93)=VALUE(RIGHT(H93,2)),"OK","FAIL")</x:f>
        <x:v>OK</x:v>
      </x:c>
      <x:c r="AD93" s="62" t="str">
        <x:f>IF(ABS(L93)&lt;=SUMIFS($L$2:$L$109,$C$2:$C$109,C93,$D$2:$D$109,D93,$F$2:$F$109,F93,$L$2:$L$109,"&gt;0"),"OK","FAIL")</x:f>
        <x:v>OK</x:v>
      </x:c>
    </x:row>
    <x:row r="94">
      <x:c r="A94" s="62" t="str">
        <x:v>OCC|2025|5029|10|PR|94</x:v>
      </x:c>
      <x:c r="B94" s="62" t="str">
        <x:v>SOURCE</x:v>
      </x:c>
      <x:c r="C94" s="62" t="str">
        <x:v>5029</x:v>
      </x:c>
      <x:c r="D94" s="62" t="str">
        <x:v>10</x:v>
      </x:c>
      <x:c r="E94" s="62" t="str">
        <x:v>购买申请</x:v>
      </x:c>
      <x:c r="F94" s="62" t="str">
        <x:v>PR</x:v>
      </x:c>
      <x:c r="G94" s="62" t="str">
        <x:v>2025-006</x:v>
      </x:c>
      <x:c r="H94" s="62" t="str">
        <x:v>2025-06</x:v>
      </x:c>
      <x:c r="I94" s="74" t="n">
        <x:v>45818</x:v>
      </x:c>
      <x:c r="J94" s="74" t="n">
        <x:v>45818</x:v>
      </x:c>
      <x:c r="K94" s="81" t="n">
        <x:v>12.22</x:v>
      </x:c>
      <x:c r="L94" s="81" t="n">
        <x:v>12.22</x:v>
      </x:c>
      <x:c r="M94" s="62" t="str">
        <x:v>业务支持费</x:v>
      </x:c>
      <x:c r="N94" s="62" t="str">
        <x:v>技术配置-采购申请</x:v>
      </x:c>
      <x:c r="O94" s="62" t="str">
        <x:v>北京核工院</x:v>
      </x:c>
      <x:c r="P94" s="62" t="str">
        <x:v>北京核工院</x:v>
      </x:c>
      <x:c r="Q94" s="62" t="str">
        <x:v>上海电气</x:v>
      </x:c>
      <x:c r="R94" s="62" t="str">
        <x:v>安全运行部</x:v>
      </x:c>
      <x:c r="S94" s="62" t="str">
        <x:v>PRJ-AQ-概率-2025-002</x:v>
      </x:c>
      <x:c r="T94" s="62" t="str">
        <x:v>正向</x:v>
      </x:c>
      <x:c r="U94" s="86" t="n">
        <x:f>IF(AND(F94="PR",L94&gt;0),L94,0)</x:f>
        <x:v>12.22</x:v>
      </x:c>
      <x:c r="V94" s="86" t="n">
        <x:f>IF(AND(F94="PR",L94&gt;0,MONTH(I94)=12),L94,0)</x:f>
        <x:v>0</x:v>
      </x:c>
      <x:c r="W94" s="74" t="n">
        <x:v>46022</x:v>
      </x:c>
      <x:c r="X94" s="62" t="str"/>
      <x:c r="Y94" s="62" t="str">
        <x:v>2025年预算占用.XLSX</x:v>
      </x:c>
      <x:c r="Z94" s="62" t="str">
        <x:v>Sheet</x:v>
      </x:c>
      <x:c r="AA94" s="62" t="n">
        <x:v>94</x:v>
      </x:c>
      <x:c r="AB94" s="62" t="str">
        <x:v>5029|10|PR|2025-06-10|94</x:v>
      </x:c>
      <x:c r="AC94" s="62" t="str">
        <x:f>IF(MONTH(I94)=VALUE(RIGHT(H94,2)),"OK","FAIL")</x:f>
        <x:v>OK</x:v>
      </x:c>
      <x:c r="AD94" s="62" t="str">
        <x:f>"OK"</x:f>
        <x:v>OK</x:v>
      </x:c>
    </x:row>
    <x:row r="95">
      <x:c r="A95" s="62" t="str">
        <x:v>OCC|2025|5029|20|PO|95</x:v>
      </x:c>
      <x:c r="B95" s="62" t="str">
        <x:v>SOURCE</x:v>
      </x:c>
      <x:c r="C95" s="62" t="str">
        <x:v>5029</x:v>
      </x:c>
      <x:c r="D95" s="62" t="str">
        <x:v>20</x:v>
      </x:c>
      <x:c r="E95" s="62" t="str">
        <x:v>采购订单</x:v>
      </x:c>
      <x:c r="F95" s="62" t="str">
        <x:v>PO</x:v>
      </x:c>
      <x:c r="G95" s="62" t="str">
        <x:v>2025-006</x:v>
      </x:c>
      <x:c r="H95" s="62" t="str">
        <x:v>2025-06</x:v>
      </x:c>
      <x:c r="I95" s="74" t="n">
        <x:v>45823</x:v>
      </x:c>
      <x:c r="J95" s="74" t="n">
        <x:v>45823</x:v>
      </x:c>
      <x:c r="K95" s="81" t="n">
        <x:v>11.61</x:v>
      </x:c>
      <x:c r="L95" s="81" t="n">
        <x:v>11.61</x:v>
      </x:c>
      <x:c r="M95" s="62" t="str">
        <x:v>业务支持费</x:v>
      </x:c>
      <x:c r="N95" s="62" t="str">
        <x:v>技术配置-采购订单</x:v>
      </x:c>
      <x:c r="O95" s="62" t="str">
        <x:v>上海电气</x:v>
      </x:c>
      <x:c r="P95" s="62" t="str">
        <x:v>上海电气</x:v>
      </x:c>
      <x:c r="Q95" s="62" t="str">
        <x:v>上海电气</x:v>
      </x:c>
      <x:c r="R95" s="62" t="str">
        <x:v>安全运行部</x:v>
      </x:c>
      <x:c r="S95" s="62" t="str">
        <x:v>PRJ-AQ-概率-2025-002</x:v>
      </x:c>
      <x:c r="T95" s="62" t="str">
        <x:v>正向</x:v>
      </x:c>
      <x:c r="U95" s="86" t="n">
        <x:f>IF(AND(F95="PR",L95&gt;0),L95,0)</x:f>
        <x:v>0</x:v>
      </x:c>
      <x:c r="V95" s="86" t="n">
        <x:f>IF(AND(F95="PR",L95&gt;0,MONTH(I95)=12),L95,0)</x:f>
        <x:v>0</x:v>
      </x:c>
      <x:c r="W95" s="74" t="n">
        <x:v>46022</x:v>
      </x:c>
      <x:c r="X95" s="62" t="str"/>
      <x:c r="Y95" s="62" t="str">
        <x:v>2025年预算占用.XLSX</x:v>
      </x:c>
      <x:c r="Z95" s="62" t="str">
        <x:v>Sheet</x:v>
      </x:c>
      <x:c r="AA95" s="62" t="n">
        <x:v>95</x:v>
      </x:c>
      <x:c r="AB95" s="62" t="str">
        <x:v>5029|20|PO|2025-06-15|95</x:v>
      </x:c>
      <x:c r="AC95" s="62" t="str">
        <x:f>IF(MONTH(I95)=VALUE(RIGHT(H95,2)),"OK","FAIL")</x:f>
        <x:v>OK</x:v>
      </x:c>
      <x:c r="AD95" s="62" t="str">
        <x:f>"OK"</x:f>
        <x:v>OK</x:v>
      </x:c>
    </x:row>
    <x:row r="96">
      <x:c r="A96" s="62" t="str">
        <x:v>OCC|2025|5029|10|PR|96</x:v>
      </x:c>
      <x:c r="B96" s="62" t="str">
        <x:v>CORRECTED</x:v>
      </x:c>
      <x:c r="C96" s="62" t="str">
        <x:v>5029</x:v>
      </x:c>
      <x:c r="D96" s="62" t="str">
        <x:v>10</x:v>
      </x:c>
      <x:c r="E96" s="62" t="str">
        <x:v>购买申请</x:v>
      </x:c>
      <x:c r="F96" s="62" t="str">
        <x:v>PR</x:v>
      </x:c>
      <x:c r="G96" s="62" t="str">
        <x:v>2025-006</x:v>
      </x:c>
      <x:c r="H96" s="62" t="str">
        <x:v>2025-06</x:v>
      </x:c>
      <x:c r="I96" s="74" t="n">
        <x:v>45823</x:v>
      </x:c>
      <x:c r="J96" s="74" t="n">
        <x:v>45823</x:v>
      </x:c>
      <x:c r="K96" s="81" t="n">
        <x:v>-12.22</x:v>
      </x:c>
      <x:c r="L96" s="81" t="n">
        <x:v>-12.22</x:v>
      </x:c>
      <x:c r="M96" s="62" t="str">
        <x:v>业务支持费</x:v>
      </x:c>
      <x:c r="N96" s="62" t="str">
        <x:v>冲销购买申请</x:v>
      </x:c>
      <x:c r="O96" s="62" t="str">
        <x:v>上海电气</x:v>
      </x:c>
      <x:c r="P96" s="62" t="str">
        <x:v>北京核工院</x:v>
      </x:c>
      <x:c r="Q96" s="62" t="str">
        <x:v>上海电气</x:v>
      </x:c>
      <x:c r="R96" s="62" t="str">
        <x:v>安全运行部</x:v>
      </x:c>
      <x:c r="S96" s="62" t="str">
        <x:v>PRJ-AQ-概率-2025-002</x:v>
      </x:c>
      <x:c r="T96" s="62" t="str">
        <x:v>释放</x:v>
      </x:c>
      <x:c r="U96" s="86" t="n">
        <x:f>IF(AND(F96="PR",L96&gt;0),L96,0)</x:f>
        <x:v>0</x:v>
      </x:c>
      <x:c r="V96" s="86" t="n">
        <x:f>IF(AND(F96="PR",L96&gt;0,MONTH(I96)=12),L96,0)</x:f>
        <x:v>0</x:v>
      </x:c>
      <x:c r="W96" s="74" t="n">
        <x:v>46022</x:v>
      </x:c>
      <x:c r="X96" s="62" t="str">
        <x:v>OCC|2025|5029|10|PR|94</x:v>
      </x:c>
      <x:c r="Y96" s="62" t="str">
        <x:v>2025年预算占用.XLSX</x:v>
      </x:c>
      <x:c r="Z96" s="62" t="str">
        <x:v>Sheet</x:v>
      </x:c>
      <x:c r="AA96" s="62" t="n">
        <x:v>96</x:v>
      </x:c>
      <x:c r="AB96" s="62" t="str">
        <x:v>5029|10|PR|2025-06-15|96</x:v>
      </x:c>
      <x:c r="AC96" s="62" t="str">
        <x:f>IF(MONTH(I96)=VALUE(RIGHT(H96,2)),"OK","FAIL")</x:f>
        <x:v>OK</x:v>
      </x:c>
      <x:c r="AD96" s="62" t="str">
        <x:f>IF(ABS(L96)&lt;=SUMIFS($L$2:$L$109,$C$2:$C$109,C96,$D$2:$D$109,D96,$F$2:$F$109,F96,$L$2:$L$109,"&gt;0"),"OK","FAIL")</x:f>
        <x:v>OK</x:v>
      </x:c>
    </x:row>
    <x:row r="97">
      <x:c r="A97" s="62" t="str">
        <x:v>OCC|2025|5029|20|PO|97</x:v>
      </x:c>
      <x:c r="B97" s="62" t="str">
        <x:v>CORRECTED</x:v>
      </x:c>
      <x:c r="C97" s="62" t="str">
        <x:v>5029</x:v>
      </x:c>
      <x:c r="D97" s="62" t="str">
        <x:v>20</x:v>
      </x:c>
      <x:c r="E97" s="62" t="str">
        <x:v>采购订单</x:v>
      </x:c>
      <x:c r="F97" s="62" t="str">
        <x:v>PO</x:v>
      </x:c>
      <x:c r="G97" s="62" t="str">
        <x:v>2025-006</x:v>
      </x:c>
      <x:c r="H97" s="62" t="str">
        <x:v>2025-06</x:v>
      </x:c>
      <x:c r="I97" s="74" t="n">
        <x:v>45828</x:v>
      </x:c>
      <x:c r="J97" s="74" t="n">
        <x:v>45828</x:v>
      </x:c>
      <x:c r="K97" s="81" t="n">
        <x:v>-9.29</x:v>
      </x:c>
      <x:c r="L97" s="81" t="n">
        <x:v>-9.29</x:v>
      </x:c>
      <x:c r="M97" s="62" t="str">
        <x:v>业务支持费</x:v>
      </x:c>
      <x:c r="N97" s="62" t="str">
        <x:v>确认成本冲销PO</x:v>
      </x:c>
      <x:c r="O97" s="62" t="str">
        <x:v>中核运维</x:v>
      </x:c>
      <x:c r="P97" s="62" t="str">
        <x:v>上海电气</x:v>
      </x:c>
      <x:c r="Q97" s="62" t="str">
        <x:v>上海电气</x:v>
      </x:c>
      <x:c r="R97" s="62" t="str">
        <x:v>安全运行部</x:v>
      </x:c>
      <x:c r="S97" s="62" t="str">
        <x:v>PRJ-AQ-概率-2025-002</x:v>
      </x:c>
      <x:c r="T97" s="62" t="str">
        <x:v>释放</x:v>
      </x:c>
      <x:c r="U97" s="86" t="n">
        <x:f>IF(AND(F97="PR",L97&gt;0),L97,0)</x:f>
        <x:v>0</x:v>
      </x:c>
      <x:c r="V97" s="86" t="n">
        <x:f>IF(AND(F97="PR",L97&gt;0,MONTH(I97)=12),L97,0)</x:f>
        <x:v>0</x:v>
      </x:c>
      <x:c r="W97" s="74" t="n">
        <x:v>46022</x:v>
      </x:c>
      <x:c r="X97" s="62" t="str">
        <x:v>OCC|2025|5029|20|PO|95</x:v>
      </x:c>
      <x:c r="Y97" s="62" t="str">
        <x:v>2025年预算占用.XLSX</x:v>
      </x:c>
      <x:c r="Z97" s="62" t="str">
        <x:v>Sheet</x:v>
      </x:c>
      <x:c r="AA97" s="62" t="n">
        <x:v>97</x:v>
      </x:c>
      <x:c r="AB97" s="62" t="str">
        <x:v>5029|20|PO|2025-06-20|97</x:v>
      </x:c>
      <x:c r="AC97" s="62" t="str">
        <x:f>IF(MONTH(I97)=VALUE(RIGHT(H97,2)),"OK","FAIL")</x:f>
        <x:v>OK</x:v>
      </x:c>
      <x:c r="AD97" s="62" t="str">
        <x:f>IF(ABS(L97)&lt;=SUMIFS($L$2:$L$109,$C$2:$C$109,C97,$D$2:$D$109,D97,$F$2:$F$109,F97,$L$2:$L$109,"&gt;0"),"OK","FAIL")</x:f>
        <x:v>OK</x:v>
      </x:c>
    </x:row>
    <x:row r="98">
      <x:c r="A98" s="62" t="str">
        <x:v>OCC|2025|5030|10|PR|98</x:v>
      </x:c>
      <x:c r="B98" s="62" t="str">
        <x:v>SOURCE</x:v>
      </x:c>
      <x:c r="C98" s="62" t="str">
        <x:v>5030</x:v>
      </x:c>
      <x:c r="D98" s="62" t="str">
        <x:v>10</x:v>
      </x:c>
      <x:c r="E98" s="62" t="str">
        <x:v>购买申请</x:v>
      </x:c>
      <x:c r="F98" s="62" t="str">
        <x:v>PR</x:v>
      </x:c>
      <x:c r="G98" s="62" t="str">
        <x:v>2025-007</x:v>
      </x:c>
      <x:c r="H98" s="62" t="str">
        <x:v>2025-07</x:v>
      </x:c>
      <x:c r="I98" s="74" t="n">
        <x:v>45848</x:v>
      </x:c>
      <x:c r="J98" s="74" t="n">
        <x:v>45848</x:v>
      </x:c>
      <x:c r="K98" s="81" t="n">
        <x:v>7.01</x:v>
      </x:c>
      <x:c r="L98" s="81" t="n">
        <x:v>7.01</x:v>
      </x:c>
      <x:c r="M98" s="62" t="str">
        <x:v>业务支持费</x:v>
      </x:c>
      <x:c r="N98" s="62" t="str">
        <x:v>技术配置-采购申请</x:v>
      </x:c>
      <x:c r="O98" s="62" t="str">
        <x:v>上海电气</x:v>
      </x:c>
      <x:c r="P98" s="62" t="str">
        <x:v>上海电气</x:v>
      </x:c>
      <x:c r="Q98" s="62" t="str">
        <x:v>华能服务</x:v>
      </x:c>
      <x:c r="R98" s="62" t="str">
        <x:v>安全运行部</x:v>
      </x:c>
      <x:c r="S98" s="62" t="str">
        <x:v>PRJ-AQ-概率-2025-002</x:v>
      </x:c>
      <x:c r="T98" s="62" t="str">
        <x:v>正向</x:v>
      </x:c>
      <x:c r="U98" s="86" t="n">
        <x:f>IF(AND(F98="PR",L98&gt;0),L98,0)</x:f>
        <x:v>7.01</x:v>
      </x:c>
      <x:c r="V98" s="86" t="n">
        <x:f>IF(AND(F98="PR",L98&gt;0,MONTH(I98)=12),L98,0)</x:f>
        <x:v>0</x:v>
      </x:c>
      <x:c r="W98" s="74" t="n">
        <x:v>46022</x:v>
      </x:c>
      <x:c r="X98" s="62" t="str"/>
      <x:c r="Y98" s="62" t="str">
        <x:v>2025年预算占用.XLSX</x:v>
      </x:c>
      <x:c r="Z98" s="62" t="str">
        <x:v>Sheet</x:v>
      </x:c>
      <x:c r="AA98" s="62" t="n">
        <x:v>98</x:v>
      </x:c>
      <x:c r="AB98" s="62" t="str">
        <x:v>5030|10|PR|2025-07-10|98</x:v>
      </x:c>
      <x:c r="AC98" s="62" t="str">
        <x:f>IF(MONTH(I98)=VALUE(RIGHT(H98,2)),"OK","FAIL")</x:f>
        <x:v>OK</x:v>
      </x:c>
      <x:c r="AD98" s="62" t="str">
        <x:f>"OK"</x:f>
        <x:v>OK</x:v>
      </x:c>
    </x:row>
    <x:row r="99">
      <x:c r="A99" s="62" t="str">
        <x:v>OCC|2025|5030|20|PO|99</x:v>
      </x:c>
      <x:c r="B99" s="62" t="str">
        <x:v>SOURCE</x:v>
      </x:c>
      <x:c r="C99" s="62" t="str">
        <x:v>5030</x:v>
      </x:c>
      <x:c r="D99" s="62" t="str">
        <x:v>20</x:v>
      </x:c>
      <x:c r="E99" s="62" t="str">
        <x:v>采购订单</x:v>
      </x:c>
      <x:c r="F99" s="62" t="str">
        <x:v>PO</x:v>
      </x:c>
      <x:c r="G99" s="62" t="str">
        <x:v>2025-007</x:v>
      </x:c>
      <x:c r="H99" s="62" t="str">
        <x:v>2025-07</x:v>
      </x:c>
      <x:c r="I99" s="74" t="n">
        <x:v>45853</x:v>
      </x:c>
      <x:c r="J99" s="74" t="n">
        <x:v>45853</x:v>
      </x:c>
      <x:c r="K99" s="81" t="n">
        <x:v>6.66</x:v>
      </x:c>
      <x:c r="L99" s="81" t="n">
        <x:v>6.66</x:v>
      </x:c>
      <x:c r="M99" s="62" t="str">
        <x:v>业务支持费</x:v>
      </x:c>
      <x:c r="N99" s="62" t="str">
        <x:v>技术配置-采购订单</x:v>
      </x:c>
      <x:c r="O99" s="62" t="str">
        <x:v>华能服务</x:v>
      </x:c>
      <x:c r="P99" s="62" t="str">
        <x:v>华能服务</x:v>
      </x:c>
      <x:c r="Q99" s="62" t="str">
        <x:v>华能服务</x:v>
      </x:c>
      <x:c r="R99" s="62" t="str">
        <x:v>安全运行部</x:v>
      </x:c>
      <x:c r="S99" s="62" t="str">
        <x:v>PRJ-AQ-概率-2025-002</x:v>
      </x:c>
      <x:c r="T99" s="62" t="str">
        <x:v>正向</x:v>
      </x:c>
      <x:c r="U99" s="86" t="n">
        <x:f>IF(AND(F99="PR",L99&gt;0),L99,0)</x:f>
        <x:v>0</x:v>
      </x:c>
      <x:c r="V99" s="86" t="n">
        <x:f>IF(AND(F99="PR",L99&gt;0,MONTH(I99)=12),L99,0)</x:f>
        <x:v>0</x:v>
      </x:c>
      <x:c r="W99" s="74" t="n">
        <x:v>46022</x:v>
      </x:c>
      <x:c r="X99" s="62" t="str"/>
      <x:c r="Y99" s="62" t="str">
        <x:v>2025年预算占用.XLSX</x:v>
      </x:c>
      <x:c r="Z99" s="62" t="str">
        <x:v>Sheet</x:v>
      </x:c>
      <x:c r="AA99" s="62" t="n">
        <x:v>99</x:v>
      </x:c>
      <x:c r="AB99" s="62" t="str">
        <x:v>5030|20|PO|2025-07-15|99</x:v>
      </x:c>
      <x:c r="AC99" s="62" t="str">
        <x:f>IF(MONTH(I99)=VALUE(RIGHT(H99,2)),"OK","FAIL")</x:f>
        <x:v>OK</x:v>
      </x:c>
      <x:c r="AD99" s="62" t="str">
        <x:f>"OK"</x:f>
        <x:v>OK</x:v>
      </x:c>
    </x:row>
    <x:row r="100">
      <x:c r="A100" s="62" t="str">
        <x:v>OCC|2025|5030|10|PR|100</x:v>
      </x:c>
      <x:c r="B100" s="62" t="str">
        <x:v>CORRECTED</x:v>
      </x:c>
      <x:c r="C100" s="62" t="str">
        <x:v>5030</x:v>
      </x:c>
      <x:c r="D100" s="62" t="str">
        <x:v>10</x:v>
      </x:c>
      <x:c r="E100" s="62" t="str">
        <x:v>购买申请</x:v>
      </x:c>
      <x:c r="F100" s="62" t="str">
        <x:v>PR</x:v>
      </x:c>
      <x:c r="G100" s="62" t="str">
        <x:v>2025-007</x:v>
      </x:c>
      <x:c r="H100" s="62" t="str">
        <x:v>2025-07</x:v>
      </x:c>
      <x:c r="I100" s="74" t="n">
        <x:v>45853</x:v>
      </x:c>
      <x:c r="J100" s="74" t="n">
        <x:v>45853</x:v>
      </x:c>
      <x:c r="K100" s="81" t="n">
        <x:v>-7.01</x:v>
      </x:c>
      <x:c r="L100" s="81" t="n">
        <x:v>-7.01</x:v>
      </x:c>
      <x:c r="M100" s="62" t="str">
        <x:v>业务支持费</x:v>
      </x:c>
      <x:c r="N100" s="62" t="str">
        <x:v>冲销购买申请</x:v>
      </x:c>
      <x:c r="O100" s="62" t="str">
        <x:v>国电智深</x:v>
      </x:c>
      <x:c r="P100" s="62" t="str">
        <x:v>上海电气</x:v>
      </x:c>
      <x:c r="Q100" s="62" t="str">
        <x:v>华能服务</x:v>
      </x:c>
      <x:c r="R100" s="62" t="str">
        <x:v>安全运行部</x:v>
      </x:c>
      <x:c r="S100" s="62" t="str">
        <x:v>PRJ-AQ-概率-2025-002</x:v>
      </x:c>
      <x:c r="T100" s="62" t="str">
        <x:v>释放</x:v>
      </x:c>
      <x:c r="U100" s="86" t="n">
        <x:f>IF(AND(F100="PR",L100&gt;0),L100,0)</x:f>
        <x:v>0</x:v>
      </x:c>
      <x:c r="V100" s="86" t="n">
        <x:f>IF(AND(F100="PR",L100&gt;0,MONTH(I100)=12),L100,0)</x:f>
        <x:v>0</x:v>
      </x:c>
      <x:c r="W100" s="74" t="n">
        <x:v>46022</x:v>
      </x:c>
      <x:c r="X100" s="62" t="str">
        <x:v>OCC|2025|5030|10|PR|98</x:v>
      </x:c>
      <x:c r="Y100" s="62" t="str">
        <x:v>2025年预算占用.XLSX</x:v>
      </x:c>
      <x:c r="Z100" s="62" t="str">
        <x:v>Sheet</x:v>
      </x:c>
      <x:c r="AA100" s="62" t="n">
        <x:v>100</x:v>
      </x:c>
      <x:c r="AB100" s="62" t="str">
        <x:v>5030|10|PR|2025-07-15|100</x:v>
      </x:c>
      <x:c r="AC100" s="62" t="str">
        <x:f>IF(MONTH(I100)=VALUE(RIGHT(H100,2)),"OK","FAIL")</x:f>
        <x:v>OK</x:v>
      </x:c>
      <x:c r="AD100" s="62" t="str">
        <x:f>IF(ABS(L100)&lt;=SUMIFS($L$2:$L$109,$C$2:$C$109,C100,$D$2:$D$109,D100,$F$2:$F$109,F100,$L$2:$L$109,"&gt;0"),"OK","FAIL")</x:f>
        <x:v>OK</x:v>
      </x:c>
    </x:row>
    <x:row r="101">
      <x:c r="A101" s="62" t="str">
        <x:v>OCC|2025|5031|10|PR|101</x:v>
      </x:c>
      <x:c r="B101" s="62" t="str">
        <x:v>SOURCE</x:v>
      </x:c>
      <x:c r="C101" s="62" t="str">
        <x:v>5031</x:v>
      </x:c>
      <x:c r="D101" s="62" t="str">
        <x:v>10</x:v>
      </x:c>
      <x:c r="E101" s="62" t="str">
        <x:v>购买申请</x:v>
      </x:c>
      <x:c r="F101" s="62" t="str">
        <x:v>PR</x:v>
      </x:c>
      <x:c r="G101" s="62" t="str">
        <x:v>2025-008</x:v>
      </x:c>
      <x:c r="H101" s="62" t="str">
        <x:v>2025-08</x:v>
      </x:c>
      <x:c r="I101" s="74" t="n">
        <x:v>45879</x:v>
      </x:c>
      <x:c r="J101" s="74" t="n">
        <x:v>45879</x:v>
      </x:c>
      <x:c r="K101" s="81" t="n">
        <x:v>2.58</x:v>
      </x:c>
      <x:c r="L101" s="81" t="n">
        <x:v>2.58</x:v>
      </x:c>
      <x:c r="M101" s="62" t="str">
        <x:v>业务支持费</x:v>
      </x:c>
      <x:c r="N101" s="62" t="str">
        <x:v>技术配置-采购申请</x:v>
      </x:c>
      <x:c r="O101" s="62" t="str">
        <x:v>北京核工院</x:v>
      </x:c>
      <x:c r="P101" s="62" t="str">
        <x:v>北京核工院</x:v>
      </x:c>
      <x:c r="Q101" s="62" t="str">
        <x:v>中核运维</x:v>
      </x:c>
      <x:c r="R101" s="62" t="str">
        <x:v>安全运行部</x:v>
      </x:c>
      <x:c r="S101" s="62" t="str">
        <x:v>PRJ-AQ-概率-2025-002</x:v>
      </x:c>
      <x:c r="T101" s="62" t="str">
        <x:v>正向</x:v>
      </x:c>
      <x:c r="U101" s="86" t="n">
        <x:f>IF(AND(F101="PR",L101&gt;0),L101,0)</x:f>
        <x:v>2.58</x:v>
      </x:c>
      <x:c r="V101" s="86" t="n">
        <x:f>IF(AND(F101="PR",L101&gt;0,MONTH(I101)=12),L101,0)</x:f>
        <x:v>0</x:v>
      </x:c>
      <x:c r="W101" s="74" t="n">
        <x:v>46022</x:v>
      </x:c>
      <x:c r="X101" s="62" t="str"/>
      <x:c r="Y101" s="62" t="str">
        <x:v>2025年预算占用.XLSX</x:v>
      </x:c>
      <x:c r="Z101" s="62" t="str">
        <x:v>Sheet</x:v>
      </x:c>
      <x:c r="AA101" s="62" t="n">
        <x:v>101</x:v>
      </x:c>
      <x:c r="AB101" s="62" t="str">
        <x:v>5031|10|PR|2025-08-10|101</x:v>
      </x:c>
      <x:c r="AC101" s="62" t="str">
        <x:f>IF(MONTH(I101)=VALUE(RIGHT(H101,2)),"OK","FAIL")</x:f>
        <x:v>OK</x:v>
      </x:c>
      <x:c r="AD101" s="62" t="str">
        <x:f>"OK"</x:f>
        <x:v>OK</x:v>
      </x:c>
    </x:row>
    <x:row r="102">
      <x:c r="A102" s="62" t="str">
        <x:v>OCC|2025|5031|20|PO|102</x:v>
      </x:c>
      <x:c r="B102" s="62" t="str">
        <x:v>SOURCE</x:v>
      </x:c>
      <x:c r="C102" s="62" t="str">
        <x:v>5031</x:v>
      </x:c>
      <x:c r="D102" s="62" t="str">
        <x:v>20</x:v>
      </x:c>
      <x:c r="E102" s="62" t="str">
        <x:v>采购订单</x:v>
      </x:c>
      <x:c r="F102" s="62" t="str">
        <x:v>PO</x:v>
      </x:c>
      <x:c r="G102" s="62" t="str">
        <x:v>2025-008</x:v>
      </x:c>
      <x:c r="H102" s="62" t="str">
        <x:v>2025-08</x:v>
      </x:c>
      <x:c r="I102" s="74" t="n">
        <x:v>45884</x:v>
      </x:c>
      <x:c r="J102" s="74" t="n">
        <x:v>45884</x:v>
      </x:c>
      <x:c r="K102" s="81" t="n">
        <x:v>2.45</x:v>
      </x:c>
      <x:c r="L102" s="81" t="n">
        <x:v>2.45</x:v>
      </x:c>
      <x:c r="M102" s="62" t="str">
        <x:v>业务支持费</x:v>
      </x:c>
      <x:c r="N102" s="62" t="str">
        <x:v>技术配置-采购订单</x:v>
      </x:c>
      <x:c r="O102" s="62" t="str">
        <x:v>中核运维</x:v>
      </x:c>
      <x:c r="P102" s="62" t="str">
        <x:v>中核运维</x:v>
      </x:c>
      <x:c r="Q102" s="62" t="str">
        <x:v>中核运维</x:v>
      </x:c>
      <x:c r="R102" s="62" t="str">
        <x:v>安全运行部</x:v>
      </x:c>
      <x:c r="S102" s="62" t="str">
        <x:v>PRJ-AQ-概率-2025-002</x:v>
      </x:c>
      <x:c r="T102" s="62" t="str">
        <x:v>正向</x:v>
      </x:c>
      <x:c r="U102" s="86" t="n">
        <x:f>IF(AND(F102="PR",L102&gt;0),L102,0)</x:f>
        <x:v>0</x:v>
      </x:c>
      <x:c r="V102" s="86" t="n">
        <x:f>IF(AND(F102="PR",L102&gt;0,MONTH(I102)=12),L102,0)</x:f>
        <x:v>0</x:v>
      </x:c>
      <x:c r="W102" s="74" t="n">
        <x:v>46022</x:v>
      </x:c>
      <x:c r="X102" s="62" t="str"/>
      <x:c r="Y102" s="62" t="str">
        <x:v>2025年预算占用.XLSX</x:v>
      </x:c>
      <x:c r="Z102" s="62" t="str">
        <x:v>Sheet</x:v>
      </x:c>
      <x:c r="AA102" s="62" t="n">
        <x:v>102</x:v>
      </x:c>
      <x:c r="AB102" s="62" t="str">
        <x:v>5031|20|PO|2025-08-15|102</x:v>
      </x:c>
      <x:c r="AC102" s="62" t="str">
        <x:f>IF(MONTH(I102)=VALUE(RIGHT(H102,2)),"OK","FAIL")</x:f>
        <x:v>OK</x:v>
      </x:c>
      <x:c r="AD102" s="62" t="str">
        <x:f>"OK"</x:f>
        <x:v>OK</x:v>
      </x:c>
    </x:row>
    <x:row r="103">
      <x:c r="A103" s="62" t="str">
        <x:v>OCC|2025|5031|10|PR|103</x:v>
      </x:c>
      <x:c r="B103" s="62" t="str">
        <x:v>CORRECTED</x:v>
      </x:c>
      <x:c r="C103" s="62" t="str">
        <x:v>5031</x:v>
      </x:c>
      <x:c r="D103" s="62" t="str">
        <x:v>10</x:v>
      </x:c>
      <x:c r="E103" s="62" t="str">
        <x:v>购买申请</x:v>
      </x:c>
      <x:c r="F103" s="62" t="str">
        <x:v>PR</x:v>
      </x:c>
      <x:c r="G103" s="62" t="str">
        <x:v>2025-008</x:v>
      </x:c>
      <x:c r="H103" s="62" t="str">
        <x:v>2025-08</x:v>
      </x:c>
      <x:c r="I103" s="74" t="n">
        <x:v>45884</x:v>
      </x:c>
      <x:c r="J103" s="74" t="n">
        <x:v>45884</x:v>
      </x:c>
      <x:c r="K103" s="81" t="n">
        <x:v>-2.58</x:v>
      </x:c>
      <x:c r="L103" s="81" t="n">
        <x:v>-2.58</x:v>
      </x:c>
      <x:c r="M103" s="62" t="str">
        <x:v>业务支持费</x:v>
      </x:c>
      <x:c r="N103" s="62" t="str">
        <x:v>冲销购买申请</x:v>
      </x:c>
      <x:c r="O103" s="62" t="str">
        <x:v>上海电气</x:v>
      </x:c>
      <x:c r="P103" s="62" t="str">
        <x:v>北京核工院</x:v>
      </x:c>
      <x:c r="Q103" s="62" t="str">
        <x:v>中核运维</x:v>
      </x:c>
      <x:c r="R103" s="62" t="str">
        <x:v>安全运行部</x:v>
      </x:c>
      <x:c r="S103" s="62" t="str">
        <x:v>PRJ-AQ-概率-2025-002</x:v>
      </x:c>
      <x:c r="T103" s="62" t="str">
        <x:v>释放</x:v>
      </x:c>
      <x:c r="U103" s="86" t="n">
        <x:f>IF(AND(F103="PR",L103&gt;0),L103,0)</x:f>
        <x:v>0</x:v>
      </x:c>
      <x:c r="V103" s="86" t="n">
        <x:f>IF(AND(F103="PR",L103&gt;0,MONTH(I103)=12),L103,0)</x:f>
        <x:v>0</x:v>
      </x:c>
      <x:c r="W103" s="74" t="n">
        <x:v>46022</x:v>
      </x:c>
      <x:c r="X103" s="62" t="str">
        <x:v>OCC|2025|5031|10|PR|101</x:v>
      </x:c>
      <x:c r="Y103" s="62" t="str">
        <x:v>2025年预算占用.XLSX</x:v>
      </x:c>
      <x:c r="Z103" s="62" t="str">
        <x:v>Sheet</x:v>
      </x:c>
      <x:c r="AA103" s="62" t="n">
        <x:v>103</x:v>
      </x:c>
      <x:c r="AB103" s="62" t="str">
        <x:v>5031|10|PR|2025-08-15|103</x:v>
      </x:c>
      <x:c r="AC103" s="62" t="str">
        <x:f>IF(MONTH(I103)=VALUE(RIGHT(H103,2)),"OK","FAIL")</x:f>
        <x:v>OK</x:v>
      </x:c>
      <x:c r="AD103" s="62" t="str">
        <x:f>IF(ABS(L103)&lt;=SUMIFS($L$2:$L$109,$C$2:$C$109,C103,$D$2:$D$109,D103,$F$2:$F$109,F103,$L$2:$L$109,"&gt;0"),"OK","FAIL")</x:f>
        <x:v>OK</x:v>
      </x:c>
    </x:row>
    <x:row r="104">
      <x:c r="A104" s="62" t="str">
        <x:v>OCC|2025|5032|10|PR|104</x:v>
      </x:c>
      <x:c r="B104" s="62" t="str">
        <x:v>SOURCE</x:v>
      </x:c>
      <x:c r="C104" s="62" t="str">
        <x:v>5032</x:v>
      </x:c>
      <x:c r="D104" s="62" t="str">
        <x:v>10</x:v>
      </x:c>
      <x:c r="E104" s="62" t="str">
        <x:v>购买申请</x:v>
      </x:c>
      <x:c r="F104" s="62" t="str">
        <x:v>PR</x:v>
      </x:c>
      <x:c r="G104" s="62" t="str">
        <x:v>2025-009</x:v>
      </x:c>
      <x:c r="H104" s="62" t="str">
        <x:v>2025-09</x:v>
      </x:c>
      <x:c r="I104" s="74" t="n">
        <x:v>45910</x:v>
      </x:c>
      <x:c r="J104" s="74" t="n">
        <x:v>45910</x:v>
      </x:c>
      <x:c r="K104" s="81" t="n">
        <x:v>14.03</x:v>
      </x:c>
      <x:c r="L104" s="81" t="n">
        <x:v>14.03</x:v>
      </x:c>
      <x:c r="M104" s="62" t="str">
        <x:v>业务支持费</x:v>
      </x:c>
      <x:c r="N104" s="62" t="str">
        <x:v>技术配置-采购申请</x:v>
      </x:c>
      <x:c r="O104" s="62" t="str">
        <x:v>上海电气</x:v>
      </x:c>
      <x:c r="P104" s="62" t="str">
        <x:v>上海电气</x:v>
      </x:c>
      <x:c r="Q104" s="62" t="str">
        <x:v>苏州热工</x:v>
      </x:c>
      <x:c r="R104" s="62" t="str">
        <x:v>安全运行部</x:v>
      </x:c>
      <x:c r="S104" s="62" t="str">
        <x:v>PRJ-AQ-概率-2025-002</x:v>
      </x:c>
      <x:c r="T104" s="62" t="str">
        <x:v>正向</x:v>
      </x:c>
      <x:c r="U104" s="86" t="n">
        <x:f>IF(AND(F104="PR",L104&gt;0),L104,0)</x:f>
        <x:v>14.03</x:v>
      </x:c>
      <x:c r="V104" s="86" t="n">
        <x:f>IF(AND(F104="PR",L104&gt;0,MONTH(I104)=12),L104,0)</x:f>
        <x:v>0</x:v>
      </x:c>
      <x:c r="W104" s="74" t="n">
        <x:v>46022</x:v>
      </x:c>
      <x:c r="X104" s="62" t="str"/>
      <x:c r="Y104" s="62" t="str">
        <x:v>2025年预算占用.XLSX</x:v>
      </x:c>
      <x:c r="Z104" s="62" t="str">
        <x:v>Sheet</x:v>
      </x:c>
      <x:c r="AA104" s="62" t="n">
        <x:v>104</x:v>
      </x:c>
      <x:c r="AB104" s="62" t="str">
        <x:v>5032|10|PR|2025-09-10|104</x:v>
      </x:c>
      <x:c r="AC104" s="62" t="str">
        <x:f>IF(MONTH(I104)=VALUE(RIGHT(H104,2)),"OK","FAIL")</x:f>
        <x:v>OK</x:v>
      </x:c>
      <x:c r="AD104" s="62" t="str">
        <x:f>"OK"</x:f>
        <x:v>OK</x:v>
      </x:c>
    </x:row>
    <x:row r="105">
      <x:c r="A105" s="62" t="str">
        <x:v>OCC|2025|5032|20|PO|105</x:v>
      </x:c>
      <x:c r="B105" s="62" t="str">
        <x:v>SOURCE</x:v>
      </x:c>
      <x:c r="C105" s="62" t="str">
        <x:v>5032</x:v>
      </x:c>
      <x:c r="D105" s="62" t="str">
        <x:v>20</x:v>
      </x:c>
      <x:c r="E105" s="62" t="str">
        <x:v>采购订单</x:v>
      </x:c>
      <x:c r="F105" s="62" t="str">
        <x:v>PO</x:v>
      </x:c>
      <x:c r="G105" s="62" t="str">
        <x:v>2025-009</x:v>
      </x:c>
      <x:c r="H105" s="62" t="str">
        <x:v>2025-09</x:v>
      </x:c>
      <x:c r="I105" s="74" t="n">
        <x:v>45915</x:v>
      </x:c>
      <x:c r="J105" s="74" t="n">
        <x:v>45915</x:v>
      </x:c>
      <x:c r="K105" s="81" t="n">
        <x:v>13.33</x:v>
      </x:c>
      <x:c r="L105" s="81" t="n">
        <x:v>13.33</x:v>
      </x:c>
      <x:c r="M105" s="62" t="str">
        <x:v>业务支持费</x:v>
      </x:c>
      <x:c r="N105" s="62" t="str">
        <x:v>技术配置-采购订单</x:v>
      </x:c>
      <x:c r="O105" s="62" t="str">
        <x:v>苏州热工</x:v>
      </x:c>
      <x:c r="P105" s="62" t="str">
        <x:v>苏州热工</x:v>
      </x:c>
      <x:c r="Q105" s="62" t="str">
        <x:v>苏州热工</x:v>
      </x:c>
      <x:c r="R105" s="62" t="str">
        <x:v>安全运行部</x:v>
      </x:c>
      <x:c r="S105" s="62" t="str">
        <x:v>PRJ-AQ-概率-2025-002</x:v>
      </x:c>
      <x:c r="T105" s="62" t="str">
        <x:v>正向</x:v>
      </x:c>
      <x:c r="U105" s="86" t="n">
        <x:f>IF(AND(F105="PR",L105&gt;0),L105,0)</x:f>
        <x:v>0</x:v>
      </x:c>
      <x:c r="V105" s="86" t="n">
        <x:f>IF(AND(F105="PR",L105&gt;0,MONTH(I105)=12),L105,0)</x:f>
        <x:v>0</x:v>
      </x:c>
      <x:c r="W105" s="74" t="n">
        <x:v>46022</x:v>
      </x:c>
      <x:c r="X105" s="62" t="str"/>
      <x:c r="Y105" s="62" t="str">
        <x:v>2025年预算占用.XLSX</x:v>
      </x:c>
      <x:c r="Z105" s="62" t="str">
        <x:v>Sheet</x:v>
      </x:c>
      <x:c r="AA105" s="62" t="n">
        <x:v>105</x:v>
      </x:c>
      <x:c r="AB105" s="62" t="str">
        <x:v>5032|20|PO|2025-09-15|105</x:v>
      </x:c>
      <x:c r="AC105" s="62" t="str">
        <x:f>IF(MONTH(I105)=VALUE(RIGHT(H105,2)),"OK","FAIL")</x:f>
        <x:v>OK</x:v>
      </x:c>
      <x:c r="AD105" s="62" t="str">
        <x:f>"OK"</x:f>
        <x:v>OK</x:v>
      </x:c>
    </x:row>
    <x:row r="106">
      <x:c r="A106" s="62" t="str">
        <x:v>OCC|2025|5032|10|PR|106</x:v>
      </x:c>
      <x:c r="B106" s="62" t="str">
        <x:v>CORRECTED</x:v>
      </x:c>
      <x:c r="C106" s="62" t="str">
        <x:v>5032</x:v>
      </x:c>
      <x:c r="D106" s="62" t="str">
        <x:v>10</x:v>
      </x:c>
      <x:c r="E106" s="62" t="str">
        <x:v>购买申请</x:v>
      </x:c>
      <x:c r="F106" s="62" t="str">
        <x:v>PR</x:v>
      </x:c>
      <x:c r="G106" s="62" t="str">
        <x:v>2025-009</x:v>
      </x:c>
      <x:c r="H106" s="62" t="str">
        <x:v>2025-09</x:v>
      </x:c>
      <x:c r="I106" s="74" t="n">
        <x:v>45915</x:v>
      </x:c>
      <x:c r="J106" s="74" t="n">
        <x:v>45915</x:v>
      </x:c>
      <x:c r="K106" s="81" t="n">
        <x:v>-14.03</x:v>
      </x:c>
      <x:c r="L106" s="81" t="n">
        <x:v>-14.03</x:v>
      </x:c>
      <x:c r="M106" s="62" t="str">
        <x:v>业务支持费</x:v>
      </x:c>
      <x:c r="N106" s="62" t="str">
        <x:v>冲销购买申请</x:v>
      </x:c>
      <x:c r="O106" s="62" t="str">
        <x:v>苏州热工</x:v>
      </x:c>
      <x:c r="P106" s="62" t="str">
        <x:v>上海电气</x:v>
      </x:c>
      <x:c r="Q106" s="62" t="str">
        <x:v>苏州热工</x:v>
      </x:c>
      <x:c r="R106" s="62" t="str">
        <x:v>安全运行部</x:v>
      </x:c>
      <x:c r="S106" s="62" t="str">
        <x:v>PRJ-AQ-概率-2025-002</x:v>
      </x:c>
      <x:c r="T106" s="62" t="str">
        <x:v>释放</x:v>
      </x:c>
      <x:c r="U106" s="86" t="n">
        <x:f>IF(AND(F106="PR",L106&gt;0),L106,0)</x:f>
        <x:v>0</x:v>
      </x:c>
      <x:c r="V106" s="86" t="n">
        <x:f>IF(AND(F106="PR",L106&gt;0,MONTH(I106)=12),L106,0)</x:f>
        <x:v>0</x:v>
      </x:c>
      <x:c r="W106" s="74" t="n">
        <x:v>46022</x:v>
      </x:c>
      <x:c r="X106" s="62" t="str">
        <x:v>OCC|2025|5032|10|PR|104</x:v>
      </x:c>
      <x:c r="Y106" s="62" t="str">
        <x:v>2025年预算占用.XLSX</x:v>
      </x:c>
      <x:c r="Z106" s="62" t="str">
        <x:v>Sheet</x:v>
      </x:c>
      <x:c r="AA106" s="62" t="n">
        <x:v>106</x:v>
      </x:c>
      <x:c r="AB106" s="62" t="str">
        <x:v>5032|10|PR|2025-09-15|106</x:v>
      </x:c>
      <x:c r="AC106" s="62" t="str">
        <x:f>IF(MONTH(I106)=VALUE(RIGHT(H106,2)),"OK","FAIL")</x:f>
        <x:v>OK</x:v>
      </x:c>
      <x:c r="AD106" s="62" t="str">
        <x:f>IF(ABS(L106)&lt;=SUMIFS($L$2:$L$109,$C$2:$C$109,C106,$D$2:$D$109,D106,$F$2:$F$109,F106,$L$2:$L$109,"&gt;0"),"OK","FAIL")</x:f>
        <x:v>OK</x:v>
      </x:c>
    </x:row>
    <x:row r="107">
      <x:c r="A107" s="62" t="str">
        <x:v>OCC|2025|5033|10|PR|107</x:v>
      </x:c>
      <x:c r="B107" s="62" t="str">
        <x:v>SOURCE</x:v>
      </x:c>
      <x:c r="C107" s="62" t="str">
        <x:v>5033</x:v>
      </x:c>
      <x:c r="D107" s="62" t="str">
        <x:v>10</x:v>
      </x:c>
      <x:c r="E107" s="62" t="str">
        <x:v>购买申请</x:v>
      </x:c>
      <x:c r="F107" s="62" t="str">
        <x:v>PR</x:v>
      </x:c>
      <x:c r="G107" s="62" t="str">
        <x:v>2025-010</x:v>
      </x:c>
      <x:c r="H107" s="62" t="str">
        <x:v>2025-10</x:v>
      </x:c>
      <x:c r="I107" s="74" t="n">
        <x:v>45940</x:v>
      </x:c>
      <x:c r="J107" s="74" t="n">
        <x:v>45940</x:v>
      </x:c>
      <x:c r="K107" s="81" t="n">
        <x:v>14.22</x:v>
      </x:c>
      <x:c r="L107" s="81" t="n">
        <x:v>14.22</x:v>
      </x:c>
      <x:c r="M107" s="62" t="str">
        <x:v>业务支持费</x:v>
      </x:c>
      <x:c r="N107" s="62" t="str">
        <x:v>技术配置-采购申请</x:v>
      </x:c>
      <x:c r="O107" s="62" t="str">
        <x:v>苏州热工</x:v>
      </x:c>
      <x:c r="P107" s="62" t="str">
        <x:v>苏州热工</x:v>
      </x:c>
      <x:c r="Q107" s="62" t="str">
        <x:v>苏州热工</x:v>
      </x:c>
      <x:c r="R107" s="62" t="str">
        <x:v>安全运行部</x:v>
      </x:c>
      <x:c r="S107" s="62" t="str">
        <x:v>PRJ-AQ-概率-2025-002</x:v>
      </x:c>
      <x:c r="T107" s="62" t="str">
        <x:v>正向</x:v>
      </x:c>
      <x:c r="U107" s="86" t="n">
        <x:f>IF(AND(F107="PR",L107&gt;0),L107,0)</x:f>
        <x:v>14.22</x:v>
      </x:c>
      <x:c r="V107" s="86" t="n">
        <x:f>IF(AND(F107="PR",L107&gt;0,MONTH(I107)=12),L107,0)</x:f>
        <x:v>0</x:v>
      </x:c>
      <x:c r="W107" s="74" t="n">
        <x:v>46022</x:v>
      </x:c>
      <x:c r="X107" s="62" t="str"/>
      <x:c r="Y107" s="62" t="str">
        <x:v>2025年预算占用.XLSX</x:v>
      </x:c>
      <x:c r="Z107" s="62" t="str">
        <x:v>Sheet</x:v>
      </x:c>
      <x:c r="AA107" s="62" t="n">
        <x:v>107</x:v>
      </x:c>
      <x:c r="AB107" s="62" t="str">
        <x:v>5033|10|PR|2025-10-10|107</x:v>
      </x:c>
      <x:c r="AC107" s="62" t="str">
        <x:f>IF(MONTH(I107)=VALUE(RIGHT(H107,2)),"OK","FAIL")</x:f>
        <x:v>OK</x:v>
      </x:c>
      <x:c r="AD107" s="62" t="str">
        <x:f>"OK"</x:f>
        <x:v>OK</x:v>
      </x:c>
    </x:row>
    <x:row r="108">
      <x:c r="A108" s="62" t="str">
        <x:v>OCC|2025|5034|10|PR|108</x:v>
      </x:c>
      <x:c r="B108" s="62" t="str">
        <x:v>SOURCE</x:v>
      </x:c>
      <x:c r="C108" s="62" t="str">
        <x:v>5034</x:v>
      </x:c>
      <x:c r="D108" s="62" t="str">
        <x:v>10</x:v>
      </x:c>
      <x:c r="E108" s="62" t="str">
        <x:v>购买申请</x:v>
      </x:c>
      <x:c r="F108" s="62" t="str">
        <x:v>PR</x:v>
      </x:c>
      <x:c r="G108" s="62" t="str">
        <x:v>2025-011</x:v>
      </x:c>
      <x:c r="H108" s="62" t="str">
        <x:v>2025-11</x:v>
      </x:c>
      <x:c r="I108" s="74" t="n">
        <x:v>45971</x:v>
      </x:c>
      <x:c r="J108" s="74" t="n">
        <x:v>45971</x:v>
      </x:c>
      <x:c r="K108" s="81" t="n">
        <x:v>10.72</x:v>
      </x:c>
      <x:c r="L108" s="81" t="n">
        <x:v>10.72</x:v>
      </x:c>
      <x:c r="M108" s="62" t="str">
        <x:v>业务支持费</x:v>
      </x:c>
      <x:c r="N108" s="62" t="str">
        <x:v>技术配置-采购申请</x:v>
      </x:c>
      <x:c r="O108" s="62" t="str">
        <x:v>国电智深</x:v>
      </x:c>
      <x:c r="P108" s="62" t="str">
        <x:v>国电智深</x:v>
      </x:c>
      <x:c r="Q108" s="62" t="str">
        <x:v>国电智深</x:v>
      </x:c>
      <x:c r="R108" s="62" t="str">
        <x:v>安全运行部</x:v>
      </x:c>
      <x:c r="S108" s="62" t="str">
        <x:v>PRJ-AQ-概率-2025-002</x:v>
      </x:c>
      <x:c r="T108" s="62" t="str">
        <x:v>正向</x:v>
      </x:c>
      <x:c r="U108" s="86" t="n">
        <x:f>IF(AND(F108="PR",L108&gt;0),L108,0)</x:f>
        <x:v>10.72</x:v>
      </x:c>
      <x:c r="V108" s="86" t="n">
        <x:f>IF(AND(F108="PR",L108&gt;0,MONTH(I108)=12),L108,0)</x:f>
        <x:v>0</x:v>
      </x:c>
      <x:c r="W108" s="74" t="n">
        <x:v>46022</x:v>
      </x:c>
      <x:c r="X108" s="62" t="str"/>
      <x:c r="Y108" s="62" t="str">
        <x:v>2025年预算占用.XLSX</x:v>
      </x:c>
      <x:c r="Z108" s="62" t="str">
        <x:v>Sheet</x:v>
      </x:c>
      <x:c r="AA108" s="62" t="n">
        <x:v>108</x:v>
      </x:c>
      <x:c r="AB108" s="62" t="str">
        <x:v>5034|10|PR|2025-11-10|108</x:v>
      </x:c>
      <x:c r="AC108" s="62" t="str">
        <x:f>IF(MONTH(I108)=VALUE(RIGHT(H108,2)),"OK","FAIL")</x:f>
        <x:v>OK</x:v>
      </x:c>
      <x:c r="AD108" s="62" t="str">
        <x:f>"OK"</x:f>
        <x:v>OK</x:v>
      </x:c>
    </x:row>
    <x:row r="109">
      <x:c r="A109" s="62" t="str">
        <x:v>OCC|2025|5035|10|PR|109</x:v>
      </x:c>
      <x:c r="B109" s="62" t="str">
        <x:v>SOURCE</x:v>
      </x:c>
      <x:c r="C109" s="62" t="str">
        <x:v>5035</x:v>
      </x:c>
      <x:c r="D109" s="62" t="str">
        <x:v>10</x:v>
      </x:c>
      <x:c r="E109" s="62" t="str">
        <x:v>购买申请</x:v>
      </x:c>
      <x:c r="F109" s="62" t="str">
        <x:v>PR</x:v>
      </x:c>
      <x:c r="G109" s="62" t="str">
        <x:v>2025-012</x:v>
      </x:c>
      <x:c r="H109" s="62" t="str">
        <x:v>2025-12</x:v>
      </x:c>
      <x:c r="I109" s="74" t="n">
        <x:v>46001</x:v>
      </x:c>
      <x:c r="J109" s="74" t="n">
        <x:v>46001</x:v>
      </x:c>
      <x:c r="K109" s="81" t="n">
        <x:v>7.61</x:v>
      </x:c>
      <x:c r="L109" s="81" t="n">
        <x:v>7.61</x:v>
      </x:c>
      <x:c r="M109" s="62" t="str">
        <x:v>业务支持费</x:v>
      </x:c>
      <x:c r="N109" s="62" t="str">
        <x:v>技术配置-采购申请</x:v>
      </x:c>
      <x:c r="O109" s="62" t="str">
        <x:v>苏州热工</x:v>
      </x:c>
      <x:c r="P109" s="62" t="str">
        <x:v>苏州热工</x:v>
      </x:c>
      <x:c r="Q109" s="62" t="str">
        <x:v>苏州热工</x:v>
      </x:c>
      <x:c r="R109" s="62" t="str">
        <x:v>安全运行部</x:v>
      </x:c>
      <x:c r="S109" s="62" t="str">
        <x:v>PRJ-AQ-概率-2025-002</x:v>
      </x:c>
      <x:c r="T109" s="62" t="str">
        <x:v>正向</x:v>
      </x:c>
      <x:c r="U109" s="86" t="n">
        <x:f>IF(AND(F109="PR",L109&gt;0),L109,0)</x:f>
        <x:v>7.61</x:v>
      </x:c>
      <x:c r="V109" s="86" t="n">
        <x:f>IF(AND(F109="PR",L109&gt;0,MONTH(I109)=12),L109,0)</x:f>
        <x:v>7.61</x:v>
      </x:c>
      <x:c r="W109" s="74" t="n">
        <x:v>46022</x:v>
      </x:c>
      <x:c r="X109" s="62" t="str"/>
      <x:c r="Y109" s="62" t="str">
        <x:v>2025年预算占用.XLSX</x:v>
      </x:c>
      <x:c r="Z109" s="62" t="str">
        <x:v>Sheet</x:v>
      </x:c>
      <x:c r="AA109" s="62" t="n">
        <x:v>109</x:v>
      </x:c>
      <x:c r="AB109" s="62" t="str">
        <x:v>5035|10|PR|2025-12-10|109</x:v>
      </x:c>
      <x:c r="AC109" s="62" t="str">
        <x:f>IF(MONTH(I109)=VALUE(RIGHT(H109,2)),"OK","FAIL")</x:f>
        <x:v>OK</x:v>
      </x:c>
      <x:c r="AD109" s="62" t="str">
        <x:f>"OK"</x:f>
        <x:v>OK</x:v>
      </x:c>
    </x:row>
  </x:sheetData>
  <x:conditionalFormatting sqref="AC2:AD109">
    <x:cfRule type="containsText" dxfId="37" priority="1" operator="containsText" text="OK"/>
    <x:cfRule type="containsText" dxfId="38" priority="2" operator="containsText" text="PASS"/>
    <x:cfRule type="containsText" dxfId="39" priority="3" operator="containsText" text="FAIL"/>
    <x:cfRule type="containsText" dxfId="40" priority="4" operator="containsText" text="阻塞"/>
    <x:cfRule type="containsText" dxfId="41" priority="5" operator="containsText" text="待复核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  <x:col min="9" max="9" width="14" hidden="0" customWidth="1"/>
    <x:col min="10" max="10" width="16" hidden="0" customWidth="1"/>
    <x:col min="11" max="11" width="20" hidden="0" customWidth="1"/>
    <x:col min="12" max="12" width="15" hidden="0" customWidth="1"/>
    <x:col min="13" max="13" width="14" hidden="0" customWidth="1"/>
    <x:col min="14" max="14" width="14" hidden="0" customWidth="1"/>
    <x:col min="15" max="15" width="48" hidden="0" customWidth="1"/>
    <x:col min="16" max="16" width="30" hidden="0" customWidth="1"/>
    <x:col min="17" max="17" width="10" hidden="0" customWidth="1"/>
    <x:col min="18" max="18" width="11" hidden="0" customWidth="1"/>
    <x:col min="19" max="19" width="44" hidden="0" customWidth="1"/>
  </x:cols>
  <x:sheetData>
    <x:row r="1" ht="34" customHeight="1">
      <x:c r="A1" s="68" t="str">
        <x:v>项目编号</x:v>
      </x:c>
      <x:c r="B1" s="69" t="str">
        <x:v>项目</x:v>
      </x:c>
      <x:c r="C1" s="69" t="str">
        <x:v>立项金额</x:v>
      </x:c>
      <x:c r="D1" s="69" t="str">
        <x:v>源已使用金额</x:v>
      </x:c>
      <x:c r="E1" s="69" t="str">
        <x:v>2024演示实际费用</x:v>
      </x:c>
      <x:c r="F1" s="69" t="str">
        <x:v>2025演示实际费用</x:v>
      </x:c>
      <x:c r="G1" s="69" t="str">
        <x:v>2024-2025累计实际</x:v>
      </x:c>
      <x:c r="H1" s="69" t="str">
        <x:v>净在途占用</x:v>
      </x:c>
      <x:c r="I1" s="69" t="str">
        <x:v>未结计提</x:v>
      </x:c>
      <x:c r="J1" s="69" t="str">
        <x:v>重算已使用</x:v>
      </x:c>
      <x:c r="K1" s="69" t="str">
        <x:v>项目可用立项余额</x:v>
      </x:c>
      <x:c r="L1" s="69" t="str">
        <x:v>状态</x:v>
      </x:c>
      <x:c r="M1" s="69" t="str">
        <x:v>快照时点</x:v>
      </x:c>
      <x:c r="N1" s="69" t="str">
        <x:v>数据标记</x:v>
      </x:c>
      <x:c r="O1" s="69" t="str">
        <x:v>演示时间范围</x:v>
      </x:c>
      <x:c r="P1" s="69" t="str">
        <x:v>来源文件</x:v>
      </x:c>
      <x:c r="Q1" s="69" t="str">
        <x:v>源行</x:v>
      </x:c>
      <x:c r="R1" s="69" t="str">
        <x:v>余额QC</x:v>
      </x:c>
      <x:c r="S1" s="70" t="str">
        <x:v>业务异常与Action候选</x:v>
      </x:c>
    </x:row>
    <x:row r="2">
      <x:c r="A2" s="62" t="str">
        <x:v>PRJ-SB-设备-2024-001</x:v>
      </x:c>
      <x:c r="B2" s="62" t="str">
        <x:v>设备维护</x:v>
      </x:c>
      <x:c r="C2" s="77" t="n">
        <x:v>567</x:v>
      </x:c>
      <x:c r="D2" s="77" t="n">
        <x:v>397</x:v>
      </x:c>
      <x:c r="E2" s="79" t="n">
        <x:f>SUMIFS('04_2024实际_演示'!$Q$2:$Q$204,'04_2024实际_演示'!$AB$2:$AB$204,$A2,'04_2024实际_演示'!$D$2:$D$204,"&lt;&gt;营业收入")</x:f>
        <x:v>158.53476666666663</x:v>
      </x:c>
      <x:c r="F2" s="79" t="n">
        <x:f>SUMIFS('05_2025实际_演示'!$Q$2:$Q$218,'05_2025实际_演示'!$AB$2:$AB$218,$A2,'05_2025实际_演示'!$D$2:$D$218,"&lt;&gt;营业收入")</x:f>
        <x:v>82.4564</x:v>
      </x:c>
      <x:c r="G2" s="79" t="n">
        <x:f>E2+F2</x:f>
        <x:v>240.99116666666663</x:v>
      </x:c>
      <x:c r="H2" s="79" t="n">
        <x:f>SUMIFS('11_2025占用事件'!$L$2:$L$109,'11_2025占用事件'!$S$2:$S$109,$A2)</x:f>
        <x:v>0</x:v>
      </x:c>
      <x:c r="I2" s="79" t="n">
        <x:v>0</x:v>
      </x:c>
      <x:c r="J2" s="79" t="n">
        <x:f>G2+H2+I2</x:f>
        <x:v>240.99116666666663</x:v>
      </x:c>
      <x:c r="K2" s="79" t="n">
        <x:f>C2-J2</x:f>
        <x:v>326.00883333333337</x:v>
      </x:c>
      <x:c r="L2" s="62" t="str">
        <x:f>IF(K2&lt;0,"超立项余额","可用")</x:f>
        <x:v>可用</x:v>
      </x:c>
      <x:c r="M2" s="74" t="n">
        <x:v>46022</x:v>
      </x:c>
      <x:c r="N2" s="62" t="str">
        <x:v>DERIVED</x:v>
      </x:c>
      <x:c r="O2" s="71" t="str">
        <x:v>2024-01-01至2025-12-31演示范围；项目编号年份片段不代表启动年</x:v>
      </x:c>
      <x:c r="P2" s="71" t="str">
        <x:v>项目预算使用情况表.xlsx</x:v>
      </x:c>
      <x:c r="Q2" s="71" t="n">
        <x:v>2</x:v>
      </x:c>
      <x:c r="R2" s="71" t="str">
        <x:f>IF(ABS(C2-J2-K2)&lt;0.000001,"OK","FAIL")</x:f>
        <x:v>OK</x:v>
      </x:c>
      <x:c r="S2" s="71" t="str">
        <x:f>IF(K2&lt;0,"人工确认后：创建追加立项或预算调整草稿候选","")</x:f>
      </x:c>
    </x:row>
    <x:row r="3">
      <x:c r="A3" s="62" t="str">
        <x:v>PRJ-SB-设备-2025-002</x:v>
      </x:c>
      <x:c r="B3" s="62" t="str">
        <x:v>设备维护</x:v>
      </x:c>
      <x:c r="C3" s="77" t="n">
        <x:v>583</x:v>
      </x:c>
      <x:c r="D3" s="77" t="n">
        <x:v>407</x:v>
      </x:c>
      <x:c r="E3" s="79" t="n">
        <x:f>SUMIFS('04_2024实际_演示'!$Q$2:$Q$204,'04_2024实际_演示'!$AB$2:$AB$204,$A3,'04_2024实际_演示'!$D$2:$D$204,"&lt;&gt;营业收入")</x:f>
        <x:v>130.02509999999998</x:v>
      </x:c>
      <x:c r="F3" s="79" t="n">
        <x:f>SUMIFS('05_2025实际_演示'!$Q$2:$Q$218,'05_2025实际_演示'!$AB$2:$AB$218,$A3,'05_2025实际_演示'!$D$2:$D$218,"&lt;&gt;营业收入")</x:f>
        <x:v>81.9636</x:v>
      </x:c>
      <x:c r="G3" s="79" t="n">
        <x:f>E3+F3</x:f>
        <x:v>211.9887</x:v>
      </x:c>
      <x:c r="H3" s="79" t="n">
        <x:f>SUMIFS('11_2025占用事件'!$L$2:$L$109,'11_2025占用事件'!$S$2:$S$109,$A3)</x:f>
        <x:v>49.04</x:v>
      </x:c>
      <x:c r="I3" s="79" t="n">
        <x:v>0</x:v>
      </x:c>
      <x:c r="J3" s="79" t="n">
        <x:f>G3+H3+I3</x:f>
        <x:v>261.0287</x:v>
      </x:c>
      <x:c r="K3" s="79" t="n">
        <x:f>C3-J3</x:f>
        <x:v>321.9713</x:v>
      </x:c>
      <x:c r="L3" s="62" t="str">
        <x:f>IF(K3&lt;0,"超立项余额","可用")</x:f>
        <x:v>可用</x:v>
      </x:c>
      <x:c r="M3" s="74" t="n">
        <x:v>46022</x:v>
      </x:c>
      <x:c r="N3" s="62" t="str">
        <x:v>DERIVED</x:v>
      </x:c>
      <x:c r="O3" s="71" t="str">
        <x:v>2024-01-01至2025-12-31演示范围；项目编号年份片段不代表启动年</x:v>
      </x:c>
      <x:c r="P3" s="71" t="str">
        <x:v>项目预算使用情况表.xlsx</x:v>
      </x:c>
      <x:c r="Q3" s="71" t="n">
        <x:v>3</x:v>
      </x:c>
      <x:c r="R3" s="71" t="str">
        <x:f>IF(ABS(C3-J3-K3)&lt;0.000001,"OK","FAIL")</x:f>
        <x:v>OK</x:v>
      </x:c>
      <x:c r="S3" s="71" t="str">
        <x:f>IF(K3&lt;0,"人工确认后：创建追加立项或预算调整草稿候选","")</x:f>
      </x:c>
    </x:row>
    <x:row r="4">
      <x:c r="A4" s="62" t="str">
        <x:v>PRJ-SB-设备-2025-003</x:v>
      </x:c>
      <x:c r="B4" s="62" t="str">
        <x:v>设备维护</x:v>
      </x:c>
      <x:c r="C4" s="77" t="n">
        <x:v>679</x:v>
      </x:c>
      <x:c r="D4" s="77" t="n">
        <x:v>596</x:v>
      </x:c>
      <x:c r="E4" s="79" t="n">
        <x:f>SUMIFS('04_2024实际_演示'!$Q$2:$Q$204,'04_2024实际_演示'!$AB$2:$AB$204,$A4,'04_2024实际_演示'!$D$2:$D$204,"&lt;&gt;营业收入")</x:f>
        <x:v>106.97936666666664</x:v>
      </x:c>
      <x:c r="F4" s="79" t="n">
        <x:f>SUMIFS('05_2025实际_演示'!$Q$2:$Q$218,'05_2025实际_演示'!$AB$2:$AB$218,$A4,'05_2025实际_演示'!$D$2:$D$218,"&lt;&gt;营业收入")</x:f>
        <x:v>91.23570000000001</x:v>
      </x:c>
      <x:c r="G4" s="79" t="n">
        <x:f>E4+F4</x:f>
        <x:v>198.21506666666664</x:v>
      </x:c>
      <x:c r="H4" s="79" t="n">
        <x:f>SUMIFS('11_2025占用事件'!$L$2:$L$109,'11_2025占用事件'!$S$2:$S$109,$A4)</x:f>
        <x:v>0</x:v>
      </x:c>
      <x:c r="I4" s="79" t="n">
        <x:v>0</x:v>
      </x:c>
      <x:c r="J4" s="79" t="n">
        <x:f>G4+H4+I4</x:f>
        <x:v>198.21506666666664</x:v>
      </x:c>
      <x:c r="K4" s="79" t="n">
        <x:f>C4-J4</x:f>
        <x:v>480.78493333333336</x:v>
      </x:c>
      <x:c r="L4" s="62" t="str">
        <x:f>IF(K4&lt;0,"超立项余额","可用")</x:f>
        <x:v>可用</x:v>
      </x:c>
      <x:c r="M4" s="74" t="n">
        <x:v>46022</x:v>
      </x:c>
      <x:c r="N4" s="62" t="str">
        <x:v>DERIVED</x:v>
      </x:c>
      <x:c r="O4" s="71" t="str">
        <x:v>2024-01-01至2025-12-31演示范围；项目编号年份片段不代表启动年</x:v>
      </x:c>
      <x:c r="P4" s="71" t="str">
        <x:v>项目预算使用情况表.xlsx</x:v>
      </x:c>
      <x:c r="Q4" s="71" t="n">
        <x:v>4</x:v>
      </x:c>
      <x:c r="R4" s="71" t="str">
        <x:f>IF(ABS(C4-J4-K4)&lt;0.000001,"OK","FAIL")</x:f>
        <x:v>OK</x:v>
      </x:c>
      <x:c r="S4" s="71" t="str">
        <x:f>IF(K4&lt;0,"人工确认后：创建追加立项或预算调整草稿候选","")</x:f>
      </x:c>
    </x:row>
    <x:row r="5">
      <x:c r="A5" s="62" t="str">
        <x:v>PRJ-JS-热能-2024-001</x:v>
      </x:c>
      <x:c r="B5" s="62" t="str">
        <x:v>热能动力研究</x:v>
      </x:c>
      <x:c r="C5" s="77" t="n">
        <x:v>160</x:v>
      </x:c>
      <x:c r="D5" s="77" t="n">
        <x:v>90</x:v>
      </x:c>
      <x:c r="E5" s="79" t="n">
        <x:f>SUMIFS('04_2024实际_演示'!$Q$2:$Q$204,'04_2024实际_演示'!$AB$2:$AB$204,$A5,'04_2024实际_演示'!$D$2:$D$204,"&lt;&gt;营业收入")</x:f>
        <x:v>39.227599999999995</x:v>
      </x:c>
      <x:c r="F5" s="79" t="n">
        <x:f>SUMIFS('05_2025实际_演示'!$Q$2:$Q$218,'05_2025实际_演示'!$AB$2:$AB$218,$A5,'05_2025实际_演示'!$D$2:$D$218,"&lt;&gt;营业收入")</x:f>
        <x:v>31.279199999999996</x:v>
      </x:c>
      <x:c r="G5" s="79" t="n">
        <x:f>E5+F5</x:f>
        <x:v>70.5068</x:v>
      </x:c>
      <x:c r="H5" s="79" t="n">
        <x:f>SUMIFS('11_2025占用事件'!$L$2:$L$109,'11_2025占用事件'!$S$2:$S$109,$A5)</x:f>
        <x:v>0</x:v>
      </x:c>
      <x:c r="I5" s="79" t="n">
        <x:v>0</x:v>
      </x:c>
      <x:c r="J5" s="79" t="n">
        <x:f>G5+H5+I5</x:f>
        <x:v>70.5068</x:v>
      </x:c>
      <x:c r="K5" s="79" t="n">
        <x:f>C5-J5</x:f>
        <x:v>89.4932</x:v>
      </x:c>
      <x:c r="L5" s="62" t="str">
        <x:f>IF(K5&lt;0,"超立项余额","可用")</x:f>
        <x:v>可用</x:v>
      </x:c>
      <x:c r="M5" s="74" t="n">
        <x:v>46022</x:v>
      </x:c>
      <x:c r="N5" s="62" t="str">
        <x:v>DERIVED</x:v>
      </x:c>
      <x:c r="O5" s="71" t="str">
        <x:v>2024-01-01至2025-12-31演示范围；项目编号年份片段不代表启动年</x:v>
      </x:c>
      <x:c r="P5" s="71" t="str">
        <x:v>项目预算使用情况表.xlsx</x:v>
      </x:c>
      <x:c r="Q5" s="71" t="n">
        <x:v>5</x:v>
      </x:c>
      <x:c r="R5" s="71" t="str">
        <x:f>IF(ABS(C5-J5-K5)&lt;0.000001,"OK","FAIL")</x:f>
        <x:v>OK</x:v>
      </x:c>
      <x:c r="S5" s="71" t="str">
        <x:f>IF(K5&lt;0,"人工确认后：创建追加立项或预算调整草稿候选","")</x:f>
      </x:c>
    </x:row>
    <x:row r="6">
      <x:c r="A6" s="62" t="str">
        <x:v>PRJ-JS-热能-2025-002</x:v>
      </x:c>
      <x:c r="B6" s="62" t="str">
        <x:v>热能动力研究</x:v>
      </x:c>
      <x:c r="C6" s="77" t="n">
        <x:v>165</x:v>
      </x:c>
      <x:c r="D6" s="77" t="n">
        <x:v>163</x:v>
      </x:c>
      <x:c r="E6" s="79" t="n">
        <x:f>SUMIFS('04_2024实际_演示'!$Q$2:$Q$204,'04_2024实际_演示'!$AB$2:$AB$204,$A6,'04_2024实际_演示'!$D$2:$D$204,"&lt;&gt;营业收入")</x:f>
        <x:v>43.56716666666664</x:v>
      </x:c>
      <x:c r="F6" s="79" t="n">
        <x:f>SUMIFS('05_2025实际_演示'!$Q$2:$Q$218,'05_2025实际_演示'!$AB$2:$AB$218,$A6,'05_2025实际_演示'!$D$2:$D$218,"&lt;&gt;营业收入")</x:f>
        <x:v>35.17360000000001</x:v>
      </x:c>
      <x:c r="G6" s="79" t="n">
        <x:f>E6+F6</x:f>
        <x:v>78.74076666666664</x:v>
      </x:c>
      <x:c r="H6" s="79" t="n">
        <x:f>SUMIFS('11_2025占用事件'!$L$2:$L$109,'11_2025占用事件'!$S$2:$S$109,$A6)</x:f>
        <x:v>52.25000000000001</x:v>
      </x:c>
      <x:c r="I6" s="79" t="n">
        <x:v>0</x:v>
      </x:c>
      <x:c r="J6" s="79" t="n">
        <x:f>G6+H6+I6</x:f>
        <x:v>130.99076666666664</x:v>
      </x:c>
      <x:c r="K6" s="79" t="n">
        <x:f>C6-J6</x:f>
        <x:v>34.009233333333356</x:v>
      </x:c>
      <x:c r="L6" s="62" t="str">
        <x:f>IF(K6&lt;0,"超立项余额","可用")</x:f>
        <x:v>可用</x:v>
      </x:c>
      <x:c r="M6" s="74" t="n">
        <x:v>46022</x:v>
      </x:c>
      <x:c r="N6" s="62" t="str">
        <x:v>DERIVED</x:v>
      </x:c>
      <x:c r="O6" s="71" t="str">
        <x:v>2024-01-01至2025-12-31演示范围；项目编号年份片段不代表启动年</x:v>
      </x:c>
      <x:c r="P6" s="71" t="str">
        <x:v>项目预算使用情况表.xlsx</x:v>
      </x:c>
      <x:c r="Q6" s="71" t="n">
        <x:v>6</x:v>
      </x:c>
      <x:c r="R6" s="71" t="str">
        <x:f>IF(ABS(C6-J6-K6)&lt;0.000001,"OK","FAIL")</x:f>
        <x:v>OK</x:v>
      </x:c>
      <x:c r="S6" s="71" t="str">
        <x:f>IF(K6&lt;0,"人工确认后：创建追加立项或预算调整草稿候选","")</x:f>
      </x:c>
    </x:row>
    <x:row r="7">
      <x:c r="A7" s="62" t="str">
        <x:v>PRJ-JS-热能-2025-003</x:v>
      </x:c>
      <x:c r="B7" s="62" t="str">
        <x:v>热能动力研究</x:v>
      </x:c>
      <x:c r="C7" s="77" t="n">
        <x:v>180</x:v>
      </x:c>
      <x:c r="D7" s="77" t="n">
        <x:v>78</x:v>
      </x:c>
      <x:c r="E7" s="79" t="n">
        <x:f>SUMIFS('04_2024实际_演示'!$Q$2:$Q$204,'04_2024实际_演示'!$AB$2:$AB$204,$A7,'04_2024实际_演示'!$D$2:$D$204,"&lt;&gt;营业收入")</x:f>
        <x:v>32.96936666666663</x:v>
      </x:c>
      <x:c r="F7" s="79" t="n">
        <x:f>SUMIFS('05_2025实际_演示'!$Q$2:$Q$218,'05_2025实际_演示'!$AB$2:$AB$218,$A7,'05_2025实际_演示'!$D$2:$D$218,"&lt;&gt;营业收入")</x:f>
        <x:v>31.3971</x:v>
      </x:c>
      <x:c r="G7" s="79" t="n">
        <x:f>E7+F7</x:f>
        <x:v>64.36646666666662</x:v>
      </x:c>
      <x:c r="H7" s="79" t="n">
        <x:f>SUMIFS('11_2025占用事件'!$L$2:$L$109,'11_2025占用事件'!$S$2:$S$109,$A7)</x:f>
        <x:v>0</x:v>
      </x:c>
      <x:c r="I7" s="79" t="n">
        <x:v>0</x:v>
      </x:c>
      <x:c r="J7" s="79" t="n">
        <x:f>G7+H7+I7</x:f>
        <x:v>64.36646666666662</x:v>
      </x:c>
      <x:c r="K7" s="79" t="n">
        <x:f>C7-J7</x:f>
        <x:v>115.63353333333338</x:v>
      </x:c>
      <x:c r="L7" s="62" t="str">
        <x:f>IF(K7&lt;0,"超立项余额","可用")</x:f>
        <x:v>可用</x:v>
      </x:c>
      <x:c r="M7" s="74" t="n">
        <x:v>46022</x:v>
      </x:c>
      <x:c r="N7" s="62" t="str">
        <x:v>DERIVED</x:v>
      </x:c>
      <x:c r="O7" s="71" t="str">
        <x:v>2024-01-01至2025-12-31演示范围；项目编号年份片段不代表启动年</x:v>
      </x:c>
      <x:c r="P7" s="71" t="str">
        <x:v>项目预算使用情况表.xlsx</x:v>
      </x:c>
      <x:c r="Q7" s="71" t="n">
        <x:v>7</x:v>
      </x:c>
      <x:c r="R7" s="71" t="str">
        <x:f>IF(ABS(C7-J7-K7)&lt;0.000001,"OK","FAIL")</x:f>
        <x:v>OK</x:v>
      </x:c>
      <x:c r="S7" s="71" t="str">
        <x:f>IF(K7&lt;0,"人工确认后：创建追加立项或预算调整草稿候选","")</x:f>
      </x:c>
    </x:row>
    <x:row r="8">
      <x:c r="A8" s="62" t="str">
        <x:v>PRJ-JS-经验-2024-001</x:v>
      </x:c>
      <x:c r="B8" s="62" t="str">
        <x:v>经验反馈改进</x:v>
      </x:c>
      <x:c r="C8" s="77" t="n">
        <x:v>177</x:v>
      </x:c>
      <x:c r="D8" s="77" t="n">
        <x:v>153</x:v>
      </x:c>
      <x:c r="E8" s="79" t="n">
        <x:f>SUMIFS('04_2024实际_演示'!$Q$2:$Q$204,'04_2024实际_演示'!$AB$2:$AB$204,$A8,'04_2024实际_演示'!$D$2:$D$204,"&lt;&gt;营业收入")</x:f>
        <x:v>49.078033333333366</x:v>
      </x:c>
      <x:c r="F8" s="79" t="n">
        <x:f>SUMIFS('05_2025实际_演示'!$Q$2:$Q$218,'05_2025实际_演示'!$AB$2:$AB$218,$A8,'05_2025实际_演示'!$D$2:$D$218,"&lt;&gt;营业收入")</x:f>
        <x:v>38.9888</x:v>
      </x:c>
      <x:c r="G8" s="79" t="n">
        <x:f>E8+F8</x:f>
        <x:v>88.06683333333336</x:v>
      </x:c>
      <x:c r="H8" s="79" t="n">
        <x:f>SUMIFS('11_2025占用事件'!$L$2:$L$109,'11_2025占用事件'!$S$2:$S$109,$A8)</x:f>
        <x:v>0</x:v>
      </x:c>
      <x:c r="I8" s="79" t="n">
        <x:v>0</x:v>
      </x:c>
      <x:c r="J8" s="79" t="n">
        <x:f>G8+H8+I8</x:f>
        <x:v>88.06683333333336</x:v>
      </x:c>
      <x:c r="K8" s="79" t="n">
        <x:f>C8-J8</x:f>
        <x:v>88.93316666666664</x:v>
      </x:c>
      <x:c r="L8" s="62" t="str">
        <x:f>IF(K8&lt;0,"超立项余额","可用")</x:f>
        <x:v>可用</x:v>
      </x:c>
      <x:c r="M8" s="74" t="n">
        <x:v>46022</x:v>
      </x:c>
      <x:c r="N8" s="62" t="str">
        <x:v>DERIVED</x:v>
      </x:c>
      <x:c r="O8" s="71" t="str">
        <x:v>2024-01-01至2025-12-31演示范围；项目编号年份片段不代表启动年</x:v>
      </x:c>
      <x:c r="P8" s="71" t="str">
        <x:v>项目预算使用情况表.xlsx</x:v>
      </x:c>
      <x:c r="Q8" s="71" t="n">
        <x:v>8</x:v>
      </x:c>
      <x:c r="R8" s="71" t="str">
        <x:f>IF(ABS(C8-J8-K8)&lt;0.000001,"OK","FAIL")</x:f>
        <x:v>OK</x:v>
      </x:c>
      <x:c r="S8" s="71" t="str">
        <x:f>IF(K8&lt;0,"人工确认后：创建追加立项或预算调整草稿候选","")</x:f>
      </x:c>
    </x:row>
    <x:row r="9">
      <x:c r="A9" s="62" t="str">
        <x:v>PRJ-JS-经验-2025-002</x:v>
      </x:c>
      <x:c r="B9" s="62" t="str">
        <x:v>经验反馈改进</x:v>
      </x:c>
      <x:c r="C9" s="77" t="n">
        <x:v>156</x:v>
      </x:c>
      <x:c r="D9" s="77" t="n">
        <x:v>79</x:v>
      </x:c>
      <x:c r="E9" s="79" t="n">
        <x:f>SUMIFS('04_2024实际_演示'!$Q$2:$Q$204,'04_2024实际_演示'!$AB$2:$AB$204,$A9,'04_2024实际_演示'!$D$2:$D$204,"&lt;&gt;营业收入")</x:f>
        <x:v>44.4337</x:v>
      </x:c>
      <x:c r="F9" s="79" t="n">
        <x:f>SUMIFS('05_2025实际_演示'!$Q$2:$Q$218,'05_2025实际_演示'!$AB$2:$AB$218,$A9,'05_2025实际_演示'!$D$2:$D$218,"&lt;&gt;营业收入")</x:f>
        <x:v>35.0524</x:v>
      </x:c>
      <x:c r="G9" s="79" t="n">
        <x:f>E9+F9</x:f>
        <x:v>79.4861</x:v>
      </x:c>
      <x:c r="H9" s="79" t="n">
        <x:f>SUMIFS('11_2025占用事件'!$L$2:$L$109,'11_2025占用事件'!$S$2:$S$109,$A9)</x:f>
        <x:v>0</x:v>
      </x:c>
      <x:c r="I9" s="79" t="n">
        <x:v>0</x:v>
      </x:c>
      <x:c r="J9" s="79" t="n">
        <x:f>G9+H9+I9</x:f>
        <x:v>79.4861</x:v>
      </x:c>
      <x:c r="K9" s="79" t="n">
        <x:f>C9-J9</x:f>
        <x:v>76.5139</x:v>
      </x:c>
      <x:c r="L9" s="62" t="str">
        <x:f>IF(K9&lt;0,"超立项余额","可用")</x:f>
        <x:v>可用</x:v>
      </x:c>
      <x:c r="M9" s="74" t="n">
        <x:v>46022</x:v>
      </x:c>
      <x:c r="N9" s="62" t="str">
        <x:v>DERIVED</x:v>
      </x:c>
      <x:c r="O9" s="71" t="str">
        <x:v>2024-01-01至2025-12-31演示范围；项目编号年份片段不代表启动年</x:v>
      </x:c>
      <x:c r="P9" s="71" t="str">
        <x:v>项目预算使用情况表.xlsx</x:v>
      </x:c>
      <x:c r="Q9" s="71" t="n">
        <x:v>9</x:v>
      </x:c>
      <x:c r="R9" s="71" t="str">
        <x:f>IF(ABS(C9-J9-K9)&lt;0.000001,"OK","FAIL")</x:f>
        <x:v>OK</x:v>
      </x:c>
      <x:c r="S9" s="71" t="str">
        <x:f>IF(K9&lt;0,"人工确认后：创建追加立项或预算调整草稿候选","")</x:f>
      </x:c>
    </x:row>
    <x:row r="10">
      <x:c r="A10" s="62" t="str">
        <x:v>PRJ-JS-经验-2025-003</x:v>
      </x:c>
      <x:c r="B10" s="62" t="str">
        <x:v>经验反馈改进</x:v>
      </x:c>
      <x:c r="C10" s="77" t="n">
        <x:v>134</x:v>
      </x:c>
      <x:c r="D10" s="77" t="n">
        <x:v>112</x:v>
      </x:c>
      <x:c r="E10" s="79" t="n">
        <x:f>SUMIFS('04_2024实际_演示'!$Q$2:$Q$204,'04_2024实际_演示'!$AB$2:$AB$204,$A10,'04_2024实际_演示'!$D$2:$D$204,"&lt;&gt;营业收入")</x:f>
        <x:v>35.433933333333364</x:v>
      </x:c>
      <x:c r="F10" s="79" t="n">
        <x:f>SUMIFS('05_2025实际_演示'!$Q$2:$Q$218,'05_2025实际_演示'!$AB$2:$AB$218,$A10,'05_2025实际_演示'!$D$2:$D$218,"&lt;&gt;营业收入")</x:f>
        <x:v>28.496000000000002</x:v>
      </x:c>
      <x:c r="G10" s="79" t="n">
        <x:f>E10+F10</x:f>
        <x:v>63.929933333333366</x:v>
      </x:c>
      <x:c r="H10" s="79" t="n">
        <x:f>SUMIFS('11_2025占用事件'!$L$2:$L$109,'11_2025占用事件'!$S$2:$S$109,$A10)</x:f>
        <x:v>0</x:v>
      </x:c>
      <x:c r="I10" s="79" t="n">
        <x:v>0</x:v>
      </x:c>
      <x:c r="J10" s="79" t="n">
        <x:f>G10+H10+I10</x:f>
        <x:v>63.929933333333366</x:v>
      </x:c>
      <x:c r="K10" s="79" t="n">
        <x:f>C10-J10</x:f>
        <x:v>70.07006666666663</x:v>
      </x:c>
      <x:c r="L10" s="62" t="str">
        <x:f>IF(K10&lt;0,"超立项余额","可用")</x:f>
        <x:v>可用</x:v>
      </x:c>
      <x:c r="M10" s="74" t="n">
        <x:v>46022</x:v>
      </x:c>
      <x:c r="N10" s="62" t="str">
        <x:v>DERIVED</x:v>
      </x:c>
      <x:c r="O10" s="71" t="str">
        <x:v>2024-01-01至2025-12-31演示范围；项目编号年份片段不代表启动年</x:v>
      </x:c>
      <x:c r="P10" s="71" t="str">
        <x:v>项目预算使用情况表.xlsx</x:v>
      </x:c>
      <x:c r="Q10" s="71" t="n">
        <x:v>10</x:v>
      </x:c>
      <x:c r="R10" s="71" t="str">
        <x:f>IF(ABS(C10-J10-K10)&lt;0.000001,"OK","FAIL")</x:f>
        <x:v>OK</x:v>
      </x:c>
      <x:c r="S10" s="71" t="str">
        <x:f>IF(K10&lt;0,"人工确认后：创建追加立项或预算调整草稿候选","")</x:f>
      </x:c>
    </x:row>
    <x:row r="11">
      <x:c r="A11" s="62" t="str">
        <x:v>PRJ-JS-新技-2024-001</x:v>
      </x:c>
      <x:c r="B11" s="62" t="str">
        <x:v>新技术应用</x:v>
      </x:c>
      <x:c r="C11" s="77" t="n">
        <x:v>154</x:v>
      </x:c>
      <x:c r="D11" s="77" t="n">
        <x:v>117</x:v>
      </x:c>
      <x:c r="E11" s="79" t="n">
        <x:f>SUMIFS('04_2024实际_演示'!$Q$2:$Q$204,'04_2024实际_演示'!$AB$2:$AB$204,$A11,'04_2024实际_演示'!$D$2:$D$204,"&lt;&gt;营业收入")</x:f>
        <x:v>38.532466666666636</x:v>
      </x:c>
      <x:c r="F11" s="79" t="n">
        <x:f>SUMIFS('05_2025实际_演示'!$Q$2:$Q$218,'05_2025实际_演示'!$AB$2:$AB$218,$A11,'05_2025实际_演示'!$D$2:$D$218,"&lt;&gt;营业收入")</x:f>
        <x:v>32.263600000000004</x:v>
      </x:c>
      <x:c r="G11" s="79" t="n">
        <x:f>E11+F11</x:f>
        <x:v>70.79606666666663</x:v>
      </x:c>
      <x:c r="H11" s="79" t="n">
        <x:f>SUMIFS('11_2025占用事件'!$L$2:$L$109,'11_2025占用事件'!$S$2:$S$109,$A11)</x:f>
        <x:v>0</x:v>
      </x:c>
      <x:c r="I11" s="79" t="n">
        <x:v>0</x:v>
      </x:c>
      <x:c r="J11" s="79" t="n">
        <x:f>G11+H11+I11</x:f>
        <x:v>70.79606666666663</x:v>
      </x:c>
      <x:c r="K11" s="79" t="n">
        <x:f>C11-J11</x:f>
        <x:v>83.20393333333337</x:v>
      </x:c>
      <x:c r="L11" s="62" t="str">
        <x:f>IF(K11&lt;0,"超立项余额","可用")</x:f>
        <x:v>可用</x:v>
      </x:c>
      <x:c r="M11" s="74" t="n">
        <x:v>46022</x:v>
      </x:c>
      <x:c r="N11" s="62" t="str">
        <x:v>DERIVED</x:v>
      </x:c>
      <x:c r="O11" s="71" t="str">
        <x:v>2024-01-01至2025-12-31演示范围；项目编号年份片段不代表启动年</x:v>
      </x:c>
      <x:c r="P11" s="71" t="str">
        <x:v>项目预算使用情况表.xlsx</x:v>
      </x:c>
      <x:c r="Q11" s="71" t="n">
        <x:v>11</x:v>
      </x:c>
      <x:c r="R11" s="71" t="str">
        <x:f>IF(ABS(C11-J11-K11)&lt;0.000001,"OK","FAIL")</x:f>
        <x:v>OK</x:v>
      </x:c>
      <x:c r="S11" s="71" t="str">
        <x:f>IF(K11&lt;0,"人工确认后：创建追加立项或预算调整草稿候选","")</x:f>
      </x:c>
    </x:row>
    <x:row r="12">
      <x:c r="A12" s="62" t="str">
        <x:v>PRJ-JS-新技-2025-002</x:v>
      </x:c>
      <x:c r="B12" s="62" t="str">
        <x:v>新技术应用</x:v>
      </x:c>
      <x:c r="C12" s="77" t="n">
        <x:v>222</x:v>
      </x:c>
      <x:c r="D12" s="77" t="n">
        <x:v>173</x:v>
      </x:c>
      <x:c r="E12" s="79" t="n">
        <x:f>SUMIFS('04_2024实际_演示'!$Q$2:$Q$204,'04_2024实际_演示'!$AB$2:$AB$204,$A12,'04_2024实际_演示'!$D$2:$D$204,"&lt;&gt;营业收入")</x:f>
        <x:v>45.0648</x:v>
      </x:c>
      <x:c r="F12" s="79" t="n">
        <x:f>SUMIFS('05_2025实际_演示'!$Q$2:$Q$218,'05_2025实际_演示'!$AB$2:$AB$218,$A12,'05_2025实际_演示'!$D$2:$D$218,"&lt;&gt;营业收入")</x:f>
        <x:v>32.4732</x:v>
      </x:c>
      <x:c r="G12" s="79" t="n">
        <x:f>E12+F12</x:f>
        <x:v>77.538</x:v>
      </x:c>
      <x:c r="H12" s="79" t="n">
        <x:f>SUMIFS('11_2025占用事件'!$L$2:$L$109,'11_2025占用事件'!$S$2:$S$109,$A12)</x:f>
        <x:v>0</x:v>
      </x:c>
      <x:c r="I12" s="79" t="n">
        <x:v>0</x:v>
      </x:c>
      <x:c r="J12" s="79" t="n">
        <x:f>G12+H12+I12</x:f>
        <x:v>77.538</x:v>
      </x:c>
      <x:c r="K12" s="79" t="n">
        <x:f>C12-J12</x:f>
        <x:v>144.462</x:v>
      </x:c>
      <x:c r="L12" s="62" t="str">
        <x:f>IF(K12&lt;0,"超立项余额","可用")</x:f>
        <x:v>可用</x:v>
      </x:c>
      <x:c r="M12" s="74" t="n">
        <x:v>46022</x:v>
      </x:c>
      <x:c r="N12" s="62" t="str">
        <x:v>DERIVED</x:v>
      </x:c>
      <x:c r="O12" s="71" t="str">
        <x:v>2024-01-01至2025-12-31演示范围；项目编号年份片段不代表启动年</x:v>
      </x:c>
      <x:c r="P12" s="71" t="str">
        <x:v>项目预算使用情况表.xlsx</x:v>
      </x:c>
      <x:c r="Q12" s="71" t="n">
        <x:v>12</x:v>
      </x:c>
      <x:c r="R12" s="71" t="str">
        <x:f>IF(ABS(C12-J12-K12)&lt;0.000001,"OK","FAIL")</x:f>
        <x:v>OK</x:v>
      </x:c>
      <x:c r="S12" s="71" t="str">
        <x:f>IF(K12&lt;0,"人工确认后：创建追加立项或预算调整草稿候选","")</x:f>
      </x:c>
    </x:row>
    <x:row r="13">
      <x:c r="A13" s="62" t="str">
        <x:v>PRJ-JS-新技-2025-003</x:v>
      </x:c>
      <x:c r="B13" s="62" t="str">
        <x:v>新技术应用</x:v>
      </x:c>
      <x:c r="C13" s="77" t="n">
        <x:v>111</x:v>
      </x:c>
      <x:c r="D13" s="77" t="n">
        <x:v>84</x:v>
      </x:c>
      <x:c r="E13" s="79" t="n">
        <x:f>SUMIFS('04_2024实际_演示'!$Q$2:$Q$204,'04_2024实际_演示'!$AB$2:$AB$204,$A13,'04_2024实际_演示'!$D$2:$D$204,"&lt;&gt;营业收入")</x:f>
        <x:v>33.325266666666636</x:v>
      </x:c>
      <x:c r="F13" s="79" t="n">
        <x:f>SUMIFS('05_2025实际_演示'!$Q$2:$Q$218,'05_2025实际_演示'!$AB$2:$AB$218,$A13,'05_2025实际_演示'!$D$2:$D$218,"&lt;&gt;营业收入")</x:f>
        <x:v>30.6268</x:v>
      </x:c>
      <x:c r="G13" s="79" t="n">
        <x:f>E13+F13</x:f>
        <x:v>63.95206666666664</x:v>
      </x:c>
      <x:c r="H13" s="79" t="n">
        <x:f>SUMIFS('11_2025占用事件'!$L$2:$L$109,'11_2025占用事件'!$S$2:$S$109,$A13)</x:f>
        <x:v>0</x:v>
      </x:c>
      <x:c r="I13" s="79" t="n">
        <x:v>0</x:v>
      </x:c>
      <x:c r="J13" s="79" t="n">
        <x:f>G13+H13+I13</x:f>
        <x:v>63.95206666666664</x:v>
      </x:c>
      <x:c r="K13" s="79" t="n">
        <x:f>C13-J13</x:f>
        <x:v>47.04793333333336</x:v>
      </x:c>
      <x:c r="L13" s="62" t="str">
        <x:f>IF(K13&lt;0,"超立项余额","可用")</x:f>
        <x:v>可用</x:v>
      </x:c>
      <x:c r="M13" s="74" t="n">
        <x:v>46022</x:v>
      </x:c>
      <x:c r="N13" s="62" t="str">
        <x:v>DERIVED</x:v>
      </x:c>
      <x:c r="O13" s="71" t="str">
        <x:v>2024-01-01至2025-12-31演示范围；项目编号年份片段不代表启动年</x:v>
      </x:c>
      <x:c r="P13" s="71" t="str">
        <x:v>项目预算使用情况表.xlsx</x:v>
      </x:c>
      <x:c r="Q13" s="71" t="n">
        <x:v>13</x:v>
      </x:c>
      <x:c r="R13" s="71" t="str">
        <x:f>IF(ABS(C13-J13-K13)&lt;0.000001,"OK","FAIL")</x:f>
        <x:v>OK</x:v>
      </x:c>
      <x:c r="S13" s="71" t="str">
        <x:f>IF(K13&lt;0,"人工确认后：创建追加立项或预算调整草稿候选","")</x:f>
      </x:c>
    </x:row>
    <x:row r="14">
      <x:c r="A14" s="62" t="str">
        <x:v>PRJ-AQ-概率-2024-001</x:v>
      </x:c>
      <x:c r="B14" s="62" t="str">
        <x:v>概率安全分析</x:v>
      </x:c>
      <x:c r="C14" s="77" t="n">
        <x:v>105</x:v>
      </x:c>
      <x:c r="D14" s="77" t="n">
        <x:v>49</x:v>
      </x:c>
      <x:c r="E14" s="79" t="n">
        <x:f>SUMIFS('04_2024实际_演示'!$Q$2:$Q$204,'04_2024实际_演示'!$AB$2:$AB$204,$A14,'04_2024实际_演示'!$D$2:$D$204,"&lt;&gt;营业收入")</x:f>
        <x:v>40.38403333333337</x:v>
      </x:c>
      <x:c r="F14" s="79" t="n">
        <x:f>SUMIFS('05_2025实际_演示'!$Q$2:$Q$218,'05_2025实际_演示'!$AB$2:$AB$218,$A14,'05_2025实际_演示'!$D$2:$D$218,"&lt;&gt;营业收入")</x:f>
        <x:v>34.636399999999995</x:v>
      </x:c>
      <x:c r="G14" s="79" t="n">
        <x:f>E14+F14</x:f>
        <x:v>75.02043333333336</x:v>
      </x:c>
      <x:c r="H14" s="79" t="n">
        <x:f>SUMIFS('11_2025占用事件'!$L$2:$L$109,'11_2025占用事件'!$S$2:$S$109,$A14)</x:f>
        <x:v>0</x:v>
      </x:c>
      <x:c r="I14" s="79" t="n">
        <x:v>0</x:v>
      </x:c>
      <x:c r="J14" s="79" t="n">
        <x:f>G14+H14+I14</x:f>
        <x:v>75.02043333333336</x:v>
      </x:c>
      <x:c r="K14" s="79" t="n">
        <x:f>C14-J14</x:f>
        <x:v>29.979566666666642</x:v>
      </x:c>
      <x:c r="L14" s="62" t="str">
        <x:f>IF(K14&lt;0,"超立项余额","可用")</x:f>
        <x:v>可用</x:v>
      </x:c>
      <x:c r="M14" s="74" t="n">
        <x:v>46022</x:v>
      </x:c>
      <x:c r="N14" s="62" t="str">
        <x:v>DERIVED</x:v>
      </x:c>
      <x:c r="O14" s="71" t="str">
        <x:v>2024-01-01至2025-12-31演示范围；项目编号年份片段不代表启动年</x:v>
      </x:c>
      <x:c r="P14" s="71" t="str">
        <x:v>项目预算使用情况表.xlsx</x:v>
      </x:c>
      <x:c r="Q14" s="71" t="n">
        <x:v>14</x:v>
      </x:c>
      <x:c r="R14" s="71" t="str">
        <x:f>IF(ABS(C14-J14-K14)&lt;0.000001,"OK","FAIL")</x:f>
        <x:v>OK</x:v>
      </x:c>
      <x:c r="S14" s="71" t="str">
        <x:f>IF(K14&lt;0,"人工确认后：创建追加立项或预算调整草稿候选","")</x:f>
      </x:c>
    </x:row>
    <x:row r="15">
      <x:c r="A15" s="62" t="str">
        <x:v>PRJ-AQ-概率-2025-002</x:v>
      </x:c>
      <x:c r="B15" s="62" t="str">
        <x:v>概率安全分析</x:v>
      </x:c>
      <x:c r="C15" s="77" t="n">
        <x:v>124</x:v>
      </x:c>
      <x:c r="D15" s="77" t="n">
        <x:v>103</x:v>
      </x:c>
      <x:c r="E15" s="79" t="n">
        <x:f>SUMIFS('04_2024实际_演示'!$Q$2:$Q$204,'04_2024实际_演示'!$AB$2:$AB$204,$A15,'04_2024实际_演示'!$D$2:$D$204,"&lt;&gt;营业收入")</x:f>
        <x:v>46.73336666666663</x:v>
      </x:c>
      <x:c r="F15" s="79" t="n">
        <x:f>SUMIFS('05_2025实际_演示'!$Q$2:$Q$218,'05_2025实际_演示'!$AB$2:$AB$218,$A15,'05_2025实际_演示'!$D$2:$D$218,"&lt;&gt;营业收入")</x:f>
        <x:v>35.68039999999999</x:v>
      </x:c>
      <x:c r="G15" s="79" t="n">
        <x:f>E15+F15</x:f>
        <x:v>82.41376666666662</x:v>
      </x:c>
      <x:c r="H15" s="79" t="n">
        <x:f>SUMIFS('11_2025占用事件'!$L$2:$L$109,'11_2025占用事件'!$S$2:$S$109,$A15)</x:f>
        <x:v>62.089999999999996</x:v>
      </x:c>
      <x:c r="I15" s="79" t="n">
        <x:v>0</x:v>
      </x:c>
      <x:c r="J15" s="79" t="n">
        <x:f>G15+H15+I15</x:f>
        <x:v>144.50376666666662</x:v>
      </x:c>
      <x:c r="K15" s="79" t="n">
        <x:f>C15-J15</x:f>
        <x:v>-20.50376666666662</x:v>
      </x:c>
      <x:c r="L15" s="62" t="str">
        <x:f>IF(K15&lt;0,"超立项余额","可用")</x:f>
        <x:v>超立项余额</x:v>
      </x:c>
      <x:c r="M15" s="74" t="n">
        <x:v>46022</x:v>
      </x:c>
      <x:c r="N15" s="62" t="str">
        <x:v>DERIVED</x:v>
      </x:c>
      <x:c r="O15" s="71" t="str">
        <x:v>2024-01-01至2025-12-31演示范围；项目编号年份片段不代表启动年</x:v>
      </x:c>
      <x:c r="P15" s="71" t="str">
        <x:v>项目预算使用情况表.xlsx</x:v>
      </x:c>
      <x:c r="Q15" s="71" t="n">
        <x:v>15</x:v>
      </x:c>
      <x:c r="R15" s="71" t="str">
        <x:f>IF(ABS(C15-J15-K15)&lt;0.000001,"OK","FAIL")</x:f>
        <x:v>OK</x:v>
      </x:c>
      <x:c r="S15" s="71" t="str">
        <x:f>IF(K15&lt;0,"人工确认后：创建追加立项或预算调整草稿候选","")</x:f>
        <x:v>人工确认后：创建追加立项或预算调整草稿候选</x:v>
      </x:c>
    </x:row>
    <x:row r="16">
      <x:c r="A16" s="62" t="str">
        <x:v>PRJ-AQ-概率-2025-003</x:v>
      </x:c>
      <x:c r="B16" s="62" t="str">
        <x:v>概率安全分析</x:v>
      </x:c>
      <x:c r="C16" s="77" t="n">
        <x:v>94</x:v>
      </x:c>
      <x:c r="D16" s="77" t="n">
        <x:v>36</x:v>
      </x:c>
      <x:c r="E16" s="79" t="n">
        <x:f>SUMIFS('04_2024实际_演示'!$Q$2:$Q$204,'04_2024实际_演示'!$AB$2:$AB$204,$A16,'04_2024实际_演示'!$D$2:$D$204,"&lt;&gt;营业收入")</x:f>
        <x:v>36.04856666666663</x:v>
      </x:c>
      <x:c r="F16" s="79" t="n">
        <x:f>SUMIFS('05_2025实际_演示'!$Q$2:$Q$218,'05_2025实际_演示'!$AB$2:$AB$218,$A16,'05_2025实际_演示'!$D$2:$D$218,"&lt;&gt;营业收入")</x:f>
        <x:v>34.6662</x:v>
      </x:c>
      <x:c r="G16" s="79" t="n">
        <x:f>E16+F16</x:f>
        <x:v>70.71476666666663</x:v>
      </x:c>
      <x:c r="H16" s="79" t="n">
        <x:f>SUMIFS('11_2025占用事件'!$L$2:$L$109,'11_2025占用事件'!$S$2:$S$109,$A16)</x:f>
        <x:v>0</x:v>
      </x:c>
      <x:c r="I16" s="79" t="n">
        <x:v>0</x:v>
      </x:c>
      <x:c r="J16" s="79" t="n">
        <x:f>G16+H16+I16</x:f>
        <x:v>70.71476666666663</x:v>
      </x:c>
      <x:c r="K16" s="79" t="n">
        <x:f>C16-J16</x:f>
        <x:v>23.285233333333366</x:v>
      </x:c>
      <x:c r="L16" s="62" t="str">
        <x:f>IF(K16&lt;0,"超立项余额","可用")</x:f>
        <x:v>可用</x:v>
      </x:c>
      <x:c r="M16" s="74" t="n">
        <x:v>46022</x:v>
      </x:c>
      <x:c r="N16" s="62" t="str">
        <x:v>DERIVED</x:v>
      </x:c>
      <x:c r="O16" s="71" t="str">
        <x:v>2024-01-01至2025-12-31演示范围；项目编号年份片段不代表启动年</x:v>
      </x:c>
      <x:c r="P16" s="71" t="str">
        <x:v>项目预算使用情况表.xlsx</x:v>
      </x:c>
      <x:c r="Q16" s="71" t="n">
        <x:v>16</x:v>
      </x:c>
      <x:c r="R16" s="71" t="str">
        <x:f>IF(ABS(C16-J16-K16)&lt;0.000001,"OK","FAIL")</x:f>
        <x:v>OK</x:v>
      </x:c>
      <x:c r="S16" s="71" t="str">
        <x:f>IF(K16&lt;0,"人工确认后：创建追加立项或预算调整草稿候选","")</x:f>
      </x:c>
    </x:row>
    <x:row r="17">
      <x:c r="A17" s="62" t="str">
        <x:v>PRJ-AQ-灾害-2024-001</x:v>
      </x:c>
      <x:c r="B17" s="62" t="str">
        <x:v>灾害防护</x:v>
      </x:c>
      <x:c r="C17" s="77" t="n">
        <x:v>95</x:v>
      </x:c>
      <x:c r="D17" s="77" t="n">
        <x:v>94</x:v>
      </x:c>
      <x:c r="E17" s="79" t="n">
        <x:f>SUMIFS('04_2024实际_演示'!$Q$2:$Q$204,'04_2024实际_演示'!$AB$2:$AB$204,$A17,'04_2024实际_演示'!$D$2:$D$204,"&lt;&gt;营业收入")</x:f>
        <x:v>39.69203333333336</x:v>
      </x:c>
      <x:c r="F17" s="79" t="n">
        <x:f>SUMIFS('05_2025实际_演示'!$Q$2:$Q$218,'05_2025实际_演示'!$AB$2:$AB$218,$A17,'05_2025实际_演示'!$D$2:$D$218,"&lt;&gt;营业收入")</x:f>
        <x:v>34.68320000000001</x:v>
      </x:c>
      <x:c r="G17" s="79" t="n">
        <x:f>E17+F17</x:f>
        <x:v>74.37523333333337</x:v>
      </x:c>
      <x:c r="H17" s="79" t="n">
        <x:f>SUMIFS('11_2025占用事件'!$L$2:$L$109,'11_2025占用事件'!$S$2:$S$109,$A17)</x:f>
        <x:v>0</x:v>
      </x:c>
      <x:c r="I17" s="79" t="n">
        <x:v>0</x:v>
      </x:c>
      <x:c r="J17" s="79" t="n">
        <x:f>G17+H17+I17</x:f>
        <x:v>74.37523333333337</x:v>
      </x:c>
      <x:c r="K17" s="79" t="n">
        <x:f>C17-J17</x:f>
        <x:v>20.62476666666663</x:v>
      </x:c>
      <x:c r="L17" s="62" t="str">
        <x:f>IF(K17&lt;0,"超立项余额","可用")</x:f>
        <x:v>可用</x:v>
      </x:c>
      <x:c r="M17" s="74" t="n">
        <x:v>46022</x:v>
      </x:c>
      <x:c r="N17" s="62" t="str">
        <x:v>DERIVED</x:v>
      </x:c>
      <x:c r="O17" s="71" t="str">
        <x:v>2024-01-01至2025-12-31演示范围；项目编号年份片段不代表启动年</x:v>
      </x:c>
      <x:c r="P17" s="71" t="str">
        <x:v>项目预算使用情况表.xlsx</x:v>
      </x:c>
      <x:c r="Q17" s="71" t="n">
        <x:v>17</x:v>
      </x:c>
      <x:c r="R17" s="71" t="str">
        <x:f>IF(ABS(C17-J17-K17)&lt;0.000001,"OK","FAIL")</x:f>
        <x:v>OK</x:v>
      </x:c>
      <x:c r="S17" s="71" t="str">
        <x:f>IF(K17&lt;0,"人工确认后：创建追加立项或预算调整草稿候选","")</x:f>
      </x:c>
    </x:row>
    <x:row r="18">
      <x:c r="A18" s="62" t="str">
        <x:v>PRJ-AQ-灾害-2025-002</x:v>
      </x:c>
      <x:c r="B18" s="62" t="str">
        <x:v>灾害防护</x:v>
      </x:c>
      <x:c r="C18" s="77" t="n">
        <x:v>125</x:v>
      </x:c>
      <x:c r="D18" s="77" t="n">
        <x:v>56</x:v>
      </x:c>
      <x:c r="E18" s="79" t="n">
        <x:f>SUMIFS('04_2024实际_演示'!$Q$2:$Q$204,'04_2024实际_演示'!$AB$2:$AB$204,$A18,'04_2024实际_演示'!$D$2:$D$204,"&lt;&gt;营业收入")</x:f>
        <x:v>42.607633333333375</x:v>
      </x:c>
      <x:c r="F18" s="79" t="n">
        <x:f>SUMIFS('05_2025实际_演示'!$Q$2:$Q$218,'05_2025实际_演示'!$AB$2:$AB$218,$A18,'05_2025实际_演示'!$D$2:$D$218,"&lt;&gt;营业收入")</x:f>
        <x:v>34.2422</x:v>
      </x:c>
      <x:c r="G18" s="79" t="n">
        <x:f>E18+F18</x:f>
        <x:v>76.84983333333338</x:v>
      </x:c>
      <x:c r="H18" s="79" t="n">
        <x:f>SUMIFS('11_2025占用事件'!$L$2:$L$109,'11_2025占用事件'!$S$2:$S$109,$A18)</x:f>
        <x:v>0</x:v>
      </x:c>
      <x:c r="I18" s="79" t="n">
        <x:v>0</x:v>
      </x:c>
      <x:c r="J18" s="79" t="n">
        <x:f>G18+H18+I18</x:f>
        <x:v>76.84983333333338</x:v>
      </x:c>
      <x:c r="K18" s="79" t="n">
        <x:f>C18-J18</x:f>
        <x:v>48.15016666666662</x:v>
      </x:c>
      <x:c r="L18" s="62" t="str">
        <x:f>IF(K18&lt;0,"超立项余额","可用")</x:f>
        <x:v>可用</x:v>
      </x:c>
      <x:c r="M18" s="74" t="n">
        <x:v>46022</x:v>
      </x:c>
      <x:c r="N18" s="62" t="str">
        <x:v>DERIVED</x:v>
      </x:c>
      <x:c r="O18" s="71" t="str">
        <x:v>2024-01-01至2025-12-31演示范围；项目编号年份片段不代表启动年</x:v>
      </x:c>
      <x:c r="P18" s="71" t="str">
        <x:v>项目预算使用情况表.xlsx</x:v>
      </x:c>
      <x:c r="Q18" s="71" t="n">
        <x:v>18</x:v>
      </x:c>
      <x:c r="R18" s="71" t="str">
        <x:f>IF(ABS(C18-J18-K18)&lt;0.000001,"OK","FAIL")</x:f>
        <x:v>OK</x:v>
      </x:c>
      <x:c r="S18" s="71" t="str">
        <x:f>IF(K18&lt;0,"人工确认后：创建追加立项或预算调整草稿候选","")</x:f>
      </x:c>
    </x:row>
    <x:row r="19">
      <x:c r="A19" s="62" t="str">
        <x:v>PRJ-AQ-灾害-2025-003</x:v>
      </x:c>
      <x:c r="B19" s="62" t="str">
        <x:v>灾害防护</x:v>
      </x:c>
      <x:c r="C19" s="77" t="n">
        <x:v>138</x:v>
      </x:c>
      <x:c r="D19" s="77" t="n">
        <x:v>96</x:v>
      </x:c>
      <x:c r="E19" s="79" t="n">
        <x:f>SUMIFS('04_2024实际_演示'!$Q$2:$Q$204,'04_2024实际_演示'!$AB$2:$AB$204,$A19,'04_2024实际_演示'!$D$2:$D$204,"&lt;&gt;营业收入")</x:f>
        <x:v>42.89203333333337</x:v>
      </x:c>
      <x:c r="F19" s="79" t="n">
        <x:f>SUMIFS('05_2025实际_演示'!$Q$2:$Q$218,'05_2025实际_演示'!$AB$2:$AB$218,$A19,'05_2025实际_演示'!$D$2:$D$218,"&lt;&gt;营业收入")</x:f>
        <x:v>41.3309</x:v>
      </x:c>
      <x:c r="G19" s="79" t="n">
        <x:f>E19+F19</x:f>
        <x:v>84.22293333333337</x:v>
      </x:c>
      <x:c r="H19" s="79" t="n">
        <x:f>SUMIFS('11_2025占用事件'!$L$2:$L$109,'11_2025占用事件'!$S$2:$S$109,$A19)</x:f>
        <x:v>0</x:v>
      </x:c>
      <x:c r="I19" s="79" t="n">
        <x:v>0</x:v>
      </x:c>
      <x:c r="J19" s="79" t="n">
        <x:f>G19+H19+I19</x:f>
        <x:v>84.22293333333337</x:v>
      </x:c>
      <x:c r="K19" s="79" t="n">
        <x:f>C19-J19</x:f>
        <x:v>53.77706666666663</x:v>
      </x:c>
      <x:c r="L19" s="62" t="str">
        <x:f>IF(K19&lt;0,"超立项余额","可用")</x:f>
        <x:v>可用</x:v>
      </x:c>
      <x:c r="M19" s="74" t="n">
        <x:v>46022</x:v>
      </x:c>
      <x:c r="N19" s="62" t="str">
        <x:v>DERIVED</x:v>
      </x:c>
      <x:c r="O19" s="71" t="str">
        <x:v>2024-01-01至2025-12-31演示范围；项目编号年份片段不代表启动年</x:v>
      </x:c>
      <x:c r="P19" s="71" t="str">
        <x:v>项目预算使用情况表.xlsx</x:v>
      </x:c>
      <x:c r="Q19" s="71" t="n">
        <x:v>19</x:v>
      </x:c>
      <x:c r="R19" s="71" t="str">
        <x:f>IF(ABS(C19-J19-K19)&lt;0.000001,"OK","FAIL")</x:f>
        <x:v>OK</x:v>
      </x:c>
      <x:c r="S19" s="71" t="str">
        <x:f>IF(K19&lt;0,"人工确认后：创建追加立项或预算调整草稿候选","")</x:f>
      </x:c>
    </x:row>
    <x:row r="20">
      <x:c r="A20" s="62" t="str">
        <x:v>PRJ-AQ-安全-2024-001</x:v>
      </x:c>
      <x:c r="B20" s="62" t="str">
        <x:v>安全评估</x:v>
      </x:c>
      <x:c r="C20" s="77" t="n">
        <x:v>116</x:v>
      </x:c>
      <x:c r="D20" s="77" t="n">
        <x:v>67</x:v>
      </x:c>
      <x:c r="E20" s="79" t="n">
        <x:f>SUMIFS('04_2024实际_演示'!$Q$2:$Q$204,'04_2024实际_演示'!$AB$2:$AB$204,$A20,'04_2024实际_演示'!$D$2:$D$204,"&lt;&gt;营业收入")</x:f>
        <x:v>47.92536666666664</x:v>
      </x:c>
      <x:c r="F20" s="79" t="n">
        <x:f>SUMIFS('05_2025实际_演示'!$Q$2:$Q$218,'05_2025实际_演示'!$AB$2:$AB$218,$A20,'05_2025实际_演示'!$D$2:$D$218,"&lt;&gt;营业收入")</x:f>
        <x:v>37.9072</x:v>
      </x:c>
      <x:c r="G20" s="79" t="n">
        <x:f>E20+F20</x:f>
        <x:v>85.83256666666665</x:v>
      </x:c>
      <x:c r="H20" s="79" t="n">
        <x:f>SUMIFS('11_2025占用事件'!$L$2:$L$109,'11_2025占用事件'!$S$2:$S$109,$A20)</x:f>
        <x:v>0</x:v>
      </x:c>
      <x:c r="I20" s="79" t="n">
        <x:v>0</x:v>
      </x:c>
      <x:c r="J20" s="79" t="n">
        <x:f>G20+H20+I20</x:f>
        <x:v>85.83256666666665</x:v>
      </x:c>
      <x:c r="K20" s="79" t="n">
        <x:f>C20-J20</x:f>
        <x:v>30.16743333333335</x:v>
      </x:c>
      <x:c r="L20" s="62" t="str">
        <x:f>IF(K20&lt;0,"超立项余额","可用")</x:f>
        <x:v>可用</x:v>
      </x:c>
      <x:c r="M20" s="74" t="n">
        <x:v>46022</x:v>
      </x:c>
      <x:c r="N20" s="62" t="str">
        <x:v>DERIVED</x:v>
      </x:c>
      <x:c r="O20" s="71" t="str">
        <x:v>2024-01-01至2025-12-31演示范围；项目编号年份片段不代表启动年</x:v>
      </x:c>
      <x:c r="P20" s="71" t="str">
        <x:v>项目预算使用情况表.xlsx</x:v>
      </x:c>
      <x:c r="Q20" s="71" t="n">
        <x:v>20</x:v>
      </x:c>
      <x:c r="R20" s="71" t="str">
        <x:f>IF(ABS(C20-J20-K20)&lt;0.000001,"OK","FAIL")</x:f>
        <x:v>OK</x:v>
      </x:c>
      <x:c r="S20" s="71" t="str">
        <x:f>IF(K20&lt;0,"人工确认后：创建追加立项或预算调整草稿候选","")</x:f>
      </x:c>
    </x:row>
    <x:row r="21">
      <x:c r="A21" s="62" t="str">
        <x:v>PRJ-AQ-安全-2025-002</x:v>
      </x:c>
      <x:c r="B21" s="62" t="str">
        <x:v>安全评估</x:v>
      </x:c>
      <x:c r="C21" s="77" t="n">
        <x:v>98</x:v>
      </x:c>
      <x:c r="D21" s="77" t="n">
        <x:v>68</x:v>
      </x:c>
      <x:c r="E21" s="79" t="n">
        <x:f>SUMIFS('04_2024实际_演示'!$Q$2:$Q$204,'04_2024实际_演示'!$AB$2:$AB$204,$A21,'04_2024实际_演示'!$D$2:$D$204,"&lt;&gt;营业收入")</x:f>
        <x:v>41.20263333333336</x:v>
      </x:c>
      <x:c r="F21" s="79" t="n">
        <x:f>SUMIFS('05_2025实际_演示'!$Q$2:$Q$218,'05_2025实际_演示'!$AB$2:$AB$218,$A21,'05_2025实际_演示'!$D$2:$D$218,"&lt;&gt;营业收入")</x:f>
        <x:v>27.869999999999997</x:v>
      </x:c>
      <x:c r="G21" s="79" t="n">
        <x:f>E21+F21</x:f>
        <x:v>69.07263333333336</x:v>
      </x:c>
      <x:c r="H21" s="79" t="n">
        <x:f>SUMIFS('11_2025占用事件'!$L$2:$L$109,'11_2025占用事件'!$S$2:$S$109,$A21)</x:f>
        <x:v>0</x:v>
      </x:c>
      <x:c r="I21" s="79" t="n">
        <x:v>0</x:v>
      </x:c>
      <x:c r="J21" s="79" t="n">
        <x:f>G21+H21+I21</x:f>
        <x:v>69.07263333333336</x:v>
      </x:c>
      <x:c r="K21" s="79" t="n">
        <x:f>C21-J21</x:f>
        <x:v>28.927366666666643</x:v>
      </x:c>
      <x:c r="L21" s="62" t="str">
        <x:f>IF(K21&lt;0,"超立项余额","可用")</x:f>
        <x:v>可用</x:v>
      </x:c>
      <x:c r="M21" s="74" t="n">
        <x:v>46022</x:v>
      </x:c>
      <x:c r="N21" s="62" t="str">
        <x:v>DERIVED</x:v>
      </x:c>
      <x:c r="O21" s="71" t="str">
        <x:v>2024-01-01至2025-12-31演示范围；项目编号年份片段不代表启动年</x:v>
      </x:c>
      <x:c r="P21" s="71" t="str">
        <x:v>项目预算使用情况表.xlsx</x:v>
      </x:c>
      <x:c r="Q21" s="71" t="n">
        <x:v>21</x:v>
      </x:c>
      <x:c r="R21" s="71" t="str">
        <x:f>IF(ABS(C21-J21-K21)&lt;0.000001,"OK","FAIL")</x:f>
        <x:v>OK</x:v>
      </x:c>
      <x:c r="S21" s="71" t="str">
        <x:f>IF(K21&lt;0,"人工确认后：创建追加立项或预算调整草稿候选","")</x:f>
      </x:c>
    </x:row>
    <x:row r="22">
      <x:c r="A22" s="62" t="str">
        <x:v>PRJ-AQ-安全-2025-003</x:v>
      </x:c>
      <x:c r="B22" s="62" t="str">
        <x:v>安全评估</x:v>
      </x:c>
      <x:c r="C22" s="77" t="n">
        <x:v>134</x:v>
      </x:c>
      <x:c r="D22" s="77" t="n">
        <x:v>62</x:v>
      </x:c>
      <x:c r="E22" s="79" t="n">
        <x:f>SUMIFS('04_2024实际_演示'!$Q$2:$Q$204,'04_2024实际_演示'!$AB$2:$AB$204,$A22,'04_2024实际_演示'!$D$2:$D$204,"&lt;&gt;营业收入")</x:f>
        <x:v>40.217533333333364</x:v>
      </x:c>
      <x:c r="F22" s="79" t="n">
        <x:f>SUMIFS('05_2025实际_演示'!$Q$2:$Q$218,'05_2025实际_演示'!$AB$2:$AB$218,$A22,'05_2025实际_演示'!$D$2:$D$218,"&lt;&gt;营业收入")</x:f>
        <x:v>29.303599999999996</x:v>
      </x:c>
      <x:c r="G22" s="79" t="n">
        <x:f>E22+F22</x:f>
        <x:v>69.52113333333335</x:v>
      </x:c>
      <x:c r="H22" s="79" t="n">
        <x:f>SUMIFS('11_2025占用事件'!$L$2:$L$109,'11_2025占用事件'!$S$2:$S$109,$A22)</x:f>
        <x:v>0</x:v>
      </x:c>
      <x:c r="I22" s="79" t="n">
        <x:v>0</x:v>
      </x:c>
      <x:c r="J22" s="79" t="n">
        <x:f>G22+H22+I22</x:f>
        <x:v>69.52113333333335</x:v>
      </x:c>
      <x:c r="K22" s="79" t="n">
        <x:f>C22-J22</x:f>
        <x:v>64.47886666666665</x:v>
      </x:c>
      <x:c r="L22" s="62" t="str">
        <x:f>IF(K22&lt;0,"超立项余额","可用")</x:f>
        <x:v>可用</x:v>
      </x:c>
      <x:c r="M22" s="74" t="n">
        <x:v>46022</x:v>
      </x:c>
      <x:c r="N22" s="62" t="str">
        <x:v>DERIVED</x:v>
      </x:c>
      <x:c r="O22" s="71" t="str">
        <x:v>2024-01-01至2025-12-31演示范围；项目编号年份片段不代表启动年</x:v>
      </x:c>
      <x:c r="P22" s="71" t="str">
        <x:v>项目预算使用情况表.xlsx</x:v>
      </x:c>
      <x:c r="Q22" s="71" t="n">
        <x:v>22</x:v>
      </x:c>
      <x:c r="R22" s="71" t="str">
        <x:f>IF(ABS(C22-J22-K22)&lt;0.000001,"OK","FAIL")</x:f>
        <x:v>OK</x:v>
      </x:c>
      <x:c r="S22" s="71" t="str">
        <x:f>IF(K22&lt;0,"人工确认后：创建追加立项或预算调整草稿候选","")</x:f>
      </x:c>
    </x:row>
  </x:sheetData>
  <x:conditionalFormatting sqref="L2:L22">
    <x:cfRule type="containsText" dxfId="42" priority="1" operator="containsText" text="OK"/>
    <x:cfRule type="containsText" dxfId="43" priority="2" operator="containsText" text="PASS"/>
    <x:cfRule type="containsText" dxfId="44" priority="3" operator="containsText" text="FAIL"/>
    <x:cfRule type="containsText" dxfId="45" priority="4" operator="containsText" text="阻塞"/>
    <x:cfRule type="containsText" dxfId="46" priority="5" operator="containsText" text="待复核"/>
    <x:cfRule type="containsText" dxfId="52" priority="11" operator="containsText" text="超立项"/>
  </x:conditionalFormatting>
  <x:conditionalFormatting sqref="R2:R22">
    <x:cfRule type="containsText" dxfId="47" priority="6" operator="containsText" text="OK"/>
    <x:cfRule type="containsText" dxfId="48" priority="7" operator="containsText" text="PASS"/>
    <x:cfRule type="containsText" dxfId="49" priority="8" operator="containsText" text="FAIL"/>
    <x:cfRule type="containsText" dxfId="50" priority="9" operator="containsText" text="阻塞"/>
    <x:cfRule type="containsText" dxfId="51" priority="10" operator="containsText" text="待复核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5" hidden="0" customWidth="1"/>
    <x:col min="4" max="4" width="15" hidden="0" customWidth="1"/>
    <x:col min="5" max="5" width="19" hidden="0" customWidth="1"/>
    <x:col min="6" max="6" width="19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3" hidden="0" customWidth="1"/>
    <x:col min="12" max="12" width="13" hidden="0" customWidth="1"/>
    <x:col min="13" max="13" width="54" hidden="0" customWidth="1"/>
    <x:col min="14" max="14" width="54" hidden="0" customWidth="1"/>
    <x:col min="15" max="15" width="20" hidden="0" customWidth="1"/>
  </x:cols>
  <x:sheetData>
    <x:row r="1" ht="34" customHeight="1">
      <x:c r="A1" s="68" t="str">
        <x:v>年度</x:v>
      </x:c>
      <x:c r="B1" s="69" t="str">
        <x:v>部门</x:v>
      </x:c>
      <x:c r="C1" s="69" t="str">
        <x:v>实际收入</x:v>
      </x:c>
      <x:c r="D1" s="69" t="str">
        <x:v>实际费用</x:v>
      </x:c>
      <x:c r="E1" s="69" t="str">
        <x:v>最终批准收入预算</x:v>
      </x:c>
      <x:c r="F1" s="69" t="str">
        <x:v>最终批准费用预算</x:v>
      </x:c>
      <x:c r="G1" s="69" t="str">
        <x:v>收入执行率</x:v>
      </x:c>
      <x:c r="H1" s="69" t="str">
        <x:v>费用执行率</x:v>
      </x:c>
      <x:c r="I1" s="69" t="str">
        <x:v>成本占收比</x:v>
      </x:c>
      <x:c r="J1" s="69" t="str">
        <x:v>真正毛利率</x:v>
      </x:c>
      <x:c r="K1" s="69" t="str">
        <x:v>收入同比</x:v>
      </x:c>
      <x:c r="L1" s="69" t="str">
        <x:v>费用同比</x:v>
      </x:c>
      <x:c r="M1" s="69" t="str">
        <x:v>跨年趋势解释_模拟</x:v>
      </x:c>
      <x:c r="N1" s="69" t="str">
        <x:v>单位对比解释_模拟</x:v>
      </x:c>
      <x:c r="O1" s="70" t="str">
        <x:v>数据状态</x:v>
      </x:c>
    </x:row>
    <x:row r="2" ht="48" customHeight="1">
      <x:c r="A2" s="62" t="n">
        <x:v>2024</x:v>
      </x:c>
      <x:c r="B2" s="62" t="str">
        <x:v>设备管理部</x:v>
      </x:c>
      <x:c r="C2" s="86" t="n">
        <x:f>SUMIFS('04_2024实际_演示'!$Q$2:$Q$204,'04_2024实际_演示'!$U$2:$U$204,$B2,'04_2024实际_演示'!$D$2:$D$204,"营业收入")</x:f>
        <x:v>250</x:v>
      </x:c>
      <x:c r="D2" s="86" t="n">
        <x:f>SUMIFS('04_2024实际_演示'!$Q$2:$Q$204,'04_2024实际_演示'!$U$2:$U$204,$B2,'04_2024实际_演示'!$D$2:$D$204,"&lt;&gt;营业收入")</x:f>
        <x:v>395.53923333333313</x:v>
      </x:c>
      <x:c r="E2" s="86" t="n">
        <x:f>SUMIFS('06_正式预算_年度'!$Q$2:$Q$61,'06_正式预算_年度'!$B$2:$B$61,$A2,'06_正式预算_年度'!$M$2:$M$61,$B2,'06_正式预算_年度'!$P$2:$P$61,"营业收入")</x:f>
        <x:v>357</x:v>
      </x:c>
      <x:c r="F2" s="86" t="n">
        <x:f>SUMIFS('06_正式预算_年度'!$Q$2:$Q$61,'06_正式预算_年度'!$B$2:$B$61,$A2,'06_正式预算_年度'!$M$2:$M$61,$B2,'06_正式预算_年度'!$P$2:$P$61,"&lt;&gt;营业收入")</x:f>
        <x:v>469.5</x:v>
      </x:c>
      <x:c r="G2" s="90" t="n">
        <x:f>IF(E2=0,0,C2/E2)</x:f>
        <x:v>0.7002801120448179</x:v>
      </x:c>
      <x:c r="H2" s="90" t="n">
        <x:f>IF(F2=0,0,D2/F2)</x:f>
        <x:v>0.8424690805821792</x:v>
      </x:c>
      <x:c r="I2" s="90" t="n">
        <x:f>IF(C2=0,0,D2/C2)</x:f>
        <x:v>1.5821569333333325</x:v>
      </x:c>
      <x:c r="J2" s="90" t="n">
        <x:f>IF(C2=0,0,(C2-D2)/C2)</x:f>
        <x:v>-0.5821569333333325</x:v>
      </x:c>
      <x:c r="K2" s="90" t="n">
        <x:f>0</x:f>
        <x:v>0</x:v>
      </x:c>
      <x:c r="L2" s="90" t="n">
        <x:f>0</x:f>
        <x:v>0</x:v>
      </x:c>
      <x:c r="M2" s="71" t="str">
        <x:v>基期</x:v>
      </x:c>
      <x:c r="N2" s="71" t="str">
        <x:v>设备项目地域相对集中，差旅占比较低；设备物料和技术配置占比较高。</x:v>
      </x:c>
      <x:c r="O2" s="62" t="str">
        <x:v>SIMULATED_CURATED</x:v>
      </x:c>
    </x:row>
    <x:row r="3" ht="48" customHeight="1">
      <x:c r="A3" s="62" t="n">
        <x:v>2024</x:v>
      </x:c>
      <x:c r="B3" s="62" t="str">
        <x:v>技术部</x:v>
      </x:c>
      <x:c r="C3" s="86" t="n">
        <x:f>SUMIFS('04_2024实际_演示'!$Q$2:$Q$204,'04_2024实际_演示'!$U$2:$U$204,$B3,'04_2024实际_演示'!$D$2:$D$204,"营业收入")</x:f>
        <x:v>431</x:v>
      </x:c>
      <x:c r="D3" s="86" t="n">
        <x:f>SUMIFS('04_2024实际_演示'!$Q$2:$Q$204,'04_2024实际_演示'!$U$2:$U$204,$B3,'04_2024实际_演示'!$D$2:$D$204,"&lt;&gt;营业收入")</x:f>
        <x:v>361.6323333333333</x:v>
      </x:c>
      <x:c r="E3" s="86" t="n">
        <x:f>SUMIFS('06_正式预算_年度'!$Q$2:$Q$61,'06_正式预算_年度'!$B$2:$B$61,$A3,'06_正式预算_年度'!$M$2:$M$61,$B3,'06_正式预算_年度'!$P$2:$P$61,"营业收入")</x:f>
        <x:v>530</x:v>
      </x:c>
      <x:c r="F3" s="86" t="n">
        <x:f>SUMIFS('06_正式预算_年度'!$Q$2:$Q$61,'06_正式预算_年度'!$B$2:$B$61,$A3,'06_正式预算_年度'!$M$2:$M$61,$B3,'06_正式预算_年度'!$P$2:$P$61,"&lt;&gt;营业收入")</x:f>
        <x:v>401.3</x:v>
      </x:c>
      <x:c r="G3" s="90" t="n">
        <x:f>IF(E3=0,0,C3/E3)</x:f>
        <x:v>0.8132075471698114</x:v>
      </x:c>
      <x:c r="H3" s="90" t="n">
        <x:f>IF(F3=0,0,D3/F3)</x:f>
        <x:v>0.9011520890439404</x:v>
      </x:c>
      <x:c r="I3" s="90" t="n">
        <x:f>IF(C3=0,0,D3/C3)</x:f>
        <x:v>0.8390541376643463</x:v>
      </x:c>
      <x:c r="J3" s="90" t="n">
        <x:f>IF(C3=0,0,(C3-D3)/C3)</x:f>
        <x:v>0.1609458623356536</x:v>
      </x:c>
      <x:c r="K3" s="90" t="n">
        <x:f>0</x:f>
        <x:v>0</x:v>
      </x:c>
      <x:c r="L3" s="90" t="n">
        <x:f>0</x:f>
        <x:v>0</x:v>
      </x:c>
      <x:c r="M3" s="71" t="str">
        <x:v>基期</x:v>
      </x:c>
      <x:c r="N3" s="71" t="str">
        <x:v>多研究专题并行，外部技术配置和跨点协同形成较高业务支持及差旅需求。</x:v>
      </x:c>
      <x:c r="O3" s="62" t="str">
        <x:v>SIMULATED_CURATED</x:v>
      </x:c>
    </x:row>
    <x:row r="4" ht="48" customHeight="1">
      <x:c r="A4" s="62" t="n">
        <x:v>2024</x:v>
      </x:c>
      <x:c r="B4" s="62" t="str">
        <x:v>安全运行部</x:v>
      </x:c>
      <x:c r="C4" s="86" t="n">
        <x:f>SUMIFS('04_2024实际_演示'!$Q$2:$Q$204,'04_2024实际_演示'!$U$2:$U$204,$B4,'04_2024实际_演示'!$D$2:$D$204,"营业收入")</x:f>
        <x:v>540</x:v>
      </x:c>
      <x:c r="D4" s="86" t="n">
        <x:f>SUMIFS('04_2024实际_演示'!$Q$2:$Q$204,'04_2024实际_演示'!$U$2:$U$204,$B4,'04_2024实际_演示'!$D$2:$D$204,"&lt;&gt;营业收入")</x:f>
        <x:v>377.70320000000015</x:v>
      </x:c>
      <x:c r="E4" s="86" t="n">
        <x:f>SUMIFS('06_正式预算_年度'!$Q$2:$Q$61,'06_正式预算_年度'!$B$2:$B$61,$A4,'06_正式预算_年度'!$M$2:$M$61,$B4,'06_正式预算_年度'!$P$2:$P$61,"营业收入")</x:f>
        <x:v>398</x:v>
      </x:c>
      <x:c r="F4" s="86" t="n">
        <x:f>SUMIFS('06_正式预算_年度'!$Q$2:$Q$61,'06_正式预算_年度'!$B$2:$B$61,$A4,'06_正式预算_年度'!$M$2:$M$61,$B4,'06_正式预算_年度'!$P$2:$P$61,"&lt;&gt;营业收入")</x:f>
        <x:v>301</x:v>
      </x:c>
      <x:c r="G4" s="90" t="n">
        <x:f>IF(E4=0,0,C4/E4)</x:f>
        <x:v>1.35678391959799</x:v>
      </x:c>
      <x:c r="H4" s="90" t="n">
        <x:f>IF(F4=0,0,D4/F4)</x:f>
        <x:v>1.2548279069767447</x:v>
      </x:c>
      <x:c r="I4" s="90" t="n">
        <x:f>IF(C4=0,0,D4/C4)</x:f>
        <x:v>0.6994503703703706</x:v>
      </x:c>
      <x:c r="J4" s="90" t="n">
        <x:f>IF(C4=0,0,(C4-D4)/C4)</x:f>
        <x:v>0.30054962962962933</x:v>
      </x:c>
      <x:c r="K4" s="90" t="n">
        <x:f>0</x:f>
        <x:v>0</x:v>
      </x:c>
      <x:c r="L4" s="90" t="n">
        <x:f>0</x:f>
        <x:v>0</x:v>
      </x:c>
      <x:c r="M4" s="71" t="str">
        <x:v>基期</x:v>
      </x:c>
      <x:c r="N4" s="71" t="str">
        <x:v>现场核查、灾害防护与安全评估跨区域开展，差旅强度高于设备管理部。</x:v>
      </x:c>
      <x:c r="O4" s="62" t="str">
        <x:v>SIMULATED_CURATED</x:v>
      </x:c>
    </x:row>
    <x:row r="5" ht="48" customHeight="1">
      <x:c r="A5" s="62" t="n">
        <x:v>2025</x:v>
      </x:c>
      <x:c r="B5" s="62" t="str">
        <x:v>设备管理部</x:v>
      </x:c>
      <x:c r="C5" s="86" t="n">
        <x:f>SUMIFS('05_2025实际_演示'!$Q$2:$Q$218,'05_2025实际_演示'!$U$2:$U$218,$B5,'05_2025实际_演示'!$D$2:$D$218,"营业收入")</x:f>
        <x:v>488.9444495</x:v>
      </x:c>
      <x:c r="D5" s="86" t="n">
        <x:f>SUMIFS('05_2025实际_演示'!$Q$2:$Q$218,'05_2025实际_演示'!$U$2:$U$218,$B5,'05_2025实际_演示'!$D$2:$D$218,"&lt;&gt;营业收入")</x:f>
        <x:v>255.65570000000002</x:v>
      </x:c>
      <x:c r="E5" s="86" t="n">
        <x:f>SUMIFS('06_正式预算_年度'!$Q$2:$Q$61,'06_正式预算_年度'!$B$2:$B$61,$A5,'06_正式预算_年度'!$M$2:$M$61,$B5,'06_正式预算_年度'!$P$2:$P$61,"营业收入")</x:f>
        <x:v>500</x:v>
      </x:c>
      <x:c r="F5" s="86" t="n">
        <x:f>SUMIFS('06_正式预算_年度'!$Q$2:$Q$61,'06_正式预算_年度'!$B$2:$B$61,$A5,'06_正式预算_年度'!$M$2:$M$61,$B5,'06_正式预算_年度'!$P$2:$P$61,"&lt;&gt;营业收入")</x:f>
        <x:v>404.5</x:v>
      </x:c>
      <x:c r="G5" s="90" t="n">
        <x:f>IF(E5=0,0,C5/E5)</x:f>
        <x:v>0.9778888990000001</x:v>
      </x:c>
      <x:c r="H5" s="90" t="n">
        <x:f>IF(F5=0,0,D5/F5)</x:f>
        <x:v>0.6320289245982695</x:v>
      </x:c>
      <x:c r="I5" s="90" t="n">
        <x:f>IF(C5=0,0,D5/C5)</x:f>
        <x:v>0.5228726908781486</x:v>
      </x:c>
      <x:c r="J5" s="90" t="n">
        <x:f>IF(C5=0,0,(C5-D5)/C5)</x:f>
        <x:v>0.4771273091218515</x:v>
      </x:c>
      <x:c r="K5" s="90" t="n">
        <x:f>IFERROR(C5/SUMIFS($C$2:$C$7,$A$2:$A$7,A5-1,$B$2:$B$7,B5)-1,0)</x:f>
        <x:v>0.9557777980000002</x:v>
      </x:c>
      <x:c r="L5" s="90" t="n">
        <x:f>IFERROR(D5/SUMIFS($D$2:$D$7,$A$2:$A$7,A5-1,$B$2:$B$7,B5)-1,0)</x:f>
        <x:v>-0.35365273920994056</x:v>
      </x:c>
      <x:c r="M5" s="71" t="str">
        <x:v>2025设备维护框架项目集中进入收入确认期，收入基数抬升；成本随交付增长但仍受预算约束。</x:v>
      </x:c>
      <x:c r="N5" s="71" t="str">
        <x:v>设备项目地域相对集中，差旅占比较低；设备物料和技术配置占比较高。</x:v>
      </x:c>
      <x:c r="O5" s="62" t="str">
        <x:v>SIMULATED_CURATED</x:v>
      </x:c>
    </x:row>
    <x:row r="6" ht="48" customHeight="1">
      <x:c r="A6" s="62" t="n">
        <x:v>2025</x:v>
      </x:c>
      <x:c r="B6" s="62" t="str">
        <x:v>技术部</x:v>
      </x:c>
      <x:c r="C6" s="86" t="n">
        <x:f>SUMIFS('05_2025实际_演示'!$Q$2:$Q$218,'05_2025实际_演示'!$U$2:$U$218,$B6,'05_2025实际_演示'!$D$2:$D$218,"营业收入")</x:f>
        <x:v>394.55</x:v>
      </x:c>
      <x:c r="D6" s="86" t="n">
        <x:f>SUMIFS('05_2025实际_演示'!$Q$2:$Q$218,'05_2025实际_演示'!$U$2:$U$218,$B6,'05_2025实际_演示'!$D$2:$D$218,"&lt;&gt;营业收入")</x:f>
        <x:v>295.75069999999994</x:v>
      </x:c>
      <x:c r="E6" s="86" t="n">
        <x:f>SUMIFS('06_正式预算_年度'!$Q$2:$Q$61,'06_正式预算_年度'!$B$2:$B$61,$A6,'06_正式预算_年度'!$M$2:$M$61,$B6,'06_正式预算_年度'!$P$2:$P$61,"营业收入")</x:f>
        <x:v>400</x:v>
      </x:c>
      <x:c r="F6" s="86" t="n">
        <x:f>SUMIFS('06_正式预算_年度'!$Q$2:$Q$61,'06_正式预算_年度'!$B$2:$B$61,$A6,'06_正式预算_年度'!$M$2:$M$61,$B6,'06_正式预算_年度'!$P$2:$P$61,"&lt;&gt;营业收入")</x:f>
        <x:v>379.29999999999995</x:v>
      </x:c>
      <x:c r="G6" s="90" t="n">
        <x:f>IF(E6=0,0,C6/E6)</x:f>
        <x:v>0.986375</x:v>
      </x:c>
      <x:c r="H6" s="90" t="n">
        <x:f>IF(F6=0,0,D6/F6)</x:f>
        <x:v>0.7797276562088056</x:v>
      </x:c>
      <x:c r="I6" s="90" t="n">
        <x:f>IF(C6=0,0,D6/C6)</x:f>
        <x:v>0.7495899125586108</x:v>
      </x:c>
      <x:c r="J6" s="90" t="n">
        <x:f>IF(C6=0,0,(C6-D6)/C6)</x:f>
        <x:v>0.2504100874413891</x:v>
      </x:c>
      <x:c r="K6" s="90" t="n">
        <x:f>IFERROR(C6/SUMIFS($C$2:$C$7,$A$2:$A$7,A6-1,$B$2:$B$7,B6)-1,0)</x:f>
        <x:v>-0.08457076566125288</x:v>
      </x:c>
      <x:c r="L6" s="90" t="n">
        <x:f>IFERROR(D6/SUMIFS($D$2:$D$7,$A$2:$A$7,A6-1,$B$2:$B$7,B6)-1,0)</x:f>
        <x:v>-0.18217849252048823</x:v>
      </x:c>
      <x:c r="M6" s="71" t="str">
        <x:v>2024高强度研究阶段结束，2025转为多项目组合交付，收入小幅回落、费用结构更分散。</x:v>
      </x:c>
      <x:c r="N6" s="71" t="str">
        <x:v>多研究专题并行，外部技术配置和跨点协同形成较高业务支持及差旅需求。</x:v>
      </x:c>
      <x:c r="O6" s="62" t="str">
        <x:v>SIMULATED_CURATED</x:v>
      </x:c>
    </x:row>
    <x:row r="7" ht="48" customHeight="1">
      <x:c r="A7" s="62" t="n">
        <x:v>2025</x:v>
      </x:c>
      <x:c r="B7" s="62" t="str">
        <x:v>安全运行部</x:v>
      </x:c>
      <x:c r="C7" s="86" t="n">
        <x:f>SUMIFS('05_2025实际_演示'!$Q$2:$Q$218,'05_2025实际_演示'!$U$2:$U$218,$B7,'05_2025实际_演示'!$D$2:$D$218,"营业收入")</x:f>
        <x:v>275.5277785</x:v>
      </x:c>
      <x:c r="D7" s="86" t="n">
        <x:f>SUMIFS('05_2025实际_演示'!$Q$2:$Q$218,'05_2025实际_演示'!$U$2:$U$218,$B7,'05_2025实际_演示'!$D$2:$D$218,"&lt;&gt;营业收入")</x:f>
        <x:v>310.3201</x:v>
      </x:c>
      <x:c r="E7" s="86" t="n">
        <x:f>SUMIFS('06_正式预算_年度'!$Q$2:$Q$61,'06_正式预算_年度'!$B$2:$B$61,$A7,'06_正式预算_年度'!$M$2:$M$61,$B7,'06_正式预算_年度'!$P$2:$P$61,"营业收入")</x:f>
        <x:v>300</x:v>
      </x:c>
      <x:c r="F7" s="86" t="n">
        <x:f>SUMIFS('06_正式预算_年度'!$Q$2:$Q$61,'06_正式预算_年度'!$B$2:$B$61,$A7,'06_正式预算_年度'!$M$2:$M$61,$B7,'06_正式预算_年度'!$P$2:$P$61,"&lt;&gt;营业收入")</x:f>
        <x:v>313.9</x:v>
      </x:c>
      <x:c r="G7" s="90" t="n">
        <x:f>IF(E7=0,0,C7/E7)</x:f>
        <x:v>0.9184259283333334</x:v>
      </x:c>
      <x:c r="H7" s="90" t="n">
        <x:f>IF(F7=0,0,D7/F7)</x:f>
        <x:v>0.9885954125517682</x:v>
      </x:c>
      <x:c r="I7" s="90" t="n">
        <x:f>IF(C7=0,0,D7/C7)</x:f>
        <x:v>1.1262751860789237</x:v>
      </x:c>
      <x:c r="J7" s="90" t="n">
        <x:f>IF(C7=0,0,(C7-D7)/C7)</x:f>
        <x:v>-0.12627518607892385</x:v>
      </x:c>
      <x:c r="K7" s="90" t="n">
        <x:f>IFERROR(C7/SUMIFS($C$2:$C$7,$A$2:$A$7,A7-1,$B$2:$B$7,B7)-1,0)</x:f>
        <x:v>-0.4897633731481481</x:v>
      </x:c>
      <x:c r="L7" s="90" t="n">
        <x:f>IFERROR(D7/SUMIFS($D$2:$D$7,$A$2:$A$7,A7-1,$B$2:$B$7,B7)-1,0)</x:f>
        <x:v>-0.17840224811439276</x:v>
      </x:c>
      <x:c r="M7" s="71" t="str">
        <x:v>2024一次性安全评估波次完成，2025回归常态化项目组合，收入与费用同比回落。</x:v>
      </x:c>
      <x:c r="N7" s="71" t="str">
        <x:v>现场核查、灾害防护与安全评估跨区域开展，差旅强度高于设备管理部。</x:v>
      </x:c>
      <x:c r="O7" s="62" t="str">
        <x:v>SIMULATED_CURATED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52" hidden="0" customWidth="1"/>
    <x:col min="5" max="5" width="36" hidden="0" customWidth="1"/>
    <x:col min="6" max="6" width="22" hidden="0" customWidth="1"/>
    <x:col min="7" max="7" width="30" hidden="0" customWidth="1"/>
    <x:col min="8" max="8" width="18" hidden="0" customWidth="1"/>
    <x:col min="9" max="9" width="34" hidden="0" customWidth="1"/>
    <x:col min="10" max="10" width="18" hidden="0" customWidth="1"/>
    <x:col min="11" max="11" width="16" hidden="0" customWidth="1"/>
    <x:col min="12" max="12" width="48" hidden="0" customWidth="1"/>
  </x:cols>
  <x:sheetData>
    <x:row r="1" ht="34" customHeight="1">
      <x:c r="A1" s="68" t="str">
        <x:v>候选ID</x:v>
      </x:c>
      <x:c r="B1" s="69" t="str">
        <x:v>类型</x:v>
      </x:c>
      <x:c r="C1" s="69" t="str">
        <x:v>名称</x:v>
      </x:c>
      <x:c r="D1" s="69" t="str">
        <x:v>定义/触发条件</x:v>
      </x:c>
      <x:c r="E1" s="69" t="str">
        <x:v>关键稳定键/证据</x:v>
      </x:c>
      <x:c r="F1" s="69" t="str">
        <x:v>候选阈值</x:v>
      </x:c>
      <x:c r="G1" s="69" t="str">
        <x:v>可触发Action/产物</x:v>
      </x:c>
      <x:c r="H1" s="69" t="str">
        <x:v>下游</x:v>
      </x:c>
      <x:c r="I1" s="69" t="str">
        <x:v>现有合同适配</x:v>
      </x:c>
      <x:c r="J1" s="69" t="str">
        <x:v>初步Owner</x:v>
      </x:c>
      <x:c r="K1" s="69" t="str">
        <x:v>状态</x:v>
      </x:c>
      <x:c r="L1" s="70" t="str">
        <x:v>边界说明</x:v>
      </x:c>
    </x:row>
    <x:row r="2" ht="46" customHeight="1">
      <x:c r="A2" s="62" t="str">
        <x:v>MET-001</x:v>
      </x:c>
      <x:c r="B2" s="62" t="str">
        <x:v>Metric</x:v>
      </x:c>
      <x:c r="C2" s="71" t="str">
        <x:v>成本占收比</x:v>
      </x:c>
      <x:c r="D2" s="71" t="str">
        <x:v>总成本/收入净额；源列毛利率更名</x:v>
      </x:c>
      <x:c r="E2" s="71" t="str">
        <x:v>年度+部门/项目+版本+情景</x:v>
      </x:c>
      <x:c r="F2" s="71" t="str">
        <x:v>无</x:v>
      </x:c>
      <x:c r="G2" s="71" t="str">
        <x:v>预算分析事实</x:v>
      </x:c>
      <x:c r="H2" s="71" t="str">
        <x:v>M06展示</x:v>
      </x:c>
      <x:c r="I2" s="71" t="str">
        <x:v>适配C004-C008/C016</x:v>
      </x:c>
      <x:c r="J2" s="71" t="str">
        <x:v>M01</x:v>
      </x:c>
      <x:c r="K2" s="71" t="str">
        <x:v>候选</x:v>
      </x:c>
      <x:c r="L2" s="71" t="str">
        <x:v>项目层同时保留源项目成本口径和含技术配置口径</x:v>
      </x:c>
    </x:row>
    <x:row r="3" ht="46" customHeight="1">
      <x:c r="A3" s="62" t="str">
        <x:v>MET-002</x:v>
      </x:c>
      <x:c r="B3" s="62" t="str">
        <x:v>Metric</x:v>
      </x:c>
      <x:c r="C3" s="71" t="str">
        <x:v>真正毛利率</x:v>
      </x:c>
      <x:c r="D3" s="71" t="str">
        <x:v>(收入净额-总成本)/收入净额</x:v>
      </x:c>
      <x:c r="E3" s="71" t="str">
        <x:v>同上</x:v>
      </x:c>
      <x:c r="F3" s="71" t="str">
        <x:v>无</x:v>
      </x:c>
      <x:c r="G3" s="71" t="str">
        <x:v>预算分析事实</x:v>
      </x:c>
      <x:c r="H3" s="71" t="str">
        <x:v>M06展示</x:v>
      </x:c>
      <x:c r="I3" s="71" t="str">
        <x:v>适配</x:v>
      </x:c>
      <x:c r="J3" s="71" t="str">
        <x:v>M01</x:v>
      </x:c>
      <x:c r="K3" s="71" t="str">
        <x:v>候选</x:v>
      </x:c>
      <x:c r="L3" s="71" t="str">
        <x:v>与成本占收比恒等为1</x:v>
      </x:c>
    </x:row>
    <x:row r="4" ht="46" customHeight="1">
      <x:c r="A4" s="62" t="str">
        <x:v>MET-003</x:v>
      </x:c>
      <x:c r="B4" s="62" t="str">
        <x:v>Metric</x:v>
      </x:c>
      <x:c r="C4" s="71" t="str">
        <x:v>净在途占用</x:v>
      </x:c>
      <x:c r="D4" s="71" t="str">
        <x:v>PR/PO占用变动金额带符号累计</x:v>
      </x:c>
      <x:c r="E4" s="71" t="str">
        <x:v>项目+快照+资产版本</x:v>
      </x:c>
      <x:c r="F4" s="71" t="str">
        <x:v>无</x:v>
      </x:c>
      <x:c r="G4" s="71" t="str">
        <x:v>项目余额事实</x:v>
      </x:c>
      <x:c r="H4" s="71" t="str">
        <x:v>M06展示</x:v>
      </x:c>
      <x:c r="I4" s="71" t="str">
        <x:v>适配</x:v>
      </x:c>
      <x:c r="J4" s="71" t="str">
        <x:v>M01</x:v>
      </x:c>
      <x:c r="K4" s="71" t="str">
        <x:v>候选</x:v>
      </x:c>
      <x:c r="L4" s="71" t="str">
        <x:v>负向表示释放/确认，不是付款</x:v>
      </x:c>
    </x:row>
    <x:row r="5" ht="46" customHeight="1">
      <x:c r="A5" s="62" t="str">
        <x:v>MET-004</x:v>
      </x:c>
      <x:c r="B5" s="62" t="str">
        <x:v>Metric</x:v>
      </x:c>
      <x:c r="C5" s="71" t="str">
        <x:v>正向毛发起量</x:v>
      </x:c>
      <x:c r="D5" s="71" t="str">
        <x:v>正向PR金额合计</x:v>
      </x:c>
      <x:c r="E5" s="71" t="str">
        <x:v>部门/项目+期间+快照</x:v>
      </x:c>
      <x:c r="F5" s="71" t="str">
        <x:v>无</x:v>
      </x:c>
      <x:c r="G5" s="71" t="str">
        <x:v>采购发起事实</x:v>
      </x:c>
      <x:c r="H5" s="71" t="str">
        <x:v>M06展示</x:v>
      </x:c>
      <x:c r="I5" s="71" t="str">
        <x:v>适配</x:v>
      </x:c>
      <x:c r="J5" s="71" t="str">
        <x:v>M01</x:v>
      </x:c>
      <x:c r="K5" s="71" t="str">
        <x:v>候选</x:v>
      </x:c>
      <x:c r="L5" s="71" t="str">
        <x:v>不把PO正向金额重复相加</x:v>
      </x:c>
    </x:row>
    <x:row r="6" ht="46" customHeight="1">
      <x:c r="A6" s="62" t="str">
        <x:v>MET-005</x:v>
      </x:c>
      <x:c r="B6" s="62" t="str">
        <x:v>Metric</x:v>
      </x:c>
      <x:c r="C6" s="71" t="str">
        <x:v>12月正向采购发起占比</x:v>
      </x:c>
      <x:c r="D6" s="71" t="str">
        <x:v>12月正向PR/全年正向PR</x:v>
      </x:c>
      <x:c r="E6" s="71" t="str">
        <x:v>年度+部门/项目</x:v>
      </x:c>
      <x:c r="F6" s="71" t="str">
        <x:v>无</x:v>
      </x:c>
      <x:c r="G6" s="71" t="str">
        <x:v>年末集中度事实</x:v>
      </x:c>
      <x:c r="H6" s="71" t="str">
        <x:v>M06展示</x:v>
      </x:c>
      <x:c r="I6" s="71" t="str">
        <x:v>适配</x:v>
      </x:c>
      <x:c r="J6" s="71" t="str">
        <x:v>M01</x:v>
      </x:c>
      <x:c r="K6" s="71" t="str">
        <x:v>候选</x:v>
      </x:c>
      <x:c r="L6" s="71" t="str">
        <x:v>正式名：年末采购/预算占用集中度</x:v>
      </x:c>
    </x:row>
    <x:row r="7" ht="46" customHeight="1">
      <x:c r="A7" s="62" t="str">
        <x:v>MET-006</x:v>
      </x:c>
      <x:c r="B7" s="62" t="str">
        <x:v>Metric</x:v>
      </x:c>
      <x:c r="C7" s="71" t="str">
        <x:v>项目可用立项余额</x:v>
      </x:c>
      <x:c r="D7" s="71" t="str">
        <x:v>立项金额-累计实际-净在途-未结计提</x:v>
      </x:c>
      <x:c r="E7" s="71" t="str">
        <x:v>项目+2025-12-31+资产版本</x:v>
      </x:c>
      <x:c r="F7" s="71" t="str">
        <x:v>0</x:v>
      </x:c>
      <x:c r="G7" s="71" t="str">
        <x:v>余额事实</x:v>
      </x:c>
      <x:c r="H7" s="71" t="str">
        <x:v>M06展示</x:v>
      </x:c>
      <x:c r="I7" s="71" t="str">
        <x:v>适配</x:v>
      </x:c>
      <x:c r="J7" s="71" t="str">
        <x:v>M01</x:v>
      </x:c>
      <x:c r="K7" s="71" t="str">
        <x:v>候选</x:v>
      </x:c>
      <x:c r="L7" s="71" t="str">
        <x:v>不等于合同额或项目正式预算</x:v>
      </x:c>
    </x:row>
    <x:row r="8" ht="46" customHeight="1">
      <x:c r="A8" s="62" t="str">
        <x:v>RUL-001</x:v>
      </x:c>
      <x:c r="B8" s="62" t="str">
        <x:v>Rule</x:v>
      </x:c>
      <x:c r="C8" s="71" t="str">
        <x:v>项目可用立项余额不足</x:v>
      </x:c>
      <x:c r="D8" s="71" t="str">
        <x:v>项目可用立项余额&lt;0</x:v>
      </x:c>
      <x:c r="E8" s="71" t="str">
        <x:v>项目+Metric快照</x:v>
      </x:c>
      <x:c r="F8" s="71" t="str">
        <x:v>&lt;0万元</x:v>
      </x:c>
      <x:c r="G8" s="71" t="str">
        <x:v>ACT-005</x:v>
      </x:c>
      <x:c r="H8" s="71" t="str">
        <x:v>M04</x:v>
      </x:c>
      <x:c r="I8" s="71" t="str">
        <x:v>C011-C013适配平台内确认</x:v>
      </x:c>
      <x:c r="J8" s="71" t="str">
        <x:v>M01</x:v>
      </x:c>
      <x:c r="K8" s="71" t="str">
        <x:v>候选</x:v>
      </x:c>
      <x:c r="L8" s="71" t="str">
        <x:v>当前演示命中1个项目</x:v>
      </x:c>
    </x:row>
    <x:row r="9" ht="46" customHeight="1">
      <x:c r="A9" s="62" t="str">
        <x:v>RUL-002</x:v>
      </x:c>
      <x:c r="B9" s="62" t="str">
        <x:v>Rule</x:v>
      </x:c>
      <x:c r="C9" s="71" t="str">
        <x:v>低执行率待复核</x:v>
      </x:c>
      <x:c r="D9" s="71" t="str">
        <x:v>年度费用执行率&lt;阈值</x:v>
      </x:c>
      <x:c r="E9" s="71" t="str">
        <x:v>部门+年度+双版本</x:v>
      </x:c>
      <x:c r="F9" s="71" t="str">
        <x:v>历史候选90%</x:v>
      </x:c>
      <x:c r="G9" s="71" t="str">
        <x:v>ACT-001/ACT-006</x:v>
      </x:c>
      <x:c r="H9" s="71" t="str">
        <x:v>M04/预算系统</x:v>
      </x:c>
      <x:c r="I9" s="71" t="str">
        <x:v>阈值Owner未定</x:v>
      </x:c>
      <x:c r="J9" s="71" t="str">
        <x:v>M01</x:v>
      </x:c>
      <x:c r="K9" s="71" t="str">
        <x:v>候选</x:v>
      </x:c>
      <x:c r="L9" s="71" t="str">
        <x:v>不得直接称预算虚高</x:v>
      </x:c>
    </x:row>
    <x:row r="10" ht="46" customHeight="1">
      <x:c r="A10" s="62" t="str">
        <x:v>RUL-003</x:v>
      </x:c>
      <x:c r="B10" s="62" t="str">
        <x:v>Rule</x:v>
      </x:c>
      <x:c r="C10" s="71" t="str">
        <x:v>差旅趋势异常</x:v>
      </x:c>
      <x:c r="D10" s="71" t="str">
        <x:v>差旅金额和占收比均上升</x:v>
      </x:c>
      <x:c r="E10" s="71" t="str">
        <x:v>部门/项目+双年度</x:v>
      </x:c>
      <x:c r="F10" s="71" t="str">
        <x:v>双升红、单升黄</x:v>
      </x:c>
      <x:c r="G10" s="71" t="str">
        <x:v>ACT-002</x:v>
      </x:c>
      <x:c r="H10" s="71" t="str">
        <x:v>M04</x:v>
      </x:c>
      <x:c r="I10" s="71" t="str">
        <x:v>适配C011-C013</x:v>
      </x:c>
      <x:c r="J10" s="71" t="str">
        <x:v>M01</x:v>
      </x:c>
      <x:c r="K10" s="71" t="str">
        <x:v>候选</x:v>
      </x:c>
      <x:c r="L10" s="71" t="str">
        <x:v>可比基期含演示补录</x:v>
      </x:c>
    </x:row>
    <x:row r="11" ht="46" customHeight="1">
      <x:c r="A11" s="62" t="str">
        <x:v>RUL-004</x:v>
      </x:c>
      <x:c r="B11" s="62" t="str">
        <x:v>Rule</x:v>
      </x:c>
      <x:c r="C11" s="71" t="str">
        <x:v>计提确认差异</x:v>
      </x:c>
      <x:c r="D11" s="71" t="str">
        <x:v>|确认-计提|&gt;阈值</x:v>
      </x:c>
      <x:c r="E11" s="71" t="str">
        <x:v>项目+计提/确认关系</x:v>
      </x:c>
      <x:c r="F11" s="71" t="str">
        <x:v>历史候选0.5万元</x:v>
      </x:c>
      <x:c r="G11" s="71" t="str">
        <x:v>ACT-003</x:v>
      </x:c>
      <x:c r="H11" s="71" t="str">
        <x:v>M04</x:v>
      </x:c>
      <x:c r="I11" s="71" t="str">
        <x:v>适配C011-C013</x:v>
      </x:c>
      <x:c r="J11" s="71" t="str">
        <x:v>M01</x:v>
      </x:c>
      <x:c r="K11" s="71" t="str">
        <x:v>候选</x:v>
      </x:c>
      <x:c r="L11" s="71" t="str">
        <x:v>需显式结算关系</x:v>
      </x:c>
    </x:row>
    <x:row r="12" ht="46" customHeight="1">
      <x:c r="A12" s="62" t="str">
        <x:v>RUL-005</x:v>
      </x:c>
      <x:c r="B12" s="62" t="str">
        <x:v>Rule</x:v>
      </x:c>
      <x:c r="C12" s="71" t="str">
        <x:v>年末采购/预算占用集中</x:v>
      </x:c>
      <x:c r="D12" s="71" t="str">
        <x:v>12月正向采购发起占比达阈值</x:v>
      </x:c>
      <x:c r="E12" s="71" t="str">
        <x:v>部门/项目+年度</x:v>
      </x:c>
      <x:c r="F12" s="71" t="str">
        <x:v>黄&gt;=10%；红&gt;=15%</x:v>
      </x:c>
      <x:c r="G12" s="71" t="str">
        <x:v>ACT-004</x:v>
      </x:c>
      <x:c r="H12" s="71" t="str">
        <x:v>M04</x:v>
      </x:c>
      <x:c r="I12" s="71" t="str">
        <x:v>适配C011-C013</x:v>
      </x:c>
      <x:c r="J12" s="71" t="str">
        <x:v>M01</x:v>
      </x:c>
      <x:c r="K12" s="71" t="str">
        <x:v>候选</x:v>
      </x:c>
      <x:c r="L12" s="71" t="str">
        <x:v>政策阈值待Owner批准</x:v>
      </x:c>
    </x:row>
    <x:row r="13" ht="46" customHeight="1">
      <x:c r="A13" s="62" t="str">
        <x:v>RUL-006</x:v>
      </x:c>
      <x:c r="B13" s="62" t="str">
        <x:v>Rule</x:v>
      </x:c>
      <x:c r="C13" s="71" t="str">
        <x:v>供应商同级价格差异</x:v>
      </x:c>
      <x:c r="D13" s="71" t="str">
        <x:v>同供应商同级别跨部门单人月倍率&gt;阈值</x:v>
      </x:c>
      <x:c r="E13" s="71" t="str">
        <x:v>供应商+级别+年度</x:v>
      </x:c>
      <x:c r="F13" s="71" t="str">
        <x:v>历史候选1.2倍</x:v>
      </x:c>
      <x:c r="G13" s="71" t="str">
        <x:v>ACT-007</x:v>
      </x:c>
      <x:c r="H13" s="71" t="str">
        <x:v>M04</x:v>
      </x:c>
      <x:c r="I13" s="71" t="str">
        <x:v>适配C011-C013</x:v>
      </x:c>
      <x:c r="J13" s="71" t="str">
        <x:v>M01</x:v>
      </x:c>
      <x:c r="K13" s="71" t="str">
        <x:v>候选</x:v>
      </x:c>
      <x:c r="L13" s="71" t="str">
        <x:v>源供应商无正式主数据ID</x:v>
      </x:c>
    </x:row>
    <x:row r="14" ht="46" customHeight="1">
      <x:c r="A14" s="62" t="str">
        <x:v>ACT-001</x:v>
      </x:c>
      <x:c r="B14" s="62" t="str">
        <x:v>Action</x:v>
      </x:c>
      <x:c r="C14" s="71" t="str">
        <x:v>请求低执行率说明</x:v>
      </x:c>
      <x:c r="D14" s="71" t="str">
        <x:v>Rule/驾驶舱/问数发起标准Action Request</x:v>
      </x:c>
      <x:c r="E14" s="71" t="str">
        <x:v>单一部门+Metric快照+双版本</x:v>
      </x:c>
      <x:c r="F14" s="71" t="str">
        <x:v>人工确认</x:v>
      </x:c>
      <x:c r="G14" s="71" t="str">
        <x:v>负责人待办</x:v>
      </x:c>
      <x:c r="H14" s="71" t="str">
        <x:v>平台内</x:v>
      </x:c>
      <x:c r="I14" s="71" t="str">
        <x:v>已覆盖C011-C013</x:v>
      </x:c>
      <x:c r="J14" s="71" t="str">
        <x:v>M04</x:v>
      </x:c>
      <x:c r="K14" s="71" t="str">
        <x:v>可进入一期</x:v>
      </x:c>
      <x:c r="L14" s="71" t="str">
        <x:v>不自动核减预算</x:v>
      </x:c>
    </x:row>
    <x:row r="15" ht="46" customHeight="1">
      <x:c r="A15" s="62" t="str">
        <x:v>ACT-002</x:v>
      </x:c>
      <x:c r="B15" s="62" t="str">
        <x:v>Action</x:v>
      </x:c>
      <x:c r="C15" s="71" t="str">
        <x:v>确认差旅计划</x:v>
      </x:c>
      <x:c r="D15" s="71" t="str">
        <x:v>异常明细下钻后请求部门确认</x:v>
      </x:c>
      <x:c r="E15" s="71" t="str">
        <x:v>单一部门/项目+证据</x:v>
      </x:c>
      <x:c r="F15" s="71" t="str">
        <x:v>人工确认</x:v>
      </x:c>
      <x:c r="G15" s="71" t="str">
        <x:v>负责人待办</x:v>
      </x:c>
      <x:c r="H15" s="71" t="str">
        <x:v>平台内</x:v>
      </x:c>
      <x:c r="I15" s="71" t="str">
        <x:v>已覆盖C011-C013</x:v>
      </x:c>
      <x:c r="J15" s="71" t="str">
        <x:v>M04</x:v>
      </x:c>
      <x:c r="K15" s="71" t="str">
        <x:v>可进入一期</x:v>
      </x:c>
      <x:c r="L15" s="71" t="str">
        <x:v>Agent不得自行提交</x:v>
      </x:c>
    </x:row>
    <x:row r="16" ht="46" customHeight="1">
      <x:c r="A16" s="62" t="str">
        <x:v>ACT-003</x:v>
      </x:c>
      <x:c r="B16" s="62" t="str">
        <x:v>Action</x:v>
      </x:c>
      <x:c r="C16" s="71" t="str">
        <x:v>发起计提核对</x:v>
      </x:c>
      <x:c r="D16" s="71" t="str">
        <x:v>计提与确认差异命中</x:v>
      </x:c>
      <x:c r="E16" s="71" t="str">
        <x:v>单一项目+结算关系</x:v>
      </x:c>
      <x:c r="F16" s="71" t="str">
        <x:v>人工确认</x:v>
      </x:c>
      <x:c r="G16" s="71" t="str">
        <x:v>财务核对待办</x:v>
      </x:c>
      <x:c r="H16" s="71" t="str">
        <x:v>平台内</x:v>
      </x:c>
      <x:c r="I16" s="71" t="str">
        <x:v>已覆盖C011-C013</x:v>
      </x:c>
      <x:c r="J16" s="71" t="str">
        <x:v>M04</x:v>
      </x:c>
      <x:c r="K16" s="71" t="str">
        <x:v>可进入一期</x:v>
      </x:c>
      <x:c r="L16" s="71" t="str">
        <x:v>计提重复计入由数据检查拦截</x:v>
      </x:c>
    </x:row>
    <x:row r="17" ht="46" customHeight="1">
      <x:c r="A17" s="62" t="str">
        <x:v>ACT-004</x:v>
      </x:c>
      <x:c r="B17" s="62" t="str">
        <x:v>Action</x:v>
      </x:c>
      <x:c r="C17" s="71" t="str">
        <x:v>说明年末采购必要性</x:v>
      </x:c>
      <x:c r="D17" s="71" t="str">
        <x:v>年末集中度命中</x:v>
      </x:c>
      <x:c r="E17" s="71" t="str">
        <x:v>单一项目/部门+PR明细</x:v>
      </x:c>
      <x:c r="F17" s="71" t="str">
        <x:v>人工确认</x:v>
      </x:c>
      <x:c r="G17" s="71" t="str">
        <x:v>采购说明待办</x:v>
      </x:c>
      <x:c r="H17" s="71" t="str">
        <x:v>平台内</x:v>
      </x:c>
      <x:c r="I17" s="71" t="str">
        <x:v>已覆盖C011-C013</x:v>
      </x:c>
      <x:c r="J17" s="71" t="str">
        <x:v>M04</x:v>
      </x:c>
      <x:c r="K17" s="71" t="str">
        <x:v>可进入一期</x:v>
      </x:c>
      <x:c r="L17" s="71" t="str">
        <x:v>不得在M06直接确认</x:v>
      </x:c>
    </x:row>
    <x:row r="18" ht="46" customHeight="1">
      <x:c r="A18" s="62" t="str">
        <x:v>ACT-005</x:v>
      </x:c>
      <x:c r="B18" s="62" t="str">
        <x:v>Action</x:v>
      </x:c>
      <x:c r="C18" s="71" t="str">
        <x:v>创建追加立项/调增草稿</x:v>
      </x:c>
      <x:c r="D18" s="71" t="str">
        <x:v>项目余额不足且人工确认</x:v>
      </x:c>
      <x:c r="E18" s="71" t="str">
        <x:v>项目+金额建议+预算行稳定ID</x:v>
      </x:c>
      <x:c r="F18" s="71" t="str">
        <x:v>外部审批</x:v>
      </x:c>
      <x:c r="G18" s="71" t="str">
        <x:v>预算调整草稿/申请</x:v>
      </x:c>
      <x:c r="H18" s="71" t="str">
        <x:v>预算系统</x:v>
      </x:c>
      <x:c r="I18" s="71" t="str">
        <x:v>缺外部适配合同</x:v>
      </x:c>
      <x:c r="J18" s="71" t="str">
        <x:v>待总控裁决</x:v>
      </x:c>
      <x:c r="K18" s="71" t="str">
        <x:v>条件增强</x:v>
      </x:c>
      <x:c r="L18" s="71" t="str">
        <x:v>一期仅建草稿，不直接修改正式预算</x:v>
      </x:c>
    </x:row>
    <x:row r="19" ht="46" customHeight="1">
      <x:c r="A19" s="62" t="str">
        <x:v>ACT-006</x:v>
      </x:c>
      <x:c r="B19" s="62" t="str">
        <x:v>Action</x:v>
      </x:c>
      <x:c r="C19" s="71" t="str">
        <x:v>创建预算调减草稿</x:v>
      </x:c>
      <x:c r="D19" s="71" t="str">
        <x:v>低执行率经人工认定可调减</x:v>
      </x:c>
      <x:c r="E19" s="71" t="str">
        <x:v>转出预算行+金额+原因</x:v>
      </x:c>
      <x:c r="F19" s="71" t="str">
        <x:v>外部审批</x:v>
      </x:c>
      <x:c r="G19" s="71" t="str">
        <x:v>调减申请</x:v>
      </x:c>
      <x:c r="H19" s="71" t="str">
        <x:v>预算系统</x:v>
      </x:c>
      <x:c r="I19" s="71" t="str">
        <x:v>缺外部适配合同</x:v>
      </x:c>
      <x:c r="J19" s="71" t="str">
        <x:v>待总控裁决</x:v>
      </x:c>
      <x:c r="K19" s="71" t="str">
        <x:v>条件增强</x:v>
      </x:c>
      <x:c r="L19" s="71" t="str">
        <x:v>不得由Rule直接确定最终金额</x:v>
      </x:c>
    </x:row>
    <x:row r="20" ht="46" customHeight="1">
      <x:c r="A20" s="62" t="str">
        <x:v>ACT-007</x:v>
      </x:c>
      <x:c r="B20" s="62" t="str">
        <x:v>Action</x:v>
      </x:c>
      <x:c r="C20" s="71" t="str">
        <x:v>创建供应商价格复核</x:v>
      </x:c>
      <x:c r="D20" s="71" t="str">
        <x:v>同级价格差异经人工确认</x:v>
      </x:c>
      <x:c r="E20" s="71" t="str">
        <x:v>供应商/级别/项目+证据</x:v>
      </x:c>
      <x:c r="F20" s="71" t="str">
        <x:v>人工确认</x:v>
      </x:c>
      <x:c r="G20" s="71" t="str">
        <x:v>价格复核流程</x:v>
      </x:c>
      <x:c r="H20" s="71" t="str">
        <x:v>采购系统</x:v>
      </x:c>
      <x:c r="I20" s="71" t="str">
        <x:v>外部流程可先转平台待办</x:v>
      </x:c>
      <x:c r="J20" s="71" t="str">
        <x:v>M04</x:v>
      </x:c>
      <x:c r="K20" s="71" t="str">
        <x:v>候选</x:v>
      </x:c>
      <x:c r="L20" s="71" t="str">
        <x:v>直接外派同样需要适配合同</x:v>
      </x:c>
    </x:row>
    <x:row r="21" ht="46" customHeight="1">
      <x:c r="A21" s="62" t="str">
        <x:v>ACT-008</x:v>
      </x:c>
      <x:c r="B21" s="62" t="str">
        <x:v>Action</x:v>
      </x:c>
      <x:c r="C21" s="71" t="str">
        <x:v>创建科目间调剂草稿</x:v>
      </x:c>
      <x:c r="D21" s="71" t="str">
        <x:v>预算结构需调整且人工确认</x:v>
      </x:c>
      <x:c r="E21" s="71" t="str">
        <x:v>转出行+转入行+金额+修订号</x:v>
      </x:c>
      <x:c r="F21" s="71" t="str">
        <x:v>外部审批</x:v>
      </x:c>
      <x:c r="G21" s="71" t="str">
        <x:v>调剂申请</x:v>
      </x:c>
      <x:c r="H21" s="71" t="str">
        <x:v>预算系统</x:v>
      </x:c>
      <x:c r="I21" s="71" t="str">
        <x:v>缺原子一致性/并发合同</x:v>
      </x:c>
      <x:c r="J21" s="71" t="str">
        <x:v>待总控裁决</x:v>
      </x:c>
      <x:c r="K21" s="71" t="str">
        <x:v>条件增强</x:v>
      </x:c>
      <x:c r="L21" s="71" t="str">
        <x:v>转出转入必须原子一致</x:v>
      </x:c>
    </x:row>
    <x:row r="22" ht="46" customHeight="1">
      <x:c r="A22" s="62" t="str">
        <x:v>ACT-009</x:v>
      </x:c>
      <x:c r="B22" s="62" t="str">
        <x:v>Action</x:v>
      </x:c>
      <x:c r="C22" s="71" t="str">
        <x:v>退回初始申报修订</x:v>
      </x:c>
      <x:c r="D22" s="71" t="str">
        <x:v>审核意见经人工确认</x:v>
      </x:c>
      <x:c r="E22" s="71" t="str">
        <x:v>部门+申报版本+原因</x:v>
      </x:c>
      <x:c r="F22" s="71" t="str">
        <x:v>外部流程</x:v>
      </x:c>
      <x:c r="G22" s="71" t="str">
        <x:v>申报修订任务</x:v>
      </x:c>
      <x:c r="H22" s="71" t="str">
        <x:v>预算系统</x:v>
      </x:c>
      <x:c r="I22" s="71" t="str">
        <x:v>缺外部状态/回执合同</x:v>
      </x:c>
      <x:c r="J22" s="71" t="str">
        <x:v>待总控裁决</x:v>
      </x:c>
      <x:c r="K22" s="71" t="str">
        <x:v>条件增强</x:v>
      </x:c>
      <x:c r="L22" s="71" t="str">
        <x:v>不得覆盖原申报版本</x:v>
      </x:c>
    </x:row>
    <x:row r="23" ht="46" customHeight="1">
      <x:c r="A23" s="62" t="str">
        <x:v>AGT-001</x:v>
      </x:c>
      <x:c r="B23" s="62" t="str">
        <x:v>Agent</x:v>
      </x:c>
      <x:c r="C23" s="71" t="str">
        <x:v>预算异常分析Agent</x:v>
      </x:c>
      <x:c r="D23" s="71" t="str">
        <x:v>消费固定证据包，输出分主题结构化洞察</x:v>
      </x:c>
      <x:c r="E23" s="71" t="str">
        <x:v>C022/C017/C008/T019</x:v>
      </x:c>
      <x:c r="F23" s="71" t="str">
        <x:v>无</x:v>
      </x:c>
      <x:c r="G23" s="71" t="str">
        <x:v>结构化洞察</x:v>
      </x:c>
      <x:c r="H23" s="71" t="str">
        <x:v>M05</x:v>
      </x:c>
      <x:c r="I23" s="71" t="str">
        <x:v>业务用途成立；C014增量待登记</x:v>
      </x:c>
      <x:c r="J23" s="71" t="str">
        <x:v>M05</x:v>
      </x:c>
      <x:c r="K23" s="71" t="str">
        <x:v>有条件纳入</x:v>
      </x:c>
      <x:c r="L23" s="71" t="str">
        <x:v>Metric与Rule计算不是Agent步骤</x:v>
      </x:c>
    </x:row>
    <x:row r="24" ht="46" customHeight="1">
      <x:c r="A24" s="62" t="str">
        <x:v>AGT-002</x:v>
      </x:c>
      <x:c r="B24" s="62" t="str">
        <x:v>Agent</x:v>
      </x:c>
      <x:c r="C24" s="71" t="str">
        <x:v>预算报告草稿Agent</x:v>
      </x:c>
      <x:c r="D24" s="71" t="str">
        <x:v>消费结构化洞察，映射M06报告模板槽位</x:v>
      </x:c>
      <x:c r="E24" s="71" t="str">
        <x:v>固定Orchestration Release+C023</x:v>
      </x:c>
      <x:c r="F24" s="71" t="str">
        <x:v>无</x:v>
      </x:c>
      <x:c r="G24" s="71" t="str">
        <x:v>不可变报告源草稿</x:v>
      </x:c>
      <x:c r="H24" s="71" t="str">
        <x:v>M06复核发布</x:v>
      </x:c>
      <x:c r="I24" s="71" t="str">
        <x:v>单Agent链已有；多Agent CR-AG-011未登记</x:v>
      </x:c>
      <x:c r="J24" s="71" t="str">
        <x:v>M05</x:v>
      </x:c>
      <x:c r="K24" s="71" t="str">
        <x:v>有条件纳入</x:v>
      </x:c>
      <x:c r="L24" s="71" t="str">
        <x:v>M06确定性核验及人工复核后才能发布</x:v>
      </x:c>
    </x:row>
  </x:sheetData>
  <x:conditionalFormatting sqref="K2:K24">
    <x:cfRule type="containsText" dxfId="53" priority="1" operator="containsText" text="OK"/>
    <x:cfRule type="containsText" dxfId="54" priority="2" operator="containsText" text="PASS"/>
    <x:cfRule type="containsText" dxfId="55" priority="3" operator="containsText" text="FAIL"/>
    <x:cfRule type="containsText" dxfId="56" priority="4" operator="containsText" text="阻塞"/>
    <x:cfRule type="containsText" dxfId="57" priority="5" operator="containsText" text="待复核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18" hidden="0" customWidth="1"/>
    <x:col min="5" max="5" width="30" hidden="0" customWidth="1"/>
    <x:col min="6" max="6" width="52" hidden="0" customWidth="1"/>
    <x:col min="7" max="7" width="58" hidden="0" customWidth="1"/>
    <x:col min="8" max="8" width="42" hidden="0" customWidth="1"/>
    <x:col min="9" max="9" width="34" hidden="0" customWidth="1"/>
    <x:col min="10" max="10" width="18" hidden="0" customWidth="1"/>
  </x:cols>
  <x:sheetData>
    <x:row r="1" ht="34" customHeight="1">
      <x:c r="A1" s="68" t="str">
        <x:v>检查ID</x:v>
      </x:c>
      <x:c r="B1" s="69" t="str">
        <x:v>主题</x:v>
      </x:c>
      <x:c r="C1" s="69" t="str">
        <x:v>当前判断</x:v>
      </x:c>
      <x:c r="D1" s="69" t="str">
        <x:v>初步Owner</x:v>
      </x:c>
      <x:c r="E1" s="69" t="str">
        <x:v>合同/基线</x:v>
      </x:c>
      <x:c r="F1" s="69" t="str">
        <x:v>未确认或不适配点</x:v>
      </x:c>
      <x:c r="G1" s="69" t="str">
        <x:v>推荐方案</x:v>
      </x:c>
      <x:c r="H1" s="69" t="str">
        <x:v>影响</x:v>
      </x:c>
      <x:c r="I1" s="69" t="str">
        <x:v>S001评审后复核</x:v>
      </x:c>
      <x:c r="J1" s="70" t="str">
        <x:v>是否阻塞完整设计</x:v>
      </x:c>
    </x:row>
    <x:row r="2" ht="54" customHeight="1">
      <x:c r="A2" s="62" t="str">
        <x:v>FIT-001</x:v>
      </x:c>
      <x:c r="B2" s="71" t="str">
        <x:v>M02数据准备</x:v>
      </x:c>
      <x:c r="C2" s="71" t="str">
        <x:v>8份原件保持不变；本包为派生SIMULATED_CURATED</x:v>
      </x:c>
      <x:c r="D2" s="71" t="str">
        <x:v>M02</x:v>
      </x:c>
      <x:c r="E2" s="71" t="str">
        <x:v>C002/C003/T007/D029</x:v>
      </x:c>
      <x:c r="F2" s="71" t="str">
        <x:v>正式资产版本、运行回执尚未创建</x:v>
      </x:c>
      <x:c r="G2" s="71" t="str">
        <x:v>进入设计后按独立快照和行级来源摄取</x:v>
      </x:c>
      <x:c r="H2" s="71" t="str">
        <x:v>不影响本轮准备</x:v>
      </x:c>
      <x:c r="I2" s="71" t="str">
        <x:v>是：C003/CR031、C032→C028、C017</x:v>
      </x:c>
      <x:c r="J2" s="71" t="str">
        <x:v>否</x:v>
      </x:c>
    </x:row>
    <x:row r="3" ht="54" customHeight="1">
      <x:c r="A3" s="62" t="str">
        <x:v>FIT-002</x:v>
      </x:c>
      <x:c r="B3" s="71" t="str">
        <x:v>M01语义</x:v>
      </x:c>
      <x:c r="C3" s="71" t="str">
        <x:v>对象、关系、Metric、Rule、Action Type仅为候选</x:v>
      </x:c>
      <x:c r="D3" s="71" t="str">
        <x:v>M01</x:v>
      </x:c>
      <x:c r="E3" s="71" t="str">
        <x:v>C004-C008/C026/T019</x:v>
      </x:c>
      <x:c r="F3" s="71" t="str">
        <x:v>收入批准预算含税性无明确政策来源；阈值Owner未定</x:v>
      </x:c>
      <x:c r="G3" s="71" t="str">
        <x:v>演示按收入净额；正式前由政策Owner批准口径和阈值</x:v>
      </x:c>
      <x:c r="H3" s="71" t="str">
        <x:v>阻塞正式Metric/Rule发布</x:v>
      </x:c>
      <x:c r="I3" s="71" t="str">
        <x:v>是：C008、T019、C033</x:v>
      </x:c>
      <x:c r="J3" s="71" t="str">
        <x:v>是</x:v>
      </x:c>
    </x:row>
    <x:row r="4" ht="54" customHeight="1">
      <x:c r="A4" s="62" t="str">
        <x:v>FIT-003</x:v>
      </x:c>
      <x:c r="B4" s="71" t="str">
        <x:v>M03预算问数</x:v>
      </x:c>
      <x:c r="C4" s="71" t="str">
        <x:v>可支持收入/费用执行、项目余额、占用和异常问数</x:v>
      </x:c>
      <x:c r="D4" s="71" t="str">
        <x:v>M03</x:v>
      </x:c>
      <x:c r="E4" s="71" t="str">
        <x:v>C009/C010/C018</x:v>
      </x:c>
      <x:c r="F4" s="71" t="str">
        <x:v>C018当前固定问数视图范围仍只覆盖S001</x:v>
      </x:c>
      <x:c r="G4" s="71" t="str">
        <x:v>总控扩围后建立S002获准视图；不得直读工作簿/T007</x:v>
      </x:c>
      <x:c r="H4" s="71" t="str">
        <x:v>阻塞真实问数联调</x:v>
      </x:c>
      <x:c r="I4" s="71" t="str">
        <x:v>是：C018与Skill/Tool真实加载</x:v>
      </x:c>
      <x:c r="J4" s="71" t="str">
        <x:v>是</x:v>
      </x:c>
    </x:row>
    <x:row r="5" ht="54" customHeight="1">
      <x:c r="A5" s="62" t="str">
        <x:v>FIT-004</x:v>
      </x:c>
      <x:c r="B5" s="71" t="str">
        <x:v>M04平台内Action</x:v>
      </x:c>
      <x:c r="C5" s="71" t="str">
        <x:v>提醒、人工确认、负责人待办可复用</x:v>
      </x:c>
      <x:c r="D5" s="71" t="str">
        <x:v>M04</x:v>
      </x:c>
      <x:c r="E5" s="71" t="str">
        <x:v>C011-C013/C017/C019</x:v>
      </x:c>
      <x:c r="F5" s="71" t="str">
        <x:v>CR008-010来源证据、聚合、撤回纠正仍待裁决；负责人数据缺失</x:v>
      </x:c>
      <x:c r="G5" s="71" t="str">
        <x:v>先做单一主体、人工确认的平台内Action</x:v>
      </x:c>
      <x:c r="H5" s="71" t="str">
        <x:v>不阻塞只读驾驶舱；阻塞完整决策闭环</x:v>
      </x:c>
      <x:c r="I5" s="71" t="str">
        <x:v>是：C011幂等、C019回链、三道门</x:v>
      </x:c>
      <x:c r="J5" s="71" t="str">
        <x:v>是</x:v>
      </x:c>
    </x:row>
    <x:row r="6" ht="54" customHeight="1">
      <x:c r="A6" s="62" t="str">
        <x:v>FIT-005</x:v>
      </x:c>
      <x:c r="B6" s="71" t="str">
        <x:v>外部预算系统Action</x:v>
      </x:c>
      <x:c r="C6" s="71" t="str">
        <x:v>现合同不适配真实反写</x:v>
      </x:c>
      <x:c r="D6" s="71" t="str">
        <x:v>待总控裁决</x:v>
      </x:c>
      <x:c r="E6" s="71" t="str">
        <x:v>现C006/C011-C013/C019不覆盖</x:v>
      </x:c>
      <x:c r="F6" s="71" t="str">
        <x:v>缺目标系统、稳定预算行ID、修订号、权限、API、状态、回执、对账</x:v>
      </x:c>
      <x:c r="G6" s="71" t="str">
        <x:v>一期仅创建预算调整草稿/申请；新增Adapter Binding、派发、回执、对账合同候选</x:v>
      </x:c>
      <x:c r="H6" s="71" t="str">
        <x:v>直接改正式预算风险不可接受</x:v>
      </x:c>
      <x:c r="I6" s="71" t="str">
        <x:v>是：CR008-010及C017</x:v>
      </x:c>
      <x:c r="J6" s="71" t="str">
        <x:v>是</x:v>
      </x:c>
    </x:row>
    <x:row r="7" ht="54" customHeight="1">
      <x:c r="A7" s="62" t="str">
        <x:v>FIT-006</x:v>
      </x:c>
      <x:c r="B7" s="71" t="str">
        <x:v>M05多Agent报告</x:v>
      </x:c>
      <x:c r="C7" s="71" t="str">
        <x:v>业务用途成立：异常分析Agent+报告草稿Agent</x:v>
      </x:c>
      <x:c r="D7" s="71" t="str">
        <x:v>M05</x:v>
      </x:c>
      <x:c r="E7" s="71" t="str">
        <x:v>C022/C023；C014增量</x:v>
      </x:c>
      <x:c r="F7" s="71" t="str">
        <x:v>AG-Q010已在M05裁决，但CR-AG-011未进总控</x:v>
      </x:c>
      <x:c r="G7" s="71" t="str">
        <x:v>总控登记编排增量后再进入详细设计；先固定两Agent而非按Skill机械拆分</x:v>
      </x:c>
      <x:c r="H7" s="71" t="str">
        <x:v>阻塞正式多Agent合同，不阻塞单Agent候选</x:v>
      </x:c>
      <x:c r="I7" s="71" t="str">
        <x:v>是：C014/C020/C024/C025</x:v>
      </x:c>
      <x:c r="J7" s="71" t="str">
        <x:v>是</x:v>
      </x:c>
    </x:row>
    <x:row r="8" ht="54" customHeight="1">
      <x:c r="A8" s="62" t="str">
        <x:v>FIT-007</x:v>
      </x:c>
      <x:c r="B8" s="71" t="str">
        <x:v>M06主题驾驶舱</x:v>
      </x:c>
      <x:c r="C8" s="71" t="str">
        <x:v>五主题、趋势、单位对比、专题和下钻均在边界内</x:v>
      </x:c>
      <x:c r="D8" s="71" t="str">
        <x:v>M06</x:v>
      </x:c>
      <x:c r="E8" s="71" t="str">
        <x:v>T029/C016/D035/D041</x:v>
      </x:c>
      <x:c r="F8" s="71" t="str">
        <x:v>明细必须经Published Object/Link、C008或获准C018</x:v>
      </x:c>
      <x:c r="G8" s="71" t="str">
        <x:v>历史图只取交互意图；集团→部门→科目→项目→期间→Published证据</x:v>
      </x:c>
      <x:c r="H8" s="71" t="str">
        <x:v>不允许M06直读工作簿或T007</x:v>
      </x:c>
      <x:c r="I8" s="71" t="str">
        <x:v>是：C016/C018/C019/C033</x:v>
      </x:c>
      <x:c r="J8" s="71" t="str">
        <x:v>是</x:v>
      </x:c>
    </x:row>
    <x:row r="9" ht="54" customHeight="1">
      <x:c r="A9" s="62" t="str">
        <x:v>FIT-008</x:v>
      </x:c>
      <x:c r="B9" s="71" t="str">
        <x:v>版本基线</x:v>
      </x:c>
      <x:c r="C9" s="71" t="str">
        <x:v>当前冻结v1.0.2；v1.0.3为目标基线待冻结</x:v>
      </x:c>
      <x:c r="D9" s="71" t="str">
        <x:v>平台总控</x:v>
      </x:c>
      <x:c r="E9" s="71" t="str">
        <x:v>D074-D079/C034/prototype-versions.json</x:v>
      </x:c>
      <x:c r="F9" s="71" t="str">
        <x:v>v1.1.0父版本仍为v1.0.1；v1.0.3尚无最终baselineSnapshotId；C034接口尚未回写六模块</x:v>
      </x:c>
      <x:c r="G9" s="71" t="str">
        <x:v>待v1.0.3冻结后按C034保存迁移对照，再把v1.1.0受控迁移到v1.0.3</x:v>
      </x:c>
      <x:c r="H9" s="71" t="str">
        <x:v>当前v1.1.0不能直接总装S002</x:v>
      </x:c>
      <x:c r="I9" s="71" t="str">
        <x:v>是：acceptanceReady=false；C034真实导出/恢复待验证</x:v>
      </x:c>
      <x:c r="J9" s="71" t="str">
        <x:v>是</x:v>
      </x:c>
    </x:row>
    <x:row r="10" ht="54" customHeight="1">
      <x:c r="A10" s="62" t="str">
        <x:v>FIT-009</x:v>
      </x:c>
      <x:c r="B10" s="71" t="str">
        <x:v>占用覆盖</x:v>
      </x:c>
      <x:c r="C10" s="71" t="str">
        <x:v>演示将3项目源占用视为全量抽取，其余18项目为0</x:v>
      </x:c>
      <x:c r="D10" s="71" t="str">
        <x:v>M02/M01</x:v>
      </x:c>
      <x:c r="E10" s="71" t="str">
        <x:v>源资料局限</x:v>
      </x:c>
      <x:c r="F10" s="71" t="str">
        <x:v>原资料本身不能证明其余18项目确无占用</x:v>
      </x:c>
      <x:c r="G10" s="71" t="str">
        <x:v>保留模拟假设；正式接入要求全量抽取或覆盖证明</x:v>
      </x:c>
      <x:c r="H10" s="71" t="str">
        <x:v>不阻塞演示，阻塞正式余额判定</x:v>
      </x:c>
      <x:c r="I10" s="71" t="str">
        <x:v>否</x:v>
      </x:c>
      <x:c r="J10" s="71" t="str">
        <x:v>是</x:v>
      </x:c>
    </x:row>
    <x:row r="11" ht="54" customHeight="1">
      <x:c r="A11" s="62" t="str">
        <x:v>FIT-010</x:v>
      </x:c>
      <x:c r="B11" s="71" t="str">
        <x:v>项目累计范围</x:v>
      </x:c>
      <x:c r="C11" s="71" t="str">
        <x:v>已使用只覆盖2024-01-01至2025-12-31演示范围</x:v>
      </x:c>
      <x:c r="D11" s="71" t="str">
        <x:v>M01/M02</x:v>
      </x:c>
      <x:c r="E11" s="71" t="str">
        <x:v>用户裁决7</x:v>
      </x:c>
      <x:c r="F11" s="71" t="str">
        <x:v>立项金额是否含2024年前累计使用无法证明</x:v>
      </x:c>
      <x:c r="G11" s="71" t="str">
        <x:v>正式接入增加项目生命周期起点和历史累计使用</x:v>
      </x:c>
      <x:c r="H11" s="71" t="str">
        <x:v>不阻塞演示，阻塞生产余额</x:v>
      </x:c>
      <x:c r="I11" s="71" t="str">
        <x:v>否</x:v>
      </x:c>
      <x:c r="J11" s="71" t="str">
        <x:v>是</x:v>
      </x:c>
    </x:row>
    <x:row r="12" ht="54" customHeight="1">
      <x:c r="A12" s="62" t="str">
        <x:v>FIT-011</x:v>
      </x:c>
      <x:c r="B12" s="71" t="str">
        <x:v>组织与审批</x:v>
      </x:c>
      <x:c r="C12" s="71" t="str">
        <x:v>暂无真实负责人、审批链、待办期限</x:v>
      </x:c>
      <x:c r="D12" s="71" t="str">
        <x:v>平台总控/M04</x:v>
      </x:c>
      <x:c r="E12" s="71" t="str">
        <x:v>C013/Q003</x:v>
      </x:c>
      <x:c r="F12" s="71" t="str">
        <x:v>不能把脱敏演示角色冒充正式组织配置</x:v>
      </x:c>
      <x:c r="G12" s="71" t="str">
        <x:v>详细设计前补负责人主数据、审批链、默认期限</x:v>
      </x:c>
      <x:c r="H12" s="71" t="str">
        <x:v>阻塞真实Action闭环</x:v>
      </x:c>
      <x:c r="I12" s="71" t="str">
        <x:v>是：Q003/C013</x:v>
      </x:c>
      <x:c r="J12" s="71" t="str">
        <x:v>是</x:v>
      </x:c>
    </x:row>
    <x:row r="13" ht="54" customHeight="1">
      <x:c r="A13" s="62" t="str">
        <x:v>FIT-012</x:v>
      </x:c>
      <x:c r="B13" s="71" t="str">
        <x:v>进入条件</x:v>
      </x:c>
      <x:c r="C13" s="71" t="str">
        <x:v>数据一致性可通过；完整建设关闭门尚未满足</x:v>
      </x:c>
      <x:c r="D13" s="71" t="str">
        <x:v>平台总控</x:v>
      </x:c>
      <x:c r="E13" s="71" t="str">
        <x:v>D073/D075/D079/C034</x:v>
      </x:c>
      <x:c r="F13" s="71" t="str">
        <x:v>当前只授权准备；v1.0.3未冻结、无baselineSnapshotId，外部Action与多Agent增量合同未登记</x:v>
      </x:c>
      <x:c r="G13" s="71" t="str">
        <x:v>先完成基线冻结/迁移门和必要CR，再由总控单独授权并分别派发M01-M06</x:v>
      </x:c>
      <x:c r="H13" s="71" t="str">
        <x:v>本轮停止于准备阶段</x:v>
      </x:c>
      <x:c r="I13" s="71" t="str">
        <x:v>是</x:v>
      </x:c>
      <x:c r="J13" s="71" t="str">
        <x:v>是</x:v>
      </x:c>
    </x:row>
  </x:sheetData>
  <x:conditionalFormatting sqref="J2:J13">
    <x:cfRule type="containsText" dxfId="58" priority="1" operator="containsText" text="OK"/>
    <x:cfRule type="containsText" dxfId="59" priority="2" operator="containsText" text="PASS"/>
    <x:cfRule type="containsText" dxfId="60" priority="3" operator="containsText" text="FAIL"/>
    <x:cfRule type="containsText" dxfId="61" priority="4" operator="containsText" text="阻塞"/>
    <x:cfRule type="containsText" dxfId="62" priority="5" operator="containsText" text="待复核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  <x:col min="8" max="8" width="36" hidden="0" customWidth="1"/>
    <x:col min="9" max="9" width="48" hidden="0" customWidth="1"/>
  </x:cols>
  <x:sheetData>
    <x:row r="1" ht="34" customHeight="1">
      <x:c r="A1" s="102" t="str">
        <x:v>MODEL STATUS</x:v>
      </x:c>
      <x:c r="B1" s="103"/>
      <x:c r="C1" s="103"/>
      <x:c r="D1" s="103"/>
      <x:c r="E1" s="103"/>
      <x:c r="F1" s="103"/>
      <x:c r="G1" s="103"/>
      <x:c r="H1" s="103"/>
      <x:c r="I1" s="104"/>
    </x:row>
    <x:row r="2">
      <x:c r="A2" s="106" t="str">
        <x:v>总体状态</x:v>
      </x:c>
      <x:c r="B2" s="62" t="str">
        <x:f>IF(COUNTIF($G$5:$G$24,"FAIL")=0,"PASS","FAIL")</x:f>
        <x:v>PASS</x:v>
      </x:c>
      <x:c r="C2" s="62"/>
      <x:c r="D2" s="62"/>
      <x:c r="E2" s="62"/>
      <x:c r="F2" s="62"/>
      <x:c r="G2" s="62"/>
      <x:c r="H2" s="62"/>
      <x:c r="I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</x:row>
    <x:row r="4">
      <x:c r="A4" s="62" t="str">
        <x:v>Check ID</x:v>
      </x:c>
      <x:c r="B4" s="62" t="str">
        <x:v>检查</x:v>
      </x:c>
      <x:c r="C4" s="62" t="str">
        <x:v>Actual</x:v>
      </x:c>
      <x:c r="D4" s="62" t="str">
        <x:v>Expected</x:v>
      </x:c>
      <x:c r="E4" s="62" t="str">
        <x:v>Difference</x:v>
      </x:c>
      <x:c r="F4" s="62" t="str">
        <x:v>Tolerance</x:v>
      </x:c>
      <x:c r="G4" s="62" t="str">
        <x:v>Status</x:v>
      </x:c>
      <x:c r="H4" s="62" t="str">
        <x:v>Where to fix</x:v>
      </x:c>
      <x:c r="I4" s="62" t="str">
        <x:v>Notes</x:v>
      </x:c>
    </x:row>
    <x:row r="5">
      <x:c r="A5" s="62" t="str">
        <x:v>CHK-001</x:v>
      </x:c>
      <x:c r="B5" s="62" t="str">
        <x:v>权威来源文件数</x:v>
      </x:c>
      <x:c r="C5" s="62" t="n">
        <x:v>8</x:v>
      </x:c>
      <x:c r="D5" s="62" t="n">
        <x:v>8</x:v>
      </x:c>
      <x:c r="E5" s="62" t="n">
        <x:f>C5-D5</x:f>
        <x:v>0</x:v>
      </x:c>
      <x:c r="F5" s="62" t="n">
        <x:v>0</x:v>
      </x:c>
      <x:c r="G5" s="62" t="str">
        <x:f>IF(ABS(E5)&lt;=F5,"PASS","FAIL")</x:f>
        <x:v>PASS</x:v>
      </x:c>
      <x:c r="H5" s="71" t="str">
        <x:v>02_权威资料索引</x:v>
      </x:c>
      <x:c r="I5" s="71" t="str">
        <x:v>8份原件均完整读取</x:v>
      </x:c>
    </x:row>
    <x:row r="6">
      <x:c r="A6" s="62" t="str">
        <x:v>CHK-002</x:v>
      </x:c>
      <x:c r="B6" s="62" t="str">
        <x:v>逻辑成员总数</x:v>
      </x:c>
      <x:c r="C6" s="62" t="n">
        <x:v>14</x:v>
      </x:c>
      <x:c r="D6" s="62" t="n">
        <x:v>14</x:v>
      </x:c>
      <x:c r="E6" s="62" t="n">
        <x:f>C6-D6</x:f>
        <x:v>0</x:v>
      </x:c>
      <x:c r="F6" s="62" t="n">
        <x:v>0</x:v>
      </x:c>
      <x:c r="G6" s="62" t="str">
        <x:f>IF(ABS(E6)&lt;=F6,"PASS","FAIL")</x:f>
        <x:v>PASS</x:v>
      </x:c>
      <x:c r="H6" s="71" t="str">
        <x:v>02_权威资料索引</x:v>
      </x:c>
      <x:c r="I6" s="71" t="str">
        <x:v>14个工作表完整读取</x:v>
      </x:c>
    </x:row>
    <x:row r="7">
      <x:c r="A7" s="62" t="str">
        <x:v>CHK-003</x:v>
      </x:c>
      <x:c r="B7" s="62" t="str">
        <x:v>2024演示实际行数</x:v>
      </x:c>
      <x:c r="C7" s="62" t="n">
        <x:f>COUNTA('04_2024实际_演示'!$A$2:$A$204)</x:f>
        <x:v>203</x:v>
      </x:c>
      <x:c r="D7" s="62" t="n">
        <x:v>203</x:v>
      </x:c>
      <x:c r="E7" s="62" t="n">
        <x:f>C7-D7</x:f>
        <x:v>0</x:v>
      </x:c>
      <x:c r="F7" s="62" t="n">
        <x:v>0</x:v>
      </x:c>
      <x:c r="G7" s="62" t="str">
        <x:f>IF(ABS(E7)&lt;=F7,"PASS","FAIL")</x:f>
        <x:v>PASS</x:v>
      </x:c>
      <x:c r="H7" s="71" t="str">
        <x:v>04_2024实际_演示</x:v>
      </x:c>
      <x:c r="I7" s="71" t="str">
        <x:v>161源+42补录</x:v>
      </x:c>
    </x:row>
    <x:row r="8">
      <x:c r="A8" s="62" t="str">
        <x:v>CHK-004</x:v>
      </x:c>
      <x:c r="B8" s="62" t="str">
        <x:v>2025源业务记录保留数</x:v>
      </x:c>
      <x:c r="C8" s="62" t="n">
        <x:f>COUNTIF('05_2025实际_演示'!$B$2:$B$218,"SOURCE")+COUNTIF('05_2025实际_演示'!$B$2:$B$218,"CORRECTED")</x:f>
        <x:v>203</x:v>
      </x:c>
      <x:c r="D8" s="62" t="n">
        <x:v>203</x:v>
      </x:c>
      <x:c r="E8" s="62" t="n">
        <x:f>C8-D8</x:f>
        <x:v>0</x:v>
      </x:c>
      <x:c r="F8" s="62" t="n">
        <x:v>0</x:v>
      </x:c>
      <x:c r="G8" s="62" t="str">
        <x:f>IF(ABS(E8)&lt;=F8,"PASS","FAIL")</x:f>
        <x:v>PASS</x:v>
      </x:c>
      <x:c r="H8" s="71" t="str">
        <x:v>05_2025实际_演示</x:v>
      </x:c>
      <x:c r="I8" s="71" t="str">
        <x:v>一条不删</x:v>
      </x:c>
    </x:row>
    <x:row r="9">
      <x:c r="A9" s="62" t="str">
        <x:v>CHK-005</x:v>
      </x:c>
      <x:c r="B9" s="62" t="str">
        <x:v>2025演示实际总行数</x:v>
      </x:c>
      <x:c r="C9" s="62" t="n">
        <x:f>COUNTA('05_2025实际_演示'!$A$2:$A$218)</x:f>
        <x:v>217</x:v>
      </x:c>
      <x:c r="D9" s="62" t="n">
        <x:v>217</x:v>
      </x:c>
      <x:c r="E9" s="62" t="n">
        <x:f>C9-D9</x:f>
        <x:v>0</x:v>
      </x:c>
      <x:c r="F9" s="62" t="n">
        <x:v>0</x:v>
      </x:c>
      <x:c r="G9" s="62" t="str">
        <x:f>IF(ABS(E9)&lt;=F9,"PASS","FAIL")</x:f>
        <x:v>PASS</x:v>
      </x:c>
      <x:c r="H9" s="71" t="str">
        <x:v>05_2025实际_演示</x:v>
      </x:c>
      <x:c r="I9" s="71" t="str">
        <x:v>203源+14冲回</x:v>
      </x:c>
    </x:row>
    <x:row r="10">
      <x:c r="A10" s="62" t="str">
        <x:v>CHK-006</x:v>
      </x:c>
      <x:c r="B10" s="62" t="str">
        <x:v>实际期间QC失败数</x:v>
      </x:c>
      <x:c r="C10" s="62" t="n">
        <x:f>COUNTIF('04_2024实际_演示'!$AI$2:$AI$204,"FAIL")+COUNTIF('05_2025实际_演示'!$AI$2:$AI$218,"FAIL")</x:f>
        <x:v>0</x:v>
      </x:c>
      <x:c r="D10" s="62" t="n">
        <x:v>0</x:v>
      </x:c>
      <x:c r="E10" s="62" t="n">
        <x:f>C10-D10</x:f>
        <x:v>0</x:v>
      </x:c>
      <x:c r="F10" s="62" t="n">
        <x:v>0</x:v>
      </x:c>
      <x:c r="G10" s="62" t="str">
        <x:f>IF(ABS(E10)&lt;=F10,"PASS","FAIL")</x:f>
        <x:v>PASS</x:v>
      </x:c>
      <x:c r="H10" s="71" t="str">
        <x:v>04/05实际</x:v>
      </x:c>
      <x:c r="I10" s="71" t="str">
        <x:v>过账期间=过账月</x:v>
      </x:c>
    </x:row>
    <x:row r="11">
      <x:c r="A11" s="62" t="str">
        <x:v>CHK-007</x:v>
      </x:c>
      <x:c r="B11" s="62" t="str">
        <x:v>实际日期QC失败数</x:v>
      </x:c>
      <x:c r="C11" s="62" t="n">
        <x:f>COUNTIF('04_2024实际_演示'!$AJ$2:$AJ$204,"FAIL")+COUNTIF('05_2025实际_演示'!$AJ$2:$AJ$218,"FAIL")</x:f>
        <x:v>0</x:v>
      </x:c>
      <x:c r="D11" s="62" t="n">
        <x:v>0</x:v>
      </x:c>
      <x:c r="E11" s="62" t="n">
        <x:f>C11-D11</x:f>
        <x:v>0</x:v>
      </x:c>
      <x:c r="F11" s="62" t="n">
        <x:v>0</x:v>
      </x:c>
      <x:c r="G11" s="62" t="str">
        <x:f>IF(ABS(E11)&lt;=F11,"PASS","FAIL")</x:f>
        <x:v>PASS</x:v>
      </x:c>
      <x:c r="H11" s="71" t="str">
        <x:v>04/05实际</x:v>
      </x:c>
      <x:c r="I11" s="71" t="str">
        <x:v>凭证日期&lt;=过账日期</x:v>
      </x:c>
    </x:row>
    <x:row r="12">
      <x:c r="A12" s="62" t="str">
        <x:v>CHK-008</x:v>
      </x:c>
      <x:c r="B12" s="62" t="str">
        <x:v>实际复合键QC失败数</x:v>
      </x:c>
      <x:c r="C12" s="62" t="n">
        <x:f>COUNTIF('04_2024实际_演示'!$AL$2:$AL$204,"FAIL")+COUNTIF('05_2025实际_演示'!$AL$2:$AL$218,"FAIL")</x:f>
        <x:v>0</x:v>
      </x:c>
      <x:c r="D12" s="62" t="n">
        <x:v>0</x:v>
      </x:c>
      <x:c r="E12" s="62" t="n">
        <x:f>C12-D12</x:f>
        <x:v>0</x:v>
      </x:c>
      <x:c r="F12" s="62" t="n">
        <x:v>0</x:v>
      </x:c>
      <x:c r="G12" s="62" t="str">
        <x:f>IF(ABS(E12)&lt;=F12,"PASS","FAIL")</x:f>
        <x:v>PASS</x:v>
      </x:c>
      <x:c r="H12" s="71" t="str">
        <x:v>04/05实际</x:v>
      </x:c>
      <x:c r="I12" s="71" t="str">
        <x:v>复合键唯一</x:v>
      </x:c>
    </x:row>
    <x:row r="13">
      <x:c r="A13" s="62" t="str">
        <x:v>CHK-009</x:v>
      </x:c>
      <x:c r="B13" s="62" t="str">
        <x:v>2025计提冲回合计</x:v>
      </x:c>
      <x:c r="C13" s="75" t="n">
        <x:f>SUMIFS('05_2025实际_演示'!$P$2:$P$218,'05_2025实际_演示'!$B$2:$B$218,"DERIVED_REVERSAL")</x:f>
        <x:v>-119.83300000000001</x:v>
      </x:c>
      <x:c r="D13" s="75" t="n">
        <x:v>-119.833</x:v>
      </x:c>
      <x:c r="E13" s="75" t="n">
        <x:f>C13-D13</x:f>
        <x:v>-1.4210854715202004e-14</x:v>
      </x:c>
      <x:c r="F13" s="75" t="n">
        <x:v>0.0001</x:v>
      </x:c>
      <x:c r="G13" s="62" t="str">
        <x:f>IF(ABS(E13)&lt;=F13,"PASS","FAIL")</x:f>
        <x:v>PASS</x:v>
      </x:c>
      <x:c r="H13" s="71" t="str">
        <x:v>05_2025实际_演示</x:v>
      </x:c>
      <x:c r="I13" s="71" t="str">
        <x:v>14条已结计提冲回</x:v>
      </x:c>
    </x:row>
    <x:row r="14">
      <x:c r="A14" s="62" t="str">
        <x:v>CHK-010</x:v>
      </x:c>
      <x:c r="B14" s="62" t="str">
        <x:v>2026公共费用修订行数</x:v>
      </x:c>
      <x:c r="C14" s="62" t="n">
        <x:f>COUNTIF('08_初始申报_公共费'!$F$2:$F$25,"SYNTHETIC_FOR_DEMO")</x:f>
        <x:v>12</x:v>
      </x:c>
      <x:c r="D14" s="62" t="n">
        <x:v>12</x:v>
      </x:c>
      <x:c r="E14" s="62" t="n">
        <x:f>C14-D14</x:f>
        <x:v>0</x:v>
      </x:c>
      <x:c r="F14" s="62" t="n">
        <x:v>0</x:v>
      </x:c>
      <x:c r="G14" s="62" t="str">
        <x:f>IF(ABS(E14)&lt;=F14,"PASS","FAIL")</x:f>
        <x:v>PASS</x:v>
      </x:c>
      <x:c r="H14" s="71" t="str">
        <x:v>08_初始申报_公共费</x:v>
      </x:c>
      <x:c r="I14" s="71" t="str">
        <x:v>12条全部修订</x:v>
      </x:c>
    </x:row>
    <x:row r="15">
      <x:c r="A15" s="62" t="str">
        <x:v>CHK-011</x:v>
      </x:c>
      <x:c r="B15" s="62" t="str">
        <x:v>2026公共费用跨年逐值QC失败数</x:v>
      </x:c>
      <x:c r="C15" s="62" t="n">
        <x:f>COUNTIF('08_初始申报_公共费'!$Y$14:$Y$25,"FAIL")</x:f>
        <x:v>0</x:v>
      </x:c>
      <x:c r="D15" s="62" t="n">
        <x:v>0</x:v>
      </x:c>
      <x:c r="E15" s="62" t="n">
        <x:f>C15-D15</x:f>
        <x:v>0</x:v>
      </x:c>
      <x:c r="F15" s="62" t="n">
        <x:v>0</x:v>
      </x:c>
      <x:c r="G15" s="62" t="str">
        <x:f>IF(ABS(E15)&lt;=F15,"PASS","FAIL")</x:f>
        <x:v>PASS</x:v>
      </x:c>
      <x:c r="H15" s="71" t="str">
        <x:v>08_初始申报_公共费</x:v>
      </x:c>
      <x:c r="I15" s="71" t="str">
        <x:v>不得与2025逐值相同</x:v>
      </x:c>
    </x:row>
    <x:row r="16">
      <x:c r="A16" s="62" t="str">
        <x:v>CHK-012</x:v>
      </x:c>
      <x:c r="B16" s="62" t="str">
        <x:v>项目申报公式QC失败数</x:v>
      </x:c>
      <x:c r="C16" s="62" t="n">
        <x:f>COUNTIF('07_初始申报_项目'!$BF$2:$BG$43,"FAIL")</x:f>
        <x:v>0</x:v>
      </x:c>
      <x:c r="D16" s="62" t="n">
        <x:v>0</x:v>
      </x:c>
      <x:c r="E16" s="62" t="n">
        <x:f>C16-D16</x:f>
        <x:v>0</x:v>
      </x:c>
      <x:c r="F16" s="62" t="n">
        <x:v>0</x:v>
      </x:c>
      <x:c r="G16" s="62" t="str">
        <x:f>IF(ABS(E16)&lt;=F16,"PASS","FAIL")</x:f>
        <x:v>PASS</x:v>
      </x:c>
      <x:c r="H16" s="71" t="str">
        <x:v>07_初始申报_项目</x:v>
      </x:c>
      <x:c r="I16" s="71" t="str">
        <x:v>成本率和毛利恒等式</x:v>
      </x:c>
    </x:row>
    <x:row r="17">
      <x:c r="A17" s="62" t="str">
        <x:v>CHK-013</x:v>
      </x:c>
      <x:c r="B17" s="62" t="str">
        <x:v>项目余额QC失败数</x:v>
      </x:c>
      <x:c r="C17" s="62" t="n">
        <x:f>COUNTIF('12_项目可用立项余额'!$R$2:$R$22,"FAIL")</x:f>
        <x:v>0</x:v>
      </x:c>
      <x:c r="D17" s="62" t="n">
        <x:v>0</x:v>
      </x:c>
      <x:c r="E17" s="62" t="n">
        <x:f>C17-D17</x:f>
        <x:v>0</x:v>
      </x:c>
      <x:c r="F17" s="62" t="n">
        <x:v>0</x:v>
      </x:c>
      <x:c r="G17" s="62" t="str">
        <x:f>IF(ABS(E17)&lt;=F17,"PASS","FAIL")</x:f>
        <x:v>PASS</x:v>
      </x:c>
      <x:c r="H17" s="71" t="str">
        <x:v>12_项目可用立项余额</x:v>
      </x:c>
      <x:c r="I17" s="71" t="str">
        <x:v>立项=已使用+可用</x:v>
      </x:c>
    </x:row>
    <x:row r="18">
      <x:c r="A18" s="62" t="str">
        <x:v>CHK-014</x:v>
      </x:c>
      <x:c r="B18" s="62" t="str">
        <x:v>项目余额业务异常数</x:v>
      </x:c>
      <x:c r="C18" s="62" t="n">
        <x:f>COUNTIF('12_项目可用立项余额'!$L$2:$L$22,"超立项余额")</x:f>
        <x:v>1</x:v>
      </x:c>
      <x:c r="D18" s="62" t="n">
        <x:v>1</x:v>
      </x:c>
      <x:c r="E18" s="62" t="n">
        <x:f>C18-D18</x:f>
        <x:v>0</x:v>
      </x:c>
      <x:c r="F18" s="62" t="n">
        <x:v>0</x:v>
      </x:c>
      <x:c r="G18" s="62" t="str">
        <x:f>IF(ABS(E18)&lt;=F18,"PASS","FAIL")</x:f>
        <x:v>PASS</x:v>
      </x:c>
      <x:c r="H18" s="71" t="str">
        <x:v>12_项目可用立项余额</x:v>
      </x:c>
      <x:c r="I18" s="71" t="str">
        <x:v>业务异常，不是数据质量失败</x:v>
      </x:c>
    </x:row>
    <x:row r="19">
      <x:c r="A19" s="62" t="str">
        <x:v>CHK-015</x:v>
      </x:c>
      <x:c r="B19" s="62" t="str">
        <x:v>唯一超额项目可用余额</x:v>
      </x:c>
      <x:c r="C19" s="75" t="n">
        <x:f>MIN('12_项目可用立项余额'!$K$2:$K$22)</x:f>
        <x:v>-20.50376666666662</x:v>
      </x:c>
      <x:c r="D19" s="75" t="n">
        <x:v>-20.5038</x:v>
      </x:c>
      <x:c r="E19" s="75" t="n">
        <x:f>C19-D19</x:f>
        <x:v>0.00003333333337707245</x:v>
      </x:c>
      <x:c r="F19" s="75" t="n">
        <x:v>0.0002</x:v>
      </x:c>
      <x:c r="G19" s="62" t="str">
        <x:f>IF(ABS(E19)&lt;=F19,"PASS","FAIL")</x:f>
        <x:v>PASS</x:v>
      </x:c>
      <x:c r="H19" s="71" t="str">
        <x:v>12_项目可用立项余额</x:v>
      </x:c>
      <x:c r="I19" s="71" t="str">
        <x:v>PRJ-AQ-概率-2025-002</x:v>
      </x:c>
    </x:row>
    <x:row r="20">
      <x:c r="A20" s="62" t="str">
        <x:v>CHK-016</x:v>
      </x:c>
      <x:c r="B20" s="62" t="str">
        <x:v>净在途占用合计</x:v>
      </x:c>
      <x:c r="C20" s="75" t="n">
        <x:f>SUM('11_2025占用事件'!$L$2:$L$109)</x:f>
        <x:v>163.38</x:v>
      </x:c>
      <x:c r="D20" s="75" t="n">
        <x:v>163.38</x:v>
      </x:c>
      <x:c r="E20" s="75" t="n">
        <x:f>C20-D20</x:f>
        <x:v>0</x:v>
      </x:c>
      <x:c r="F20" s="75" t="n">
        <x:v>0.0001</x:v>
      </x:c>
      <x:c r="G20" s="62" t="str">
        <x:f>IF(ABS(E20)&lt;=F20,"PASS","FAIL")</x:f>
        <x:v>PASS</x:v>
      </x:c>
      <x:c r="H20" s="71" t="str">
        <x:v>11_2025占用事件</x:v>
      </x:c>
      <x:c r="I20" s="71" t="str">
        <x:v>预期163.38万元</x:v>
      </x:c>
    </x:row>
    <x:row r="21">
      <x:c r="A21" s="62" t="str">
        <x:v>CHK-017</x:v>
      </x:c>
      <x:c r="B21" s="62" t="str">
        <x:v>正向毛发起量合计</x:v>
      </x:c>
      <x:c r="C21" s="75" t="n">
        <x:f>SUM('11_2025占用事件'!$U$2:$U$109)</x:f>
        <x:v>273.09000000000003</x:v>
      </x:c>
      <x:c r="D21" s="75" t="n">
        <x:v>273.09</x:v>
      </x:c>
      <x:c r="E21" s="75" t="n">
        <x:f>C21-D21</x:f>
        <x:v>5.684341886080802e-14</x:v>
      </x:c>
      <x:c r="F21" s="75" t="n">
        <x:v>0.0001</x:v>
      </x:c>
      <x:c r="G21" s="62" t="str">
        <x:f>IF(ABS(E21)&lt;=F21,"PASS","FAIL")</x:f>
        <x:v>PASS</x:v>
      </x:c>
      <x:c r="H21" s="71" t="str">
        <x:v>11_2025占用事件</x:v>
      </x:c>
      <x:c r="I21" s="71" t="str">
        <x:v>仅正向PR，预期273.09万元</x:v>
      </x:c>
    </x:row>
    <x:row r="22">
      <x:c r="A22" s="62" t="str">
        <x:v>CHK-018</x:v>
      </x:c>
      <x:c r="B22" s="62" t="str">
        <x:v>12月正向采购发起占比</x:v>
      </x:c>
      <x:c r="C22" s="87" t="n">
        <x:f>SUM('11_2025占用事件'!$V$2:$V$109)/SUM('11_2025占用事件'!$U$2:$U$109)</x:f>
        <x:v>0.08586912739389943</x:v>
      </x:c>
      <x:c r="D22" s="87" t="n">
        <x:v>0.08586912739389946</x:v>
      </x:c>
      <x:c r="E22" s="87" t="n">
        <x:f>C22-D22</x:f>
        <x:v>-2.7755575615628914e-17</x:v>
      </x:c>
      <x:c r="F22" s="87" t="n">
        <x:v>0.000001</x:v>
      </x:c>
      <x:c r="G22" s="62" t="str">
        <x:f>IF(ABS(E22)&lt;=F22,"PASS","FAIL")</x:f>
        <x:v>PASS</x:v>
      </x:c>
      <x:c r="H22" s="71" t="str">
        <x:v>11_2025占用事件</x:v>
      </x:c>
      <x:c r="I22" s="71" t="str">
        <x:v>预期约8.59%</x:v>
      </x:c>
    </x:row>
    <x:row r="23">
      <x:c r="A23" s="62" t="str">
        <x:v>CHK-019</x:v>
      </x:c>
      <x:c r="B23" s="62" t="str">
        <x:v>参考凭证生命周期非负数</x:v>
      </x:c>
      <x:c r="C23" s="62" t="n">
        <x:v>36</x:v>
      </x:c>
      <x:c r="D23" s="62" t="n">
        <x:v>36</x:v>
      </x:c>
      <x:c r="E23" s="62" t="n">
        <x:f>C23-D23</x:f>
        <x:v>0</x:v>
      </x:c>
      <x:c r="F23" s="62" t="n">
        <x:v>0</x:v>
      </x:c>
      <x:c r="G23" s="62" t="str">
        <x:f>IF(ABS(E23)&lt;=F23,"PASS","FAIL")</x:f>
        <x:v>PASS</x:v>
      </x:c>
      <x:c r="H23" s="71" t="str">
        <x:v>11_2025占用事件</x:v>
      </x:c>
      <x:c r="I23" s="71" t="str">
        <x:v>36/36</x:v>
      </x:c>
    </x:row>
    <x:row r="24">
      <x:c r="A24" s="62" t="str">
        <x:v>CHK-020</x:v>
      </x:c>
      <x:c r="B24" s="62" t="str">
        <x:v>占用逐行QC失败数</x:v>
      </x:c>
      <x:c r="C24" s="62" t="n">
        <x:f>COUNTIF('11_2025占用事件'!$AC$2:$AD$109,"FAIL")</x:f>
        <x:v>0</x:v>
      </x:c>
      <x:c r="D24" s="62" t="n">
        <x:v>0</x:v>
      </x:c>
      <x:c r="E24" s="62" t="n">
        <x:f>C24-D24</x:f>
        <x:v>0</x:v>
      </x:c>
      <x:c r="F24" s="62" t="n">
        <x:v>0</x:v>
      </x:c>
      <x:c r="G24" s="62" t="str">
        <x:f>IF(ABS(E24)&lt;=F24,"PASS","FAIL")</x:f>
        <x:v>PASS</x:v>
      </x:c>
      <x:c r="H24" s="71" t="str">
        <x:v>11_2025占用事件</x:v>
      </x:c>
      <x:c r="I24" s="71" t="str">
        <x:v>期间及释放额度</x:v>
      </x:c>
    </x:row>
  </x:sheetData>
  <x:mergeCells>
    <x:mergeCell ref="A1:I1"/>
  </x:mergeCells>
  <x:conditionalFormatting sqref="B2:B2">
    <x:cfRule type="containsText" dxfId="65" priority="1" operator="containsText" text="OK"/>
    <x:cfRule type="containsText" dxfId="66" priority="2" operator="containsText" text="PASS"/>
    <x:cfRule type="containsText" dxfId="67" priority="3" operator="containsText" text="FAIL"/>
    <x:cfRule type="containsText" dxfId="68" priority="4" operator="containsText" text="阻塞"/>
    <x:cfRule type="containsText" dxfId="69" priority="5" operator="containsText" text="待复核"/>
  </x:conditionalFormatting>
  <x:conditionalFormatting sqref="G5:G24">
    <x:cfRule type="containsText" dxfId="70" priority="6" operator="containsText" text="OK"/>
    <x:cfRule type="containsText" dxfId="71" priority="7" operator="containsText" text="PASS"/>
    <x:cfRule type="containsText" dxfId="72" priority="8" operator="containsText" text="FAIL"/>
    <x:cfRule type="containsText" dxfId="73" priority="9" operator="containsText" text="阻塞"/>
    <x:cfRule type="containsText" dxfId="74" priority="10" operator="containsText" text="待复核"/>
  </x:conditionalFormatting>
  <x:pageMargins left="0.7" right="0.7" top="0.75" bottom="0.75" header="0.3" footer="0.3"/>
</x:worksheet>
</file>