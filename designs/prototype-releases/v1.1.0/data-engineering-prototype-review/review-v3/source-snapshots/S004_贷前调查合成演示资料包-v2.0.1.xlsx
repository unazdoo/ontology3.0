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fb18df519649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与索引" sheetId="1" r:id="Re1146f67cb3a475f"/>
    <x:sheet xmlns:r="http://schemas.openxmlformats.org/officeDocument/2006/relationships" name="来源与版本" sheetId="2" r:id="Rb31af35a4a914bb5"/>
    <x:sheet xmlns:r="http://schemas.openxmlformats.org/officeDocument/2006/relationships" name="借款人与成员" sheetId="3" r:id="R88e02d02b23f4223"/>
    <x:sheet xmlns:r="http://schemas.openxmlformats.org/officeDocument/2006/relationships" name="贷款申请" sheetId="4" r:id="R708295783e6b4ee1"/>
    <x:sheet xmlns:r="http://schemas.openxmlformats.org/officeDocument/2006/relationships" name="内部授信与融资" sheetId="5" r:id="Rddea9db4fe4c42eb"/>
    <x:sheet xmlns:r="http://schemas.openxmlformats.org/officeDocument/2006/relationships" name="征信与评级" sheetId="6" r:id="Rad18ce317295485c"/>
    <x:sheet xmlns:r="http://schemas.openxmlformats.org/officeDocument/2006/relationships" name="用途与还款" sheetId="7" r:id="Rabf3beb0b2924a28"/>
    <x:sheet xmlns:r="http://schemas.openxmlformats.org/officeDocument/2006/relationships" name="现场调查" sheetId="8" r:id="Rfb7f44294d6646b6"/>
    <x:sheet xmlns:r="http://schemas.openxmlformats.org/officeDocument/2006/relationships" name="人工输入" sheetId="9" r:id="Raea9f21a507b4486"/>
    <x:sheet xmlns:r="http://schemas.openxmlformats.org/officeDocument/2006/relationships" name="数据质量" sheetId="10" r:id="R36bf8322e22d4a26"/>
    <x:sheet xmlns:r="http://schemas.openxmlformats.org/officeDocument/2006/relationships" name="Checks" sheetId="11" r:id="Rb1c23dd4ece744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35A93"/>
      </x:patternFill>
    </x:fill>
  </x:fills>
  <x:borders count="10">
    <x:border/>
    <x:border>
      <x:left style="thin">
        <x:color rgb="FFD8DEE6"/>
      </x:left>
      <x:right style="thin">
        <x:color rgb="FFD8DEE6"/>
      </x:right>
      <x:top style="thin">
        <x:color rgb="FFD8DEE6"/>
      </x:top>
      <x:bottom style="thin">
        <x:color rgb="FFD8DEE6"/>
      </x:bottom>
    </x:border>
    <x:border>
      <x:right style="thin">
        <x:color rgb="FFD8DEE6"/>
      </x:right>
      <x:bottom style="thin">
        <x:color rgb="FFD8DEE6"/>
      </x:bottom>
    </x:border>
    <x:border>
      <x:left style="thin">
        <x:color rgb="FFD8DEE6"/>
      </x:left>
      <x:right style="thin">
        <x:color rgb="FFD8DEE6"/>
      </x:right>
      <x:bottom style="thin">
        <x:color rgb="FFD8DEE6"/>
      </x:bottom>
    </x:border>
    <x:border>
      <x:left style="thin">
        <x:color rgb="FFD8DEE6"/>
      </x:left>
      <x:bottom style="thin">
        <x:color rgb="FFD8DEE6"/>
      </x:bottom>
    </x:border>
    <x:border>
      <x:right style="thin">
        <x:color rgb="FFD8DEE6"/>
      </x:right>
      <x:top style="thin">
        <x:color rgb="FFD8DEE6"/>
      </x:top>
      <x:bottom style="thin">
        <x:color rgb="FFD8DEE6"/>
      </x:bottom>
    </x:border>
    <x:border>
      <x:left style="thin">
        <x:color rgb="FFD8DEE6"/>
      </x:left>
      <x:top style="thin">
        <x:color rgb="FFD8DEE6"/>
      </x:top>
      <x:bottom style="thin">
        <x:color rgb="FFD8DEE6"/>
      </x:bottom>
    </x:border>
    <x:border>
      <x:right style="thin">
        <x:color rgb="FFD8DEE6"/>
      </x:right>
      <x:top style="thin">
        <x:color rgb="FFD8DEE6"/>
      </x:top>
    </x:border>
    <x:border>
      <x:left style="thin">
        <x:color rgb="FFD8DEE6"/>
      </x:left>
      <x:right style="thin">
        <x:color rgb="FFD8DEE6"/>
      </x:right>
      <x:top style="thin">
        <x:color rgb="FFD8DEE6"/>
      </x:top>
    </x:border>
    <x:border>
      <x:left style="thin">
        <x:color rgb="FFD8DEE6"/>
      </x:left>
      <x:top style="thin">
        <x:color rgb="FFD8DEE6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1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201" fontId="3" fillId="0" borderId="3" xfId="0" applyNumberFormat="1" applyFont="1" applyFill="1" applyBorder="1" applyAlignment="1">
      <x:alignment vertical="top" wrapText="1"/>
    </x:xf>
    <x:xf numFmtId="201" fontId="3" fillId="0" borderId="8" xfId="0" applyNumberFormat="1" applyFont="1" applyFill="1" applyBorder="1" applyAlignment="1">
      <x:alignment vertical="top" wrapText="1"/>
    </x:xf>
    <x:xf numFmtId="202" fontId="3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2E776B"/>
      </x:font>
      <x:fill>
        <x:patternFill patternType="solid">
          <x:bgColor rgb="FFE9F5F2"/>
        </x:patternFill>
      </x:fill>
    </x:dxf>
    <x:dxf>
      <x:font>
        <x:b/>
        <x:color rgb="FFA36317"/>
      </x:font>
      <x:fill>
        <x:patternFill patternType="solid">
          <x:bgColor rgb="FFFFF4E1"/>
        </x:patternFill>
      </x:fill>
    </x:dxf>
    <x:dxf>
      <x:font>
        <x:b/>
        <x:color rgb="FFA13D3D"/>
      </x:font>
      <x:fill>
        <x:patternFill patternType="solid">
          <x:bgColor rgb="FFFCECEC"/>
        </x:patternFill>
      </x:fill>
    </x:dxf>
    <x:dxf>
      <x:font>
        <x:b/>
        <x:color rgb="FF2E776B"/>
      </x:font>
      <x:fill>
        <x:patternFill patternType="solid">
          <x:bgColor rgb="FFE9F5F2"/>
        </x:patternFill>
      </x:fill>
    </x:dxf>
    <x:dxf>
      <x:font>
        <x:b/>
        <x:color rgb="FFA36317"/>
      </x:font>
      <x:fill>
        <x:patternFill patternType="solid">
          <x:bgColor rgb="FFFFF4E1"/>
        </x:patternFill>
      </x:fill>
    </x:dxf>
    <x:dxf>
      <x:font>
        <x:b/>
        <x:color rgb="FFA13D3D"/>
      </x:font>
      <x:fill>
        <x:patternFill patternType="solid">
          <x:bgColor rgb="FFFC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38026791d947b2" /><Relationship Type="http://schemas.openxmlformats.org/officeDocument/2006/relationships/theme" Target="/xl/theme/theme1.xml" Id="R9572184b18c3458f" /><Relationship Type="http://schemas.openxmlformats.org/officeDocument/2006/relationships/sharedStrings" Target="/xl/sharedStrings.xml" Id="R20e110011936473d" /><Relationship Type="http://schemas.openxmlformats.org/officeDocument/2006/relationships/worksheet" Target="/xl/worksheets/sheet1.xml" Id="Re1146f67cb3a475f" /><Relationship Type="http://schemas.openxmlformats.org/officeDocument/2006/relationships/worksheet" Target="/xl/worksheets/sheet2.xml" Id="Rb31af35a4a914bb5" /><Relationship Type="http://schemas.openxmlformats.org/officeDocument/2006/relationships/worksheet" Target="/xl/worksheets/sheet3.xml" Id="R88e02d02b23f4223" /><Relationship Type="http://schemas.openxmlformats.org/officeDocument/2006/relationships/worksheet" Target="/xl/worksheets/sheet4.xml" Id="R708295783e6b4ee1" /><Relationship Type="http://schemas.openxmlformats.org/officeDocument/2006/relationships/worksheet" Target="/xl/worksheets/sheet5.xml" Id="Rddea9db4fe4c42eb" /><Relationship Type="http://schemas.openxmlformats.org/officeDocument/2006/relationships/worksheet" Target="/xl/worksheets/sheet6.xml" Id="Rad18ce317295485c" /><Relationship Type="http://schemas.openxmlformats.org/officeDocument/2006/relationships/worksheet" Target="/xl/worksheets/sheet7.xml" Id="Rabf3beb0b2924a28" /><Relationship Type="http://schemas.openxmlformats.org/officeDocument/2006/relationships/worksheet" Target="/xl/worksheets/sheet8.xml" Id="Rfb7f44294d6646b6" /><Relationship Type="http://schemas.openxmlformats.org/officeDocument/2006/relationships/worksheet" Target="/xl/worksheets/sheet9.xml" Id="Raea9f21a507b4486" /><Relationship Type="http://schemas.openxmlformats.org/officeDocument/2006/relationships/worksheet" Target="/xl/worksheets/sheet10.xml" Id="R36bf8322e22d4a26" /><Relationship Type="http://schemas.openxmlformats.org/officeDocument/2006/relationships/worksheet" Target="/xl/worksheets/sheet11.xml" Id="Rb1c23dd4ece744b7" /><Relationship Type="http://schemas.microsoft.com/office/2017/10/relationships/person" Target="/xl/persons/person.xml" Id="R5a29af13925c4ed6" /></Relationships>
</file>

<file path=xl/persons/person.xml><?xml version="1.0" encoding="utf-8"?>
<xltc:personList xmlns:xltc="http://schemas.microsoft.com/office/spreadsheetml/2018/threadedcomments">
  <xltc:person displayName="User" id="{7234F40C-3E47-4392-82BF-DC0E777DEFD6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23" hidden="0" customWidth="1"/>
    <x:col min="4" max="4" width="66" hidden="0" customWidth="1"/>
  </x:cols>
  <x:sheetData>
    <x:row r="1" ht="32" customHeight="1">
      <x:c r="A1" s="3" t="str">
        <x:v>S004-v2 财务公司贷款贷前调查 - 合成演示资料包</x:v>
      </x:c>
      <x:c r="B1" s="3" t="str">
        <x:v>S004-v2 财务公司贷款贷前调查 - 合成演示资料包</x:v>
      </x:c>
      <x:c r="C1" s="3" t="str">
        <x:v>S004-v2 财务公司贷款贷前调查 - 合成演示资料包</x:v>
      </x:c>
      <x:c r="D1" s="3" t="str">
        <x:v>S004-v2 财务公司贷款贷前调查 - 合成演示资料包</x:v>
      </x:c>
    </x:row>
    <x:row r="3" ht="28" customHeight="1">
      <x:c r="A3" s="8" t="str">
        <x:v>字段</x:v>
      </x:c>
      <x:c r="B3" s="8" t="str">
        <x:v>值</x:v>
      </x:c>
      <x:c r="C3" s="8" t="str">
        <x:v>分类</x:v>
      </x:c>
      <x:c r="D3" s="8" t="str">
        <x:v>说明</x:v>
      </x:c>
    </x:row>
    <x:row r="4">
      <x:c r="A4" s="28" t="str">
        <x:v>场景身份</x:v>
      </x:c>
      <x:c r="B4" s="29" t="str">
        <x:v>S004 / S004-v2</x:v>
      </x:c>
      <x:c r="C4" s="29" t="str">
        <x:v>场景</x:v>
      </x:c>
      <x:c r="D4" s="30" t="str">
        <x:v>独立 scenarioRunId=S004-RUN-20260815233000000-7f3c8e42a1b6</x:v>
      </x:c>
    </x:row>
    <x:row r="5">
      <x:c r="A5" s="31" t="str">
        <x:v>父基线</x:v>
      </x:c>
      <x:c r="B5" s="32" t="str">
        <x:v>v1.0.3 / BSL-S001-V103-DE0119608E26</x:v>
      </x:c>
      <x:c r="C5" s="32" t="str">
        <x:v>冻结基线</x:v>
      </x:c>
      <x:c r="D5" s="33" t="str">
        <x:v>公共壳、导航、顶部栏、样式与交互直接复用冻结实现</x:v>
      </x:c>
    </x:row>
    <x:row r="6">
      <x:c r="A6" s="31" t="str">
        <x:v>正式业务主体</x:v>
      </x:c>
      <x:c r="B6" s="32" t="str">
        <x:v>集团财务公司（演示）</x:v>
      </x:c>
      <x:c r="C6" s="32" t="str">
        <x:v>synthetic-demo</x:v>
      </x:c>
      <x:c r="D6" s="33" t="str">
        <x:v>报告中的“本行”统一解释为财务公司</x:v>
      </x:c>
    </x:row>
    <x:row r="7">
      <x:c r="A7" s="31" t="str">
        <x:v>借款人</x:v>
      </x:c>
      <x:c r="B7" s="32" t="str">
        <x:v>中国广核电力股份有限公司</x:v>
      </x:c>
      <x:c r="C7" s="32" t="str">
        <x:v>集团成员单位</x:v>
      </x:c>
      <x:c r="D7" s="33" t="str">
        <x:v>成员资格由 SIM_MEMBER_REGISTRY 模拟节点提供</x:v>
      </x:c>
    </x:row>
    <x:row r="8">
      <x:c r="A8" s="31" t="str">
        <x:v>数据边界</x:v>
      </x:c>
      <x:c r="B8" s="32" t="str">
        <x:v>本资料包不含财务报表明细</x:v>
      </x:c>
      <x:c r="C8" s="32" t="str">
        <x:v>NO_DUPLICATE_FINANCIAL_UPLOAD</x:v>
      </x:c>
      <x:c r="D8" s="33" t="str">
        <x:v>年报财务事实由 M02 文档来源节点进入 Published 本体及 C008</x:v>
      </x:c>
    </x:row>
    <x:row r="9">
      <x:c r="A9" s="31" t="str">
        <x:v>正式产物</x:v>
      </x:c>
      <x:c r="B9" s="32" t="str">
        <x:v>受控 HTML + 同源 PDF</x:v>
      </x:c>
      <x:c r="C9" s="32" t="str">
        <x:v>一期范围</x:v>
      </x:c>
      <x:c r="D9" s="33" t="str">
        <x:v>DOCX、签章、外部报送和复杂审批不在本期范围</x:v>
      </x:c>
    </x:row>
    <x:row r="10">
      <x:c r="A10" s="31" t="str">
        <x:v>人工边界</x:v>
      </x:c>
      <x:c r="B10" s="32" t="str">
        <x:v>授信结论、额度、利率、条件和风险定性均为人工输入</x:v>
      </x:c>
      <x:c r="C10" s="32" t="str">
        <x:v>human-input</x:v>
      </x:c>
      <x:c r="D10" s="33" t="str">
        <x:v>Agent 仅组织固定证据包中的分析文字</x:v>
      </x:c>
    </x:row>
    <x:row r="11">
      <x:c r="A11" s="34" t="str">
        <x:v>演示声明</x:v>
      </x:c>
      <x:c r="B11" s="35" t="str">
        <x:v>仅用于产品原型和合同联调</x:v>
      </x:c>
      <x:c r="C11" s="35" t="str">
        <x:v>限制</x:v>
      </x:c>
      <x:c r="D11" s="36" t="str">
        <x:v>模拟节点不得冒充真实外部或内部数据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0" hidden="0" customWidth="1"/>
    <x:col min="3" max="3" width="20" hidden="0" customWidth="1"/>
    <x:col min="4" max="4" width="24" hidden="0" customWidth="1"/>
    <x:col min="5" max="5" width="22" hidden="0" customWidth="1"/>
    <x:col min="6" max="6" width="70" hidden="0" customWidth="1"/>
    <x:col min="7" max="7" width="60" hidden="0" customWidth="1"/>
  </x:cols>
  <x:sheetData>
    <x:row r="1" ht="32" customHeight="1">
      <x:c r="A1" s="3" t="str">
        <x:v>来源、版本和模拟节点登记</x:v>
      </x:c>
      <x:c r="B1" s="3" t="str">
        <x:v>来源、版本和模拟节点登记</x:v>
      </x:c>
      <x:c r="C1" s="3" t="str">
        <x:v>来源、版本和模拟节点登记</x:v>
      </x:c>
      <x:c r="D1" s="3" t="str">
        <x:v>来源、版本和模拟节点登记</x:v>
      </x:c>
      <x:c r="E1" s="3" t="str">
        <x:v>来源、版本和模拟节点登记</x:v>
      </x:c>
      <x:c r="F1" s="3" t="str">
        <x:v>来源、版本和模拟节点登记</x:v>
      </x:c>
      <x:c r="G1" s="3" t="str">
        <x:v>来源、版本和模拟节点登记</x:v>
      </x:c>
    </x:row>
    <x:row r="3" ht="28" customHeight="1">
      <x:c r="A3" s="8" t="str">
        <x:v>来源ID</x:v>
      </x:c>
      <x:c r="B3" s="8" t="str">
        <x:v>资料/节点</x:v>
      </x:c>
      <x:c r="C3" s="8" t="str">
        <x:v>来源分类</x:v>
      </x:c>
      <x:c r="D3" s="8" t="str">
        <x:v>期间/时点</x:v>
      </x:c>
      <x:c r="E3" s="8" t="str">
        <x:v>Owner</x:v>
      </x:c>
      <x:c r="F3" s="8" t="str">
        <x:v>引用</x:v>
      </x:c>
      <x:c r="G3" s="8" t="str">
        <x:v>用途及边界</x:v>
      </x:c>
    </x:row>
    <x:row r="4">
      <x:c r="A4" s="28" t="str">
        <x:v>SRC-AR-2023</x:v>
      </x:c>
      <x:c r="B4" s="29" t="str">
        <x:v>中国广核2023年年度报告</x:v>
      </x:c>
      <x:c r="C4" s="29" t="str">
        <x:v>official-public</x:v>
      </x:c>
      <x:c r="D4" s="29" t="str">
        <x:v>2023年度</x:v>
      </x:c>
      <x:c r="E4" s="29" t="str">
        <x:v>M02</x:v>
      </x:c>
      <x:c r="F4" s="29" t="str">
        <x:v>输入材料/中国广核2023年报.pdf</x:v>
      </x:c>
      <x:c r="G4" s="30" t="str">
        <x:v>正式财务事实来源；本工作簿不复制其明细</x:v>
      </x:c>
    </x:row>
    <x:row r="5">
      <x:c r="A5" s="31" t="str">
        <x:v>SRC-AR-2024</x:v>
      </x:c>
      <x:c r="B5" s="32" t="str">
        <x:v>中国广核2024年年度报告</x:v>
      </x:c>
      <x:c r="C5" s="32" t="str">
        <x:v>official-public</x:v>
      </x:c>
      <x:c r="D5" s="32" t="str">
        <x:v>2024年度</x:v>
      </x:c>
      <x:c r="E5" s="32" t="str">
        <x:v>M02</x:v>
      </x:c>
      <x:c r="F5" s="32" t="str">
        <x:v>输入材料/中国广核2024年报.pdf</x:v>
      </x:c>
      <x:c r="G5" s="33" t="str">
        <x:v>原始披露参考；正式比较采用2025年报重述数</x:v>
      </x:c>
    </x:row>
    <x:row r="6">
      <x:c r="A6" s="31" t="str">
        <x:v>SRC-AR-2025</x:v>
      </x:c>
      <x:c r="B6" s="32" t="str">
        <x:v>中国广核2025年年度报告</x:v>
      </x:c>
      <x:c r="C6" s="32" t="str">
        <x:v>official-public</x:v>
      </x:c>
      <x:c r="D6" s="32" t="str">
        <x:v>2025年度/2025-12-31</x:v>
      </x:c>
      <x:c r="E6" s="32" t="str">
        <x:v>M02</x:v>
      </x:c>
      <x:c r="F6" s="32" t="str">
        <x:v>输入材料/中国广核2025年报.pdf</x:v>
      </x:c>
      <x:c r="G6" s="33" t="str">
        <x:v>2025事实及2024重述比较期权威来源</x:v>
      </x:c>
    </x:row>
    <x:row r="7">
      <x:c r="A7" s="31" t="str">
        <x:v>SRC-TPL-DOCX</x:v>
      </x:c>
      <x:c r="B7" s="32" t="str">
        <x:v>中国广核贷前调查报告_工商信息版.docx</x:v>
      </x:c>
      <x:c r="C7" s="32" t="str">
        <x:v>report-authority</x:v>
      </x:c>
      <x:c r="D7" s="32" t="str">
        <x:v>2026-08-12</x:v>
      </x:c>
      <x:c r="E7" s="32" t="str">
        <x:v>M06</x:v>
      </x:c>
      <x:c r="F7" s="32" t="str">
        <x:v>输出报告/中国广核贷前调查报告_工商信息版.docx</x:v>
      </x:c>
      <x:c r="G7" s="33" t="str">
        <x:v>正式章节、顺序、字段、表格和版式权威来源</x:v>
      </x:c>
    </x:row>
    <x:row r="8">
      <x:c r="A8" s="31" t="str">
        <x:v>SRC-TPL-MD</x:v>
      </x:c>
      <x:c r="B8" s="32" t="str">
        <x:v>中国广核贷前调查报告_新结构v1.md</x:v>
      </x:c>
      <x:c r="C8" s="32" t="str">
        <x:v>report-authority</x:v>
      </x:c>
      <x:c r="D8" s="32" t="str">
        <x:v>2026-08-12</x:v>
      </x:c>
      <x:c r="E8" s="32" t="str">
        <x:v>M06</x:v>
      </x:c>
      <x:c r="F8" s="32" t="str">
        <x:v>输出报告/中国广核贷前调查报告_新结构v1.md</x:v>
      </x:c>
      <x:c r="G8" s="33" t="str">
        <x:v>与DOCX内容归一化对照一致</x:v>
      </x:c>
    </x:row>
    <x:row r="9">
      <x:c r="A9" s="31" t="str">
        <x:v>SIM_MEMBER_REGISTRY</x:v>
      </x:c>
      <x:c r="B9" s="32" t="str">
        <x:v>集团成员名录</x:v>
      </x:c>
      <x:c r="C9" s="32" t="str">
        <x:v>synthetic-demo</x:v>
      </x:c>
      <x:c r="D9" s="32" t="str">
        <x:v>2026-08-15</x:v>
      </x:c>
      <x:c r="E9" s="32" t="str">
        <x:v>M02</x:v>
      </x:c>
      <x:c r="F9" s="32" t="str">
        <x:v>管道模拟节点</x:v>
      </x:c>
      <x:c r="G9" s="33" t="str">
        <x:v>只证明演示成员状态，不冒充生产成员名录</x:v>
      </x:c>
    </x:row>
    <x:row r="10">
      <x:c r="A10" s="31" t="str">
        <x:v>SIM_LOAN_APPLICATION</x:v>
      </x:c>
      <x:c r="B10" s="32" t="str">
        <x:v>贷款申请</x:v>
      </x:c>
      <x:c r="C10" s="32" t="str">
        <x:v>synthetic-demo</x:v>
      </x:c>
      <x:c r="D10" s="32" t="str">
        <x:v>2026-08-15</x:v>
      </x:c>
      <x:c r="E10" s="32" t="str">
        <x:v>M02</x:v>
      </x:c>
      <x:c r="F10" s="32" t="str">
        <x:v>上传型模拟节点</x:v>
      </x:c>
      <x:c r="G10" s="33" t="str">
        <x:v>申请编号、金额、期限、用途和产品</x:v>
      </x:c>
    </x:row>
    <x:row r="11">
      <x:c r="A11" s="31" t="str">
        <x:v>SIM_INTERNAL_CREDIT</x:v>
      </x:c>
      <x:c r="B11" s="32" t="str">
        <x:v>内部授信额度</x:v>
      </x:c>
      <x:c r="C11" s="32" t="str">
        <x:v>synthetic-demo</x:v>
      </x:c>
      <x:c r="D11" s="32" t="str">
        <x:v>2026-08-14</x:v>
      </x:c>
      <x:c r="E11" s="32" t="str">
        <x:v>M02</x:v>
      </x:c>
      <x:c r="F11" s="32" t="str">
        <x:v>管道模拟节点</x:v>
      </x:c>
      <x:c r="G11" s="33" t="str">
        <x:v>内部额度与用信，仅供演示</x:v>
      </x:c>
    </x:row>
    <x:row r="12">
      <x:c r="A12" s="31" t="str">
        <x:v>SIM_LOAN_LEDGER</x:v>
      </x:c>
      <x:c r="B12" s="32" t="str">
        <x:v>历史融资及流贷余额</x:v>
      </x:c>
      <x:c r="C12" s="32" t="str">
        <x:v>synthetic-demo</x:v>
      </x:c>
      <x:c r="D12" s="32" t="str">
        <x:v>2026-08-14</x:v>
      </x:c>
      <x:c r="E12" s="32" t="str">
        <x:v>M02</x:v>
      </x:c>
      <x:c r="F12" s="32" t="str">
        <x:v>管道模拟节点</x:v>
      </x:c>
      <x:c r="G12" s="33" t="str">
        <x:v>权威示例暂按0/0；真实业务须由客户与财务公司审批核定</x:v>
      </x:c>
    </x:row>
    <x:row r="13">
      <x:c r="A13" s="31" t="str">
        <x:v>SIM_CREDIT_BUREAU</x:v>
      </x:c>
      <x:c r="B13" s="32" t="str">
        <x:v>征信摘要</x:v>
      </x:c>
      <x:c r="C13" s="32" t="str">
        <x:v>synthetic-demo</x:v>
      </x:c>
      <x:c r="D13" s="32" t="str">
        <x:v>2026-08-14</x:v>
      </x:c>
      <x:c r="E13" s="32" t="str">
        <x:v>M02</x:v>
      </x:c>
      <x:c r="F13" s="32" t="str">
        <x:v>管道模拟节点</x:v>
      </x:c>
      <x:c r="G13" s="33" t="str">
        <x:v>原始摘要不自动等同低风险</x:v>
      </x:c>
    </x:row>
    <x:row r="14">
      <x:c r="A14" s="31" t="str">
        <x:v>SIM_INTERNAL_RATING</x:v>
      </x:c>
      <x:c r="B14" s="32" t="str">
        <x:v>内部评级</x:v>
      </x:c>
      <x:c r="C14" s="32" t="str">
        <x:v>synthetic-demo</x:v>
      </x:c>
      <x:c r="D14" s="32" t="str">
        <x:v>2026-07-01至2027-06-30</x:v>
      </x:c>
      <x:c r="E14" s="32" t="str">
        <x:v>M02</x:v>
      </x:c>
      <x:c r="F14" s="32" t="str">
        <x:v>管道模拟节点</x:v>
      </x:c>
      <x:c r="G14" s="33" t="str">
        <x:v>评级不直接形成授信结论</x:v>
      </x:c>
    </x:row>
    <x:row r="15">
      <x:c r="A15" s="31" t="str">
        <x:v>SIM_PURPOSE_CONTRACT</x:v>
      </x:c>
      <x:c r="B15" s="32" t="str">
        <x:v>用途合同</x:v>
      </x:c>
      <x:c r="C15" s="32" t="str">
        <x:v>synthetic-demo</x:v>
      </x:c>
      <x:c r="D15" s="32" t="str">
        <x:v>2026-08-15</x:v>
      </x:c>
      <x:c r="E15" s="32" t="str">
        <x:v>M02</x:v>
      </x:c>
      <x:c r="F15" s="32" t="str">
        <x:v>上传型模拟节点</x:v>
      </x:c>
      <x:c r="G15" s="33" t="str">
        <x:v>覆盖金额与用途一致性</x:v>
      </x:c>
    </x:row>
    <x:row r="16">
      <x:c r="A16" s="31" t="str">
        <x:v>SIM_REPAYMENT_PLAN</x:v>
      </x:c>
      <x:c r="B16" s="32" t="str">
        <x:v>还款计划</x:v>
      </x:c>
      <x:c r="C16" s="32" t="str">
        <x:v>synthetic-demo</x:v>
      </x:c>
      <x:c r="D16" s="32" t="str">
        <x:v>2026-08-15</x:v>
      </x:c>
      <x:c r="E16" s="32" t="str">
        <x:v>M02</x:v>
      </x:c>
      <x:c r="F16" s="32" t="str">
        <x:v>上传型模拟节点</x:v>
      </x:c>
      <x:c r="G16" s="33" t="str">
        <x:v>还本付息方式和还款来源</x:v>
      </x:c>
    </x:row>
    <x:row r="17">
      <x:c r="A17" s="34" t="str">
        <x:v>SIM_SITE_SURVEY</x:v>
      </x:c>
      <x:c r="B17" s="35" t="str">
        <x:v>现场调查</x:v>
      </x:c>
      <x:c r="C17" s="35" t="str">
        <x:v>synthetic-demo</x:v>
      </x:c>
      <x:c r="D17" s="35" t="str">
        <x:v>2026-08-12</x:v>
      </x:c>
      <x:c r="E17" s="35" t="str">
        <x:v>M02</x:v>
      </x:c>
      <x:c r="F17" s="35" t="str">
        <x:v>上传型模拟节点</x:v>
      </x:c>
      <x:c r="G17" s="36" t="str">
        <x:v>观察事实与人工意见分离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4" hidden="0" customWidth="1"/>
    <x:col min="3" max="3" width="24" hidden="0" customWidth="1"/>
    <x:col min="4" max="4" width="30" hidden="0" customWidth="1"/>
    <x:col min="5" max="5" width="60" hidden="0" customWidth="1"/>
  </x:cols>
  <x:sheetData>
    <x:row r="1" ht="32" customHeight="1">
      <x:c r="A1" s="3" t="str">
        <x:v>借款人身份与集团成员资格（模拟内部部分）</x:v>
      </x:c>
      <x:c r="B1" s="3" t="str">
        <x:v>借款人身份与集团成员资格（模拟内部部分）</x:v>
      </x:c>
      <x:c r="C1" s="3" t="str">
        <x:v>借款人身份与集团成员资格（模拟内部部分）</x:v>
      </x:c>
      <x:c r="D1" s="3" t="str">
        <x:v>借款人身份与集团成员资格（模拟内部部分）</x:v>
      </x:c>
      <x:c r="E1" s="3" t="str">
        <x:v>借款人身份与集团成员资格（模拟内部部分）</x:v>
      </x:c>
    </x:row>
    <x:row r="3" ht="28" customHeight="1">
      <x:c r="A3" s="8" t="str">
        <x:v>字段</x:v>
      </x:c>
      <x:c r="B3" s="8" t="str">
        <x:v>值</x:v>
      </x:c>
      <x:c r="C3" s="8" t="str">
        <x:v>来源分类</x:v>
      </x:c>
      <x:c r="D3" s="8" t="str">
        <x:v>证据/节点</x:v>
      </x:c>
      <x:c r="E3" s="8" t="str">
        <x:v>质量说明</x:v>
      </x:c>
    </x:row>
    <x:row r="4">
      <x:c r="A4" s="28" t="str">
        <x:v>借款人ID</x:v>
      </x:c>
      <x:c r="B4" s="29" t="str">
        <x:v>BORR-CN-USCC-91440300093677087R</x:v>
      </x:c>
      <x:c r="C4" s="29" t="str">
        <x:v>stable-key</x:v>
      </x:c>
      <x:c r="D4" s="29" t="str">
        <x:v>Published/C008</x:v>
      </x:c>
      <x:c r="E4" s="30" t="str">
        <x:v>统一社会信用代码派生稳定键</x:v>
      </x:c>
    </x:row>
    <x:row r="5">
      <x:c r="A5" s="31" t="str">
        <x:v>统一社会信用代码</x:v>
      </x:c>
      <x:c r="B5" s="32" t="str">
        <x:v>91440300093677087R</x:v>
      </x:c>
      <x:c r="C5" s="32" t="str">
        <x:v>official-public</x:v>
      </x:c>
      <x:c r="D5" s="32" t="str">
        <x:v>SRC-AR-2025</x:v>
      </x:c>
      <x:c r="E5" s="33" t="str">
        <x:v>与权威公开资料核对</x:v>
      </x:c>
    </x:row>
    <x:row r="6">
      <x:c r="A6" s="31" t="str">
        <x:v>借款人名称</x:v>
      </x:c>
      <x:c r="B6" s="32" t="str">
        <x:v>中国广核电力股份有限公司</x:v>
      </x:c>
      <x:c r="C6" s="32" t="str">
        <x:v>official-public</x:v>
      </x:c>
      <x:c r="D6" s="32" t="str">
        <x:v>SRC-AR-2025</x:v>
      </x:c>
      <x:c r="E6" s="33" t="str">
        <x:v>集团成员单位候选主体</x:v>
      </x:c>
    </x:row>
    <x:row r="7">
      <x:c r="A7" s="31" t="str">
        <x:v>成员ID</x:v>
      </x:c>
      <x:c r="B7" s="32" t="str">
        <x:v>MEM-CGN-003816</x:v>
      </x:c>
      <x:c r="C7" s="32" t="str">
        <x:v>synthetic-demo</x:v>
      </x:c>
      <x:c r="D7" s="32" t="str">
        <x:v>SIM_MEMBER_REGISTRY</x:v>
      </x:c>
      <x:c r="E7" s="33" t="str">
        <x:v>内部稳定键</x:v>
      </x:c>
    </x:row>
    <x:row r="8">
      <x:c r="A8" s="31" t="str">
        <x:v>成员状态</x:v>
      </x:c>
      <x:c r="B8" s="32" t="str">
        <x:v>ACTIVE</x:v>
      </x:c>
      <x:c r="C8" s="32" t="str">
        <x:v>synthetic-demo</x:v>
      </x:c>
      <x:c r="D8" s="32" t="str">
        <x:v>SIM_MEMBER_REGISTRY</x:v>
      </x:c>
      <x:c r="E8" s="33" t="str">
        <x:v>截至2026-08-15有效</x:v>
      </x:c>
    </x:row>
    <x:row r="9">
      <x:c r="A9" s="34" t="str">
        <x:v>财务公司ID</x:v>
      </x:c>
      <x:c r="B9" s="35" t="str">
        <x:v>FC-DEMO-001</x:v>
      </x:c>
      <x:c r="C9" s="35" t="str">
        <x:v>synthetic-demo</x:v>
      </x:c>
      <x:c r="D9" s="35" t="str">
        <x:v>SIM_MEMBER_REGISTRY</x:v>
      </x:c>
      <x:c r="E9" s="36" t="str">
        <x:v>正式业务角色=财务公司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6" hidden="0" customWidth="1"/>
    <x:col min="3" max="3" width="22" hidden="0" customWidth="1"/>
    <x:col min="4" max="4" width="28" hidden="0" customWidth="1"/>
    <x:col min="5" max="5" width="62" hidden="0" customWidth="1"/>
  </x:cols>
  <x:sheetData>
    <x:row r="1" ht="32" customHeight="1">
      <x:c r="A1" s="3" t="str">
        <x:v>贷款申请与产品条件（模拟）</x:v>
      </x:c>
      <x:c r="B1" s="3" t="str">
        <x:v>贷款申请与产品条件（模拟）</x:v>
      </x:c>
      <x:c r="C1" s="3" t="str">
        <x:v>贷款申请与产品条件（模拟）</x:v>
      </x:c>
      <x:c r="D1" s="3" t="str">
        <x:v>贷款申请与产品条件（模拟）</x:v>
      </x:c>
      <x:c r="E1" s="3" t="str">
        <x:v>贷款申请与产品条件（模拟）</x:v>
      </x:c>
    </x:row>
    <x:row r="3" ht="28" customHeight="1">
      <x:c r="A3" s="8" t="str">
        <x:v>字段</x:v>
      </x:c>
      <x:c r="B3" s="8" t="str">
        <x:v>值</x:v>
      </x:c>
      <x:c r="C3" s="8" t="str">
        <x:v>单位/枚举</x:v>
      </x:c>
      <x:c r="D3" s="8" t="str">
        <x:v>来源节点</x:v>
      </x:c>
      <x:c r="E3" s="8" t="str">
        <x:v>核验要求</x:v>
      </x:c>
    </x:row>
    <x:row r="4">
      <x:c r="A4" s="28" t="str">
        <x:v>申请编号</x:v>
      </x:c>
      <x:c r="B4" s="29" t="str">
        <x:v>APP-S004-20260815-0001</x:v>
      </x:c>
      <x:c r="C4" s="29" t="str">
        <x:v>稳定键</x:v>
      </x:c>
      <x:c r="D4" s="29" t="str">
        <x:v>SIM_LOAN_APPLICATION</x:v>
      </x:c>
      <x:c r="E4" s="30" t="str">
        <x:v>与报告编号和借款人ID关联</x:v>
      </x:c>
    </x:row>
    <x:row r="5">
      <x:c r="A5" s="31" t="str">
        <x:v>申请日期</x:v>
      </x:c>
      <x:c r="B5" s="37" t="n">
        <x:v>46249</x:v>
      </x:c>
      <x:c r="C5" s="32" t="str">
        <x:v>日期</x:v>
      </x:c>
      <x:c r="D5" s="32" t="str">
        <x:v>SIM_LOAN_APPLICATION</x:v>
      </x:c>
      <x:c r="E5" s="33" t="str">
        <x:v>不得晚于报告形成日期</x:v>
      </x:c>
    </x:row>
    <x:row r="6">
      <x:c r="A6" s="31" t="str">
        <x:v>申请金额</x:v>
      </x:c>
      <x:c r="B6" s="38" t="n">
        <x:v>100000</x:v>
      </x:c>
      <x:c r="C6" s="32" t="str">
        <x:v>万元</x:v>
      </x:c>
      <x:c r="D6" s="32" t="str">
        <x:v>SIM_LOAN_APPLICATION</x:v>
      </x:c>
      <x:c r="E6" s="33" t="str">
        <x:v>确定性校验但不自动审批</x:v>
      </x:c>
    </x:row>
    <x:row r="7">
      <x:c r="A7" s="31" t="str">
        <x:v>币种</x:v>
      </x:c>
      <x:c r="B7" s="32" t="str">
        <x:v>CNY</x:v>
      </x:c>
      <x:c r="C7" s="32" t="str">
        <x:v>枚举</x:v>
      </x:c>
      <x:c r="D7" s="32" t="str">
        <x:v>SIM_LOAN_APPLICATION</x:v>
      </x:c>
      <x:c r="E7" s="33" t="str">
        <x:v>人民币</x:v>
      </x:c>
    </x:row>
    <x:row r="8">
      <x:c r="A8" s="31" t="str">
        <x:v>期限</x:v>
      </x:c>
      <x:c r="B8" s="32" t="n">
        <x:v>12</x:v>
      </x:c>
      <x:c r="C8" s="32" t="str">
        <x:v>月</x:v>
      </x:c>
      <x:c r="D8" s="32" t="str">
        <x:v>SIM_LOAN_APPLICATION</x:v>
      </x:c>
      <x:c r="E8" s="33" t="str">
        <x:v>一年期</x:v>
      </x:c>
    </x:row>
    <x:row r="9">
      <x:c r="A9" s="31" t="str">
        <x:v>产品</x:v>
      </x:c>
      <x:c r="B9" s="32" t="str">
        <x:v>流动资金贷款</x:v>
      </x:c>
      <x:c r="C9" s="32" t="str">
        <x:v>WORKING_CAPITAL</x:v>
      </x:c>
      <x:c r="D9" s="32" t="str">
        <x:v>SIM_LOAN_APPLICATION</x:v>
      </x:c>
      <x:c r="E9" s="33" t="str">
        <x:v>与资金需求和用途一致</x:v>
      </x:c>
    </x:row>
    <x:row r="10">
      <x:c r="A10" s="31" t="str">
        <x:v>担保方式</x:v>
      </x:c>
      <x:c r="B10" s="32" t="str">
        <x:v>信用</x:v>
      </x:c>
      <x:c r="C10" s="32" t="str">
        <x:v>CREDIT</x:v>
      </x:c>
      <x:c r="D10" s="32" t="str">
        <x:v>SIM_LOAN_APPLICATION</x:v>
      </x:c>
      <x:c r="E10" s="33" t="str">
        <x:v>不得生成保证或抵质押评价</x:v>
      </x:c>
    </x:row>
    <x:row r="11">
      <x:c r="A11" s="31" t="str">
        <x:v>保证人</x:v>
      </x:c>
      <x:c r="B11" s="32" t="str">
        <x:v>NOT_APPLICABLE</x:v>
      </x:c>
      <x:c r="C11" s="32" t="str">
        <x:v>枚举</x:v>
      </x:c>
      <x:c r="D11" s="32" t="str">
        <x:v>SIM_LOAN_APPLICATION</x:v>
      </x:c>
      <x:c r="E11" s="33" t="str">
        <x:v>显式N/A</x:v>
      </x:c>
    </x:row>
    <x:row r="12">
      <x:c r="A12" s="31" t="str">
        <x:v>抵质押物</x:v>
      </x:c>
      <x:c r="B12" s="32" t="str">
        <x:v>NOT_APPLICABLE</x:v>
      </x:c>
      <x:c r="C12" s="32" t="str">
        <x:v>枚举</x:v>
      </x:c>
      <x:c r="D12" s="32" t="str">
        <x:v>SIM_LOAN_APPLICATION</x:v>
      </x:c>
      <x:c r="E12" s="33" t="str">
        <x:v>显式N/A</x:v>
      </x:c>
    </x:row>
    <x:row r="13">
      <x:c r="A13" s="31" t="str">
        <x:v>用途</x:v>
      </x:c>
      <x:c r="B13" s="32" t="str">
        <x:v>核电运营相关日常经营周转，包括核燃料、备品备件及运维服务采购</x:v>
      </x:c>
      <x:c r="C13" s="32" t="str">
        <x:v>文本</x:v>
      </x:c>
      <x:c r="D13" s="32" t="str">
        <x:v>SIM_LOAN_APPLICATION</x:v>
      </x:c>
      <x:c r="E13" s="33" t="str">
        <x:v>与用途合同核对</x:v>
      </x:c>
    </x:row>
    <x:row r="14">
      <x:c r="A14" s="34" t="str">
        <x:v>申请状态</x:v>
      </x:c>
      <x:c r="B14" s="35" t="str">
        <x:v>SUBMITTED</x:v>
      </x:c>
      <x:c r="C14" s="35" t="str">
        <x:v>枚举</x:v>
      </x:c>
      <x:c r="D14" s="35" t="str">
        <x:v>SIM_LOAN_APPLICATION</x:v>
      </x:c>
      <x:c r="E14" s="36" t="str">
        <x:v>不等于审批通过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18" hidden="0" customWidth="1"/>
    <x:col min="4" max="4" width="24" hidden="0" customWidth="1"/>
    <x:col min="5" max="5" width="30" hidden="0" customWidth="1"/>
    <x:col min="6" max="6" width="62" hidden="0" customWidth="1"/>
  </x:cols>
  <x:sheetData>
    <x:row r="1" ht="32" customHeight="1">
      <x:c r="A1" s="3" t="str">
        <x:v>内部授信、用信及历史融资（模拟）</x:v>
      </x:c>
      <x:c r="B1" s="3" t="str">
        <x:v>内部授信、用信及历史融资（模拟）</x:v>
      </x:c>
      <x:c r="C1" s="3" t="str">
        <x:v>内部授信、用信及历史融资（模拟）</x:v>
      </x:c>
      <x:c r="D1" s="3" t="str">
        <x:v>内部授信、用信及历史融资（模拟）</x:v>
      </x:c>
      <x:c r="E1" s="3" t="str">
        <x:v>内部授信、用信及历史融资（模拟）</x:v>
      </x:c>
      <x:c r="F1" s="3" t="str">
        <x:v>内部授信、用信及历史融资（模拟）</x:v>
      </x:c>
    </x:row>
    <x:row r="3" ht="28" customHeight="1">
      <x:c r="A3" s="8" t="str">
        <x:v>项目</x:v>
      </x:c>
      <x:c r="B3" s="8" t="str">
        <x:v>金额</x:v>
      </x:c>
      <x:c r="C3" s="8" t="str">
        <x:v>单位</x:v>
      </x:c>
      <x:c r="D3" s="8" t="str">
        <x:v>时点</x:v>
      </x:c>
      <x:c r="E3" s="8" t="str">
        <x:v>来源节点</x:v>
      </x:c>
      <x:c r="F3" s="8" t="str">
        <x:v>说明</x:v>
      </x:c>
    </x:row>
    <x:row r="4">
      <x:c r="A4" s="28" t="str">
        <x:v>内部批准额度</x:v>
      </x:c>
      <x:c r="B4" s="39" t="n">
        <x:v>300000</x:v>
      </x:c>
      <x:c r="C4" s="29" t="str">
        <x:v>万元</x:v>
      </x:c>
      <x:c r="D4" s="29" t="str">
        <x:v>2026-08-14</x:v>
      </x:c>
      <x:c r="E4" s="29" t="str">
        <x:v>SIM_INTERNAL_CREDIT</x:v>
      </x:c>
      <x:c r="F4" s="30" t="str">
        <x:v>演示内部额度</x:v>
      </x:c>
    </x:row>
    <x:row r="5">
      <x:c r="A5" s="31" t="str">
        <x:v>已用额度</x:v>
      </x:c>
      <x:c r="B5" s="38" t="n">
        <x:v>120000</x:v>
      </x:c>
      <x:c r="C5" s="32" t="str">
        <x:v>万元</x:v>
      </x:c>
      <x:c r="D5" s="32" t="str">
        <x:v>2026-08-14</x:v>
      </x:c>
      <x:c r="E5" s="32" t="str">
        <x:v>SIM_INTERNAL_CREDIT</x:v>
      </x:c>
      <x:c r="F5" s="33" t="str">
        <x:v>演示用信余额</x:v>
      </x:c>
    </x:row>
    <x:row r="6">
      <x:c r="A6" s="31" t="str">
        <x:v>可用额度</x:v>
      </x:c>
      <x:c r="B6" s="38" t="n">
        <x:f>B4-B5</x:f>
        <x:v>180000</x:v>
      </x:c>
      <x:c r="C6" s="32" t="str">
        <x:v>万元</x:v>
      </x:c>
      <x:c r="D6" s="32" t="str">
        <x:v>2026-08-14</x:v>
      </x:c>
      <x:c r="E6" s="32" t="str">
        <x:v>SIM_INTERNAL_CREDIT</x:v>
      </x:c>
      <x:c r="F6" s="33" t="str">
        <x:v>批准额度-已用额度</x:v>
      </x:c>
    </x:row>
    <x:row r="7">
      <x:c r="A7" s="31" t="str">
        <x:v>现有流动资金贷款</x:v>
      </x:c>
      <x:c r="B7" s="38" t="n">
        <x:v>0</x:v>
      </x:c>
      <x:c r="C7" s="32" t="str">
        <x:v>万元</x:v>
      </x:c>
      <x:c r="D7" s="32" t="str">
        <x:v>2026-08-14</x:v>
      </x:c>
      <x:c r="E7" s="32" t="str">
        <x:v>SIM_LOAN_LEDGER</x:v>
      </x:c>
      <x:c r="F7" s="33" t="str">
        <x:v>与权威示例一致暂按0；真实业务须由客户与财务公司审批核定</x:v>
      </x:c>
    </x:row>
    <x:row r="8">
      <x:c r="A8" s="31" t="str">
        <x:v>其他渠道营运资金</x:v>
      </x:c>
      <x:c r="B8" s="38" t="n">
        <x:v>0</x:v>
      </x:c>
      <x:c r="C8" s="32" t="str">
        <x:v>万元</x:v>
      </x:c>
      <x:c r="D8" s="32" t="str">
        <x:v>2026-08-14</x:v>
      </x:c>
      <x:c r="E8" s="32" t="str">
        <x:v>SIM_LOAN_LEDGER</x:v>
      </x:c>
      <x:c r="F8" s="33" t="str">
        <x:v>与权威示例一致暂按0；真实业务须由客户与财务公司审批核定</x:v>
      </x:c>
    </x:row>
    <x:row r="9">
      <x:c r="A9" s="34" t="str">
        <x:v>本次申请</x:v>
      </x:c>
      <x:c r="B9" s="40" t="n">
        <x:v>100000</x:v>
      </x:c>
      <x:c r="C9" s="35" t="str">
        <x:v>万元</x:v>
      </x:c>
      <x:c r="D9" s="35" t="str">
        <x:v>2026-08-15</x:v>
      </x:c>
      <x:c r="E9" s="35" t="str">
        <x:v>SIM_LOAN_APPLICATION</x:v>
      </x:c>
      <x:c r="F9" s="36" t="str">
        <x:v>未审批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  <x:col min="3" max="3" width="30" hidden="0" customWidth="1"/>
    <x:col min="4" max="4" width="28" hidden="0" customWidth="1"/>
    <x:col min="5" max="5" width="66" hidden="0" customWidth="1"/>
  </x:cols>
  <x:sheetData>
    <x:row r="1" ht="32" customHeight="1">
      <x:c r="A1" s="3" t="str">
        <x:v>征信摘要与内部评级（模拟）</x:v>
      </x:c>
      <x:c r="B1" s="3" t="str">
        <x:v>征信摘要与内部评级（模拟）</x:v>
      </x:c>
      <x:c r="C1" s="3" t="str">
        <x:v>征信摘要与内部评级（模拟）</x:v>
      </x:c>
      <x:c r="D1" s="3" t="str">
        <x:v>征信摘要与内部评级（模拟）</x:v>
      </x:c>
      <x:c r="E1" s="3" t="str">
        <x:v>征信摘要与内部评级（模拟）</x:v>
      </x:c>
    </x:row>
    <x:row r="3" ht="28" customHeight="1">
      <x:c r="A3" s="8" t="str">
        <x:v>项目</x:v>
      </x:c>
      <x:c r="B3" s="8" t="str">
        <x:v>值</x:v>
      </x:c>
      <x:c r="C3" s="8" t="str">
        <x:v>时点/有效期</x:v>
      </x:c>
      <x:c r="D3" s="8" t="str">
        <x:v>来源节点</x:v>
      </x:c>
      <x:c r="E3" s="8" t="str">
        <x:v>解释边界</x:v>
      </x:c>
    </x:row>
    <x:row r="4">
      <x:c r="A4" s="28" t="str">
        <x:v>征信截至日</x:v>
      </x:c>
      <x:c r="B4" s="29" t="str">
        <x:v>2026-08-14</x:v>
      </x:c>
      <x:c r="C4" s="29" t="str">
        <x:v>截至日</x:v>
      </x:c>
      <x:c r="D4" s="29" t="str">
        <x:v>SIM_CREDIT_BUREAU</x:v>
      </x:c>
      <x:c r="E4" s="30" t="str">
        <x:v>模拟摘要，生产前必须替换</x:v>
      </x:c>
    </x:row>
    <x:row r="5">
      <x:c r="A5" s="31" t="str">
        <x:v>当前逾期金额</x:v>
      </x:c>
      <x:c r="B5" s="32" t="n">
        <x:v>0</x:v>
      </x:c>
      <x:c r="C5" s="32" t="str">
        <x:v>万元</x:v>
      </x:c>
      <x:c r="D5" s="32" t="str">
        <x:v>SIM_CREDIT_BUREAU</x:v>
      </x:c>
      <x:c r="E5" s="33" t="str">
        <x:v>零逾期不自动等同低风险</x:v>
      </x:c>
    </x:row>
    <x:row r="6">
      <x:c r="A6" s="31" t="str">
        <x:v>24个月90天以上逾期次数</x:v>
      </x:c>
      <x:c r="B6" s="32" t="n">
        <x:v>0</x:v>
      </x:c>
      <x:c r="C6" s="32" t="str">
        <x:v>次</x:v>
      </x:c>
      <x:c r="D6" s="32" t="str">
        <x:v>SIM_CREDIT_BUREAU</x:v>
      </x:c>
      <x:c r="E6" s="33" t="str">
        <x:v>仅为模拟原始记录</x:v>
      </x:c>
    </x:row>
    <x:row r="7">
      <x:c r="A7" s="31" t="str">
        <x:v>重大不良记录</x:v>
      </x:c>
      <x:c r="B7" s="32" t="str">
        <x:v>NONE_REPORTED</x:v>
      </x:c>
      <x:c r="C7" s="32" t="str">
        <x:v>截至2026-08-14</x:v>
      </x:c>
      <x:c r="D7" s="32" t="str">
        <x:v>SIM_CREDIT_BUREAU</x:v>
      </x:c>
      <x:c r="E7" s="33" t="str">
        <x:v>须由人工判断</x:v>
      </x:c>
    </x:row>
    <x:row r="8">
      <x:c r="A8" s="31" t="str">
        <x:v>内部评级</x:v>
      </x:c>
      <x:c r="B8" s="32" t="str">
        <x:v>AA+</x:v>
      </x:c>
      <x:c r="C8" s="32" t="str">
        <x:v>2026-07-01至2027-06-30</x:v>
      </x:c>
      <x:c r="D8" s="32" t="str">
        <x:v>SIM_INTERNAL_RATING</x:v>
      </x:c>
      <x:c r="E8" s="33" t="str">
        <x:v>不得直接形成授信结论</x:v>
      </x:c>
    </x:row>
    <x:row r="9">
      <x:c r="A9" s="34" t="str">
        <x:v>内部评分</x:v>
      </x:c>
      <x:c r="B9" s="35" t="n">
        <x:v>86</x:v>
      </x:c>
      <x:c r="C9" s="35" t="str">
        <x:v>分</x:v>
      </x:c>
      <x:c r="D9" s="35" t="str">
        <x:v>SIM_INTERNAL_RATING</x:v>
      </x:c>
      <x:c r="E9" s="36" t="str">
        <x:v>演示输入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48" hidden="0" customWidth="1"/>
    <x:col min="3" max="3" width="24" hidden="0" customWidth="1"/>
    <x:col min="4" max="4" width="28" hidden="0" customWidth="1"/>
    <x:col min="5" max="5" width="64" hidden="0" customWidth="1"/>
  </x:cols>
  <x:sheetData>
    <x:row r="1" ht="32" customHeight="1">
      <x:c r="A1" s="3" t="str">
        <x:v>用途合同与还款计划（模拟）</x:v>
      </x:c>
      <x:c r="B1" s="3" t="str">
        <x:v>用途合同与还款计划（模拟）</x:v>
      </x:c>
      <x:c r="C1" s="3" t="str">
        <x:v>用途合同与还款计划（模拟）</x:v>
      </x:c>
      <x:c r="D1" s="3" t="str">
        <x:v>用途合同与还款计划（模拟）</x:v>
      </x:c>
      <x:c r="E1" s="3" t="str">
        <x:v>用途合同与还款计划（模拟）</x:v>
      </x:c>
    </x:row>
    <x:row r="3" ht="28" customHeight="1">
      <x:c r="A3" s="8" t="str">
        <x:v>项目</x:v>
      </x:c>
      <x:c r="B3" s="8" t="str">
        <x:v>值</x:v>
      </x:c>
      <x:c r="C3" s="8" t="str">
        <x:v>单位/方式</x:v>
      </x:c>
      <x:c r="D3" s="8" t="str">
        <x:v>来源节点</x:v>
      </x:c>
      <x:c r="E3" s="8" t="str">
        <x:v>核验说明</x:v>
      </x:c>
    </x:row>
    <x:row r="4">
      <x:c r="A4" s="28" t="str">
        <x:v>合格用途合同金额</x:v>
      </x:c>
      <x:c r="B4" s="39" t="n">
        <x:v>120000</x:v>
      </x:c>
      <x:c r="C4" s="29" t="str">
        <x:v>万元</x:v>
      </x:c>
      <x:c r="D4" s="29" t="str">
        <x:v>SIM_PURPOSE_CONTRACT</x:v>
      </x:c>
      <x:c r="E4" s="30" t="str">
        <x:v>覆盖申请金额</x:v>
      </x:c>
    </x:row>
    <x:row r="5">
      <x:c r="A5" s="31" t="str">
        <x:v>申请金额</x:v>
      </x:c>
      <x:c r="B5" s="38" t="n">
        <x:v>100000</x:v>
      </x:c>
      <x:c r="C5" s="32" t="str">
        <x:v>万元</x:v>
      </x:c>
      <x:c r="D5" s="32" t="str">
        <x:v>SIM_LOAN_APPLICATION</x:v>
      </x:c>
      <x:c r="E5" s="33" t="str">
        <x:v>与申请一致</x:v>
      </x:c>
    </x:row>
    <x:row r="6">
      <x:c r="A6" s="31" t="str">
        <x:v>合同覆盖率</x:v>
      </x:c>
      <x:c r="B6" s="41" t="n">
        <x:f>B4/B5</x:f>
        <x:v>1.2</x:v>
      </x:c>
      <x:c r="C6" s="32" t="str">
        <x:v>%</x:v>
      </x:c>
      <x:c r="D6" s="32" t="str">
        <x:v>确定性公式</x:v>
      </x:c>
      <x:c r="E6" s="33" t="str">
        <x:v>合同金额/申请金额</x:v>
      </x:c>
    </x:row>
    <x:row r="7">
      <x:c r="A7" s="31" t="str">
        <x:v>合同用途</x:v>
      </x:c>
      <x:c r="B7" s="32" t="str">
        <x:v>核燃料、备品备件及运维服务采购</x:v>
      </x:c>
      <x:c r="C7" s="32" t="str">
        <x:v>文本</x:v>
      </x:c>
      <x:c r="D7" s="32" t="str">
        <x:v>SIM_PURPOSE_CONTRACT</x:v>
      </x:c>
      <x:c r="E7" s="33" t="str">
        <x:v>与贷款用途一致</x:v>
      </x:c>
    </x:row>
    <x:row r="8">
      <x:c r="A8" s="31" t="str">
        <x:v>本金偿还</x:v>
      </x:c>
      <x:c r="B8" s="32" t="str">
        <x:v>到期一次还本</x:v>
      </x:c>
      <x:c r="C8" s="32" t="str">
        <x:v>BULLET_AT_MATURITY</x:v>
      </x:c>
      <x:c r="D8" s="32" t="str">
        <x:v>SIM_REPAYMENT_PLAN</x:v>
      </x:c>
      <x:c r="E8" s="33" t="str">
        <x:v>期限12个月</x:v>
      </x:c>
    </x:row>
    <x:row r="9">
      <x:c r="A9" s="31" t="str">
        <x:v>付息频率</x:v>
      </x:c>
      <x:c r="B9" s="32" t="str">
        <x:v>按季付息</x:v>
      </x:c>
      <x:c r="C9" s="32" t="str">
        <x:v>QUARTERLY</x:v>
      </x:c>
      <x:c r="D9" s="32" t="str">
        <x:v>SIM_REPAYMENT_PLAN</x:v>
      </x:c>
      <x:c r="E9" s="33" t="str">
        <x:v>演示条件</x:v>
      </x:c>
    </x:row>
    <x:row r="10">
      <x:c r="A10" s="31" t="str">
        <x:v>主要还款来源</x:v>
      </x:c>
      <x:c r="B10" s="32" t="str">
        <x:v>核电运营收入和经营活动现金流</x:v>
      </x:c>
      <x:c r="C10" s="32" t="str">
        <x:v>文本</x:v>
      </x:c>
      <x:c r="D10" s="32" t="str">
        <x:v>SIM_REPAYMENT_PLAN</x:v>
      </x:c>
      <x:c r="E10" s="33" t="str">
        <x:v>是否充分由人工判断</x:v>
      </x:c>
    </x:row>
    <x:row r="11">
      <x:c r="A11" s="34" t="str">
        <x:v>保证人/抵质押物</x:v>
      </x:c>
      <x:c r="B11" s="35" t="str">
        <x:v>NOT_APPLICABLE</x:v>
      </x:c>
      <x:c r="C11" s="35" t="str">
        <x:v>枚举</x:v>
      </x:c>
      <x:c r="D11" s="35" t="str">
        <x:v>SIM_LOAN_APPLICATION</x:v>
      </x:c>
      <x:c r="E11" s="36" t="str">
        <x:v>信用贷款</x:v>
      </x:c>
    </x:row>
  </x:sheetData>
  <x:mergeCells>
    <x:mergeCell ref="A1:E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8" hidden="0" customWidth="1"/>
    <x:col min="3" max="3" width="24" hidden="0" customWidth="1"/>
    <x:col min="4" max="4" width="28" hidden="0" customWidth="1"/>
    <x:col min="5" max="5" width="60" hidden="0" customWidth="1"/>
  </x:cols>
  <x:sheetData>
    <x:row r="1" ht="32" customHeight="1">
      <x:c r="A1" s="3" t="str">
        <x:v>现场调查与资料核对（模拟）</x:v>
      </x:c>
      <x:c r="B1" s="3" t="str">
        <x:v>现场调查与资料核对（模拟）</x:v>
      </x:c>
      <x:c r="C1" s="3" t="str">
        <x:v>现场调查与资料核对（模拟）</x:v>
      </x:c>
      <x:c r="D1" s="3" t="str">
        <x:v>现场调查与资料核对（模拟）</x:v>
      </x:c>
      <x:c r="E1" s="3" t="str">
        <x:v>现场调查与资料核对（模拟）</x:v>
      </x:c>
    </x:row>
    <x:row r="3" ht="28" customHeight="1">
      <x:c r="A3" s="8" t="str">
        <x:v>调查项</x:v>
      </x:c>
      <x:c r="B3" s="8" t="str">
        <x:v>观察事实</x:v>
      </x:c>
      <x:c r="C3" s="8" t="str">
        <x:v>状态</x:v>
      </x:c>
      <x:c r="D3" s="8" t="str">
        <x:v>来源节点</x:v>
      </x:c>
      <x:c r="E3" s="8" t="str">
        <x:v>人工边界</x:v>
      </x:c>
    </x:row>
    <x:row r="4">
      <x:c r="A4" s="28" t="str">
        <x:v>调查日期</x:v>
      </x:c>
      <x:c r="B4" s="29" t="str">
        <x:v>2026-08-12</x:v>
      </x:c>
      <x:c r="C4" s="29" t="str">
        <x:v>COMPLETED</x:v>
      </x:c>
      <x:c r="D4" s="29" t="str">
        <x:v>SIM_SITE_SURVEY</x:v>
      </x:c>
      <x:c r="E4" s="30" t="str">
        <x:v>由调查经办人工确认</x:v>
      </x:c>
    </x:row>
    <x:row r="5">
      <x:c r="A5" s="31" t="str">
        <x:v>主体一致性</x:v>
      </x:c>
      <x:c r="B5" s="32" t="str">
        <x:v>主体与主要经营场所未见明显冲突</x:v>
      </x:c>
      <x:c r="C5" s="32" t="str">
        <x:v>NO_CONFLICT_FOUND</x:v>
      </x:c>
      <x:c r="D5" s="32" t="str">
        <x:v>SIM_SITE_SURVEY</x:v>
      </x:c>
      <x:c r="E5" s="33" t="str">
        <x:v>不得替代工商核验</x:v>
      </x:c>
    </x:row>
    <x:row r="6">
      <x:c r="A6" s="31" t="str">
        <x:v>用途资料</x:v>
      </x:c>
      <x:c r="B6" s="32" t="str">
        <x:v>用途合同金额覆盖申请金额</x:v>
      </x:c>
      <x:c r="C6" s="32" t="str">
        <x:v>VERIFIED</x:v>
      </x:c>
      <x:c r="D6" s="32" t="str">
        <x:v>SIM_SITE_SURVEY</x:v>
      </x:c>
      <x:c r="E6" s="33" t="str">
        <x:v>支付前仍需复核</x:v>
      </x:c>
    </x:row>
    <x:row r="7">
      <x:c r="A7" s="31" t="str">
        <x:v>财务资料</x:v>
      </x:c>
      <x:c r="B7" s="32" t="str">
        <x:v>未另行上传模拟财务报表</x:v>
      </x:c>
      <x:c r="C7" s="32" t="str">
        <x:v>PASS</x:v>
      </x:c>
      <x:c r="D7" s="32" t="str">
        <x:v>NO_DUPLICATE_FINANCIAL_UPLOAD</x:v>
      </x:c>
      <x:c r="E7" s="33" t="str">
        <x:v>财务事实来自年报数据资产</x:v>
      </x:c>
    </x:row>
    <x:row r="8">
      <x:c r="A8" s="31" t="str">
        <x:v>担保/抵质押</x:v>
      </x:c>
      <x:c r="B8" s="32" t="str">
        <x:v>NOT_APPLICABLE</x:v>
      </x:c>
      <x:c r="C8" s="32" t="str">
        <x:v>N/A</x:v>
      </x:c>
      <x:c r="D8" s="32" t="str">
        <x:v>SIM_SITE_SURVEY</x:v>
      </x:c>
      <x:c r="E8" s="33" t="str">
        <x:v>不得生成担保物评价</x:v>
      </x:c>
    </x:row>
    <x:row r="9">
      <x:c r="A9" s="34" t="str">
        <x:v>调查意见状态</x:v>
      </x:c>
      <x:c r="B9" s="35" t="str">
        <x:v>HUMAN_CONFIRMED</x:v>
      </x:c>
      <x:c r="C9" s="35" t="str">
        <x:v>CONFIRMED</x:v>
      </x:c>
      <x:c r="D9" s="35" t="str">
        <x:v>HUMAN_INVESTIGATION_OPINION</x:v>
      </x:c>
      <x:c r="E9" s="36" t="str">
        <x:v>Agent不得替代</x:v>
      </x:c>
    </x:row>
  </x:sheetData>
  <x:mergeCells>
    <x:mergeCell ref="A1:E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70" hidden="0" customWidth="1"/>
    <x:col min="4" max="4" width="24" hidden="0" customWidth="1"/>
    <x:col min="5" max="5" width="32" hidden="0" customWidth="1"/>
  </x:cols>
  <x:sheetData>
    <x:row r="1" ht="32" customHeight="1">
      <x:c r="A1" s="3" t="str">
        <x:v>人工调查意见、风险判断、复核授权与授信结论</x:v>
      </x:c>
      <x:c r="B1" s="3" t="str">
        <x:v>人工调查意见、风险判断、复核授权与授信结论</x:v>
      </x:c>
      <x:c r="C1" s="3" t="str">
        <x:v>人工调查意见、风险判断、复核授权与授信结论</x:v>
      </x:c>
      <x:c r="D1" s="3" t="str">
        <x:v>人工调查意见、风险判断、复核授权与授信结论</x:v>
      </x:c>
      <x:c r="E1" s="3" t="str">
        <x:v>人工调查意见、风险判断、复核授权与授信结论</x:v>
      </x:c>
    </x:row>
    <x:row r="3" ht="28" customHeight="1">
      <x:c r="A3" s="8" t="str">
        <x:v>责任角色</x:v>
      </x:c>
      <x:c r="B3" s="8" t="str">
        <x:v>状态</x:v>
      </x:c>
      <x:c r="C3" s="8" t="str">
        <x:v>人工输入范围</x:v>
      </x:c>
      <x:c r="D3" s="8" t="str">
        <x:v>日期</x:v>
      </x:c>
      <x:c r="E3" s="8" t="str">
        <x:v>证据ID</x:v>
      </x:c>
    </x:row>
    <x:row r="4">
      <x:c r="A4" s="28" t="str">
        <x:v>调查经办</x:v>
      </x:c>
      <x:c r="B4" s="29" t="str">
        <x:v>CONFIRMED</x:v>
      </x:c>
      <x:c r="C4" s="29" t="str">
        <x:v>现场观察、资料一致性和调查意见</x:v>
      </x:c>
      <x:c r="D4" s="29" t="str">
        <x:v>2026-08-15</x:v>
      </x:c>
      <x:c r="E4" s="30" t="str">
        <x:v>HUM-INV-V2-001</x:v>
      </x:c>
    </x:row>
    <x:row r="5">
      <x:c r="A5" s="31" t="str">
        <x:v>数据/口径批准人</x:v>
      </x:c>
      <x:c r="B5" s="32" t="str">
        <x:v>CONFIRMED</x:v>
      </x:c>
      <x:c r="C5" s="32" t="str">
        <x:v>财务期间、重述口径、单位及资金需求输入</x:v>
      </x:c>
      <x:c r="D5" s="32" t="str">
        <x:v>2026-08-15</x:v>
      </x:c>
      <x:c r="E5" s="33" t="str">
        <x:v>HUM-DATA-V2-001</x:v>
      </x:c>
    </x:row>
    <x:row r="6">
      <x:c r="A6" s="31" t="str">
        <x:v>风险复核人</x:v>
      </x:c>
      <x:c r="B6" s="32" t="str">
        <x:v>CONFIRMED</x:v>
      </x:c>
      <x:c r="C6" s="32" t="str">
        <x:v>风险主题、风险可控性和缓释措施</x:v>
      </x:c>
      <x:c r="D6" s="32" t="str">
        <x:v>2026-08-15</x:v>
      </x:c>
      <x:c r="E6" s="33" t="str">
        <x:v>HUM-RISK-V2-001</x:v>
      </x:c>
    </x:row>
    <x:row r="7">
      <x:c r="A7" s="31" t="str">
        <x:v>有权审批人</x:v>
      </x:c>
      <x:c r="B7" s="32" t="str">
        <x:v>CONFIRMED</x:v>
      </x:c>
      <x:c r="C7" s="32" t="str">
        <x:v>最终授信决定、额度、利率和条件</x:v>
      </x:c>
      <x:c r="D7" s="32" t="str">
        <x:v>2026-08-15</x:v>
      </x:c>
      <x:c r="E7" s="33" t="str">
        <x:v>HUM-APR-V2-001</x:v>
      </x:c>
    </x:row>
    <x:row r="8">
      <x:c r="A8" s="31" t="str">
        <x:v>报告复核发布人</x:v>
      </x:c>
      <x:c r="B8" s="32" t="str">
        <x:v>CONFIRMED</x:v>
      </x:c>
      <x:c r="C8" s="32" t="str">
        <x:v>确定性核验通过后的发布授权</x:v>
      </x:c>
      <x:c r="D8" s="32" t="str">
        <x:v>2026-08-15</x:v>
      </x:c>
      <x:c r="E8" s="33" t="str">
        <x:v>HUM-PUB-V2-001</x:v>
      </x:c>
    </x:row>
    <x:row r="9">
      <x:c r="A9" s="31" t="str">
        <x:v>Agent</x:v>
      </x:c>
      <x:c r="B9" s="32" t="str">
        <x:v>NOT_AUTHORIZED</x:v>
      </x:c>
      <x:c r="C9" s="32" t="str">
        <x:v>仅组织固定证据包中的分析文字</x:v>
      </x:c>
      <x:c r="D9" s="32" t="str">
        <x:v>2026-08-15</x:v>
      </x:c>
      <x:c r="E9" s="33" t="str">
        <x:v>BOUNDARY-M05-V2</x:v>
      </x:c>
    </x:row>
    <x:row r="10">
      <x:c r="A10" s="34" t="str">
        <x:v>报告助手</x:v>
      </x:c>
      <x:c r="B10" s="35" t="str">
        <x:v>NOT_AUTHORIZED</x:v>
      </x:c>
      <x:c r="C10" s="35" t="str">
        <x:v>不得发布、改本体、切T019、执行Action或创建待办</x:v>
      </x:c>
      <x:c r="D10" s="35" t="str">
        <x:v>2026-08-15</x:v>
      </x:c>
      <x:c r="E10" s="36" t="str">
        <x:v>BOUNDARY-M06-V2</x:v>
      </x:c>
    </x:row>
  </x:sheetData>
  <x:mergeCells>
    <x:mergeCell ref="A1:E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62" hidden="0" customWidth="1"/>
    <x:col min="4" max="4" width="66" hidden="0" customWidth="1"/>
    <x:col min="5" max="5" width="34" hidden="0" customWidth="1"/>
  </x:cols>
  <x:sheetData>
    <x:row r="1" ht="32" customHeight="1">
      <x:c r="A1" s="3" t="str">
        <x:v>数据质量、缺失、冲突、过期与不可核验状态</x:v>
      </x:c>
      <x:c r="B1" s="3" t="str">
        <x:v>数据质量、缺失、冲突、过期与不可核验状态</x:v>
      </x:c>
      <x:c r="C1" s="3" t="str">
        <x:v>数据质量、缺失、冲突、过期与不可核验状态</x:v>
      </x:c>
      <x:c r="D1" s="3" t="str">
        <x:v>数据质量、缺失、冲突、过期与不可核验状态</x:v>
      </x:c>
      <x:c r="E1" s="3" t="str">
        <x:v>数据质量、缺失、冲突、过期与不可核验状态</x:v>
      </x:c>
    </x:row>
    <x:row r="3" ht="28" customHeight="1">
      <x:c r="A3" s="8" t="str">
        <x:v>质量代码</x:v>
      </x:c>
      <x:c r="B3" s="8" t="str">
        <x:v>严重度</x:v>
      </x:c>
      <x:c r="C3" s="8" t="str">
        <x:v>问题</x:v>
      </x:c>
      <x:c r="D3" s="8" t="str">
        <x:v>处置</x:v>
      </x:c>
      <x:c r="E3" s="8" t="str">
        <x:v>发布影响</x:v>
      </x:c>
    </x:row>
    <x:row r="4">
      <x:c r="A4" s="28" t="str">
        <x:v>NO_DUPLICATE_FINANCIAL_UPLOAD</x:v>
      </x:c>
      <x:c r="B4" s="29" t="str">
        <x:v>PASS</x:v>
      </x:c>
      <x:c r="C4" s="29" t="str">
        <x:v>工作簿未复制年报财务报表明细</x:v>
      </x:c>
      <x:c r="D4" s="29" t="str">
        <x:v>财务事实经M02快照、Published本体和C008消费</x:v>
      </x:c>
      <x:c r="E4" s="30" t="str">
        <x:v>通过</x:v>
      </x:c>
    </x:row>
    <x:row r="5">
      <x:c r="A5" s="31" t="str">
        <x:v>SYNTHETIC_INTERNAL_DATA</x:v>
      </x:c>
      <x:c r="B5" s="32" t="str">
        <x:v>WARNING</x:v>
      </x:c>
      <x:c r="C5" s="32" t="str">
        <x:v>成员、申请、内部授信、征信、评级、用途、还款和现场调查均为演示合成</x:v>
      </x:c>
      <x:c r="D5" s="32" t="str">
        <x:v>全量标记synthetic-demo，生产前替换</x:v>
      </x:c>
      <x:c r="E5" s="33" t="str">
        <x:v>仅允许演示发布</x:v>
      </x:c>
    </x:row>
    <x:row r="6">
      <x:c r="A6" s="31" t="str">
        <x:v>MIXED_RESTATEMENT_SCOPE</x:v>
      </x:c>
      <x:c r="B6" s="32" t="str">
        <x:v>WARNING</x:v>
      </x:c>
      <x:c r="C6" s="32" t="str">
        <x:v>样例三年数据包含2023原始口径和2024重述口径</x:v>
      </x:c>
      <x:c r="D6" s="32" t="str">
        <x:v>报告逐期展示并标记重述，不静默混算</x:v>
      </x:c>
      <x:c r="E6" s="33" t="str">
        <x:v>需人工口径确认</x:v>
      </x:c>
    </x:row>
    <x:row r="7">
      <x:c r="A7" s="31" t="str">
        <x:v>MISSING_EXTERNAL_SOURCE_FILES</x:v>
      </x:c>
      <x:c r="B7" s="32" t="str">
        <x:v>WARNING</x:v>
      </x:c>
      <x:c r="C7" s="32" t="str">
        <x:v>评级、政策、行业和部分公告未提供实体文件</x:v>
      </x:c>
      <x:c r="D7" s="32" t="str">
        <x:v>作为模拟外部来源节点并明确标识，不冒充official-public附件</x:v>
      </x:c>
      <x:c r="E7" s="33" t="str">
        <x:v>仅允许演示发布</x:v>
      </x:c>
    </x:row>
    <x:row r="8">
      <x:c r="A8" s="31" t="str">
        <x:v>GUARANTEE_COLLATERAL_NA</x:v>
      </x:c>
      <x:c r="B8" s="32" t="str">
        <x:v>PASS</x:v>
      </x:c>
      <x:c r="C8" s="32" t="str">
        <x:v>信用贷款无保证和抵质押</x:v>
      </x:c>
      <x:c r="D8" s="32" t="str">
        <x:v>显式NOT_APPLICABLE</x:v>
      </x:c>
      <x:c r="E8" s="33" t="str">
        <x:v>通过</x:v>
      </x:c>
    </x:row>
    <x:row r="9">
      <x:c r="A9" s="34" t="str">
        <x:v>DATA_CUTOFF</x:v>
      </x:c>
      <x:c r="B9" s="35" t="str">
        <x:v>PASS</x:v>
      </x:c>
      <x:c r="C9" s="35" t="str">
        <x:v>财务截至2025-12-31，模拟内部资料截至2026-08-15</x:v>
      </x:c>
      <x:c r="D9" s="35" t="str">
        <x:v>证据包锁定时点</x:v>
      </x:c>
      <x:c r="E9" s="36" t="str">
        <x:v>通过</x:v>
      </x:c>
    </x:row>
  </x:sheetData>
  <x:mergeCells>
    <x:mergeCell ref="A1:E1"/>
  </x:mergeCells>
  <x:conditionalFormatting sqref="B4:B9">
    <x:cfRule type="containsText" dxfId="0" priority="1" operator="containsText" text="PASS"/>
    <x:cfRule type="containsText" dxfId="1" priority="2" operator="containsText" text="WARNING"/>
    <x:cfRule type="containsText" dxfId="2" priority="3" operator="containsText" text="FAIL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0" hidden="0" customWidth="1"/>
    <x:col min="3" max="3" width="28" hidden="0" customWidth="1"/>
    <x:col min="4" max="4" width="72" hidden="0" customWidth="1"/>
  </x:cols>
  <x:sheetData>
    <x:row r="1" ht="32" customHeight="1">
      <x:c r="A1" s="3" t="str">
        <x:v>MODEL STATUS 与演示数据包控制检查</x:v>
      </x:c>
      <x:c r="B1" s="3" t="str">
        <x:v>MODEL STATUS 与演示数据包控制检查</x:v>
      </x:c>
      <x:c r="C1" s="3" t="str">
        <x:v>MODEL STATUS 与演示数据包控制检查</x:v>
      </x:c>
      <x:c r="D1" s="3" t="str">
        <x:v>MODEL STATUS 与演示数据包控制检查</x:v>
      </x:c>
    </x:row>
    <x:row r="3" ht="28" customHeight="1">
      <x:c r="A3" s="8" t="str">
        <x:v>检查</x:v>
      </x:c>
      <x:c r="B3" s="8" t="str">
        <x:v>结果</x:v>
      </x:c>
      <x:c r="C3" s="8" t="str">
        <x:v>差异/值</x:v>
      </x:c>
      <x:c r="D3" s="8" t="str">
        <x:v>修复位置或说明</x:v>
      </x:c>
    </x:row>
    <x:row r="4">
      <x:c r="A4" s="28" t="str">
        <x:v>MODEL STATUS</x:v>
      </x:c>
      <x:c r="B4" s="29" t="str">
        <x:f>IF(COUNTIF(B5:B12,"FAIL")=0,"PASS","FAIL")</x:f>
        <x:v>PASS</x:v>
      </x:c>
      <x:c r="C4" s="29"/>
      <x:c r="D4" s="30" t="str">
        <x:v>仅表示本工作簿内部控制，不代表授信审批或场景验收</x:v>
      </x:c>
    </x:row>
    <x:row r="5">
      <x:c r="A5" s="31" t="str">
        <x:v>可用额度公式</x:v>
      </x:c>
      <x:c r="B5" s="32" t="str">
        <x:f>IF('内部授信与融资'!B6=180000,"PASS","FAIL")</x:f>
        <x:v>PASS</x:v>
      </x:c>
      <x:c r="C5" s="38" t="n">
        <x:f>'内部授信与融资'!B6</x:f>
        <x:v>180000</x:v>
      </x:c>
      <x:c r="D5" s="33" t="str">
        <x:v>内部授信与融资!B4:B6</x:v>
      </x:c>
    </x:row>
    <x:row r="6">
      <x:c r="A6" s="31" t="str">
        <x:v>用途合同覆盖申请</x:v>
      </x:c>
      <x:c r="B6" s="32" t="str">
        <x:f>IF('用途与还款'!B6&gt;=1,"PASS","FAIL")</x:f>
        <x:v>PASS</x:v>
      </x:c>
      <x:c r="C6" s="41" t="n">
        <x:f>'用途与还款'!B6</x:f>
        <x:v>1.2</x:v>
      </x:c>
      <x:c r="D6" s="33" t="str">
        <x:v>用途与还款!B4:B6</x:v>
      </x:c>
    </x:row>
    <x:row r="7">
      <x:c r="A7" s="31" t="str">
        <x:v>借款人为ACTIVE集团成员</x:v>
      </x:c>
      <x:c r="B7" s="32" t="str">
        <x:v>PASS</x:v>
      </x:c>
      <x:c r="C7" s="32" t="str">
        <x:v>MEM-CGN-003816</x:v>
      </x:c>
      <x:c r="D7" s="33" t="str">
        <x:v>借款人与成员</x:v>
      </x:c>
    </x:row>
    <x:row r="8">
      <x:c r="A8" s="31" t="str">
        <x:v>保证与抵质押显式N/A</x:v>
      </x:c>
      <x:c r="B8" s="32" t="str">
        <x:v>PASS</x:v>
      </x:c>
      <x:c r="C8" s="32" t="str">
        <x:v>NOT_APPLICABLE</x:v>
      </x:c>
      <x:c r="D8" s="33" t="str">
        <x:v>贷款申请</x:v>
      </x:c>
    </x:row>
    <x:row r="9">
      <x:c r="A9" s="31" t="str">
        <x:v>财务报表未重复上传</x:v>
      </x:c>
      <x:c r="B9" s="32" t="str">
        <x:v>PASS</x:v>
      </x:c>
      <x:c r="C9" s="32" t="str">
        <x:v>NO_DUPLICATE_FINANCIAL_UPLOAD</x:v>
      </x:c>
      <x:c r="D9" s="33" t="str">
        <x:v>说明与索引/数据质量</x:v>
      </x:c>
    </x:row>
    <x:row r="10">
      <x:c r="A10" s="31" t="str">
        <x:v>模拟来源均有synthetic-demo标识</x:v>
      </x:c>
      <x:c r="B10" s="32" t="str">
        <x:v>PASS</x:v>
      </x:c>
      <x:c r="C10" s="32" t="str">
        <x:v>9个模拟节点</x:v>
      </x:c>
      <x:c r="D10" s="33" t="str">
        <x:v>来源与版本</x:v>
      </x:c>
    </x:row>
    <x:row r="11">
      <x:c r="A11" s="31" t="str">
        <x:v>最终授信结论为人工输入</x:v>
      </x:c>
      <x:c r="B11" s="32" t="str">
        <x:v>PASS</x:v>
      </x:c>
      <x:c r="C11" s="32" t="str">
        <x:v>HUM-APR-V2-001</x:v>
      </x:c>
      <x:c r="D11" s="33" t="str">
        <x:v>人工输入</x:v>
      </x:c>
    </x:row>
    <x:row r="12">
      <x:c r="A12" s="34" t="str">
        <x:v>DOCX/签章/外报未纳入一期</x:v>
      </x:c>
      <x:c r="B12" s="35" t="str">
        <x:v>PASS</x:v>
      </x:c>
      <x:c r="C12" s="35" t="str">
        <x:v>范围边界</x:v>
      </x:c>
      <x:c r="D12" s="36" t="str">
        <x:v>说明与索引</x:v>
      </x:c>
    </x:row>
  </x:sheetData>
  <x:mergeCells>
    <x:mergeCell ref="A1:D1"/>
  </x:mergeCells>
  <x:conditionalFormatting sqref="B4:B12">
    <x:cfRule type="containsText" dxfId="3" priority="1" operator="containsText" text="PASS"/>
    <x:cfRule type="containsText" dxfId="4" priority="2" operator="containsText" text="WARNING"/>
    <x:cfRule type="containsText" dxfId="5" priority="3" operator="containsText" text="FAIL"/>
  </x:conditionalFormatting>
  <x:pageMargins left="0.7" right="0.7" top="0.75" bottom="0.75" header="0.3" footer="0.3"/>
</x:worksheet>
</file>