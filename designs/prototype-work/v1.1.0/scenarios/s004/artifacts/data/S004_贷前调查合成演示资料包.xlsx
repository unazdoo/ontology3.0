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a4c5c181d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索引" sheetId="1" r:id="R8ab7261d20b643d8"/>
    <x:sheet xmlns:r="http://schemas.openxmlformats.org/officeDocument/2006/relationships" name="来源与版本" sheetId="2" r:id="R286119c68f744c46"/>
    <x:sheet xmlns:r="http://schemas.openxmlformats.org/officeDocument/2006/relationships" name="借款人与成员" sheetId="3" r:id="Rf0d6012ce9d74119"/>
    <x:sheet xmlns:r="http://schemas.openxmlformats.org/officeDocument/2006/relationships" name="贷款申请" sheetId="4" r:id="R90c823950b604ae9"/>
    <x:sheet xmlns:r="http://schemas.openxmlformats.org/officeDocument/2006/relationships" name="财务报表" sheetId="5" r:id="R6375058c10804a76"/>
    <x:sheet xmlns:r="http://schemas.openxmlformats.org/officeDocument/2006/relationships" name="指标与规则" sheetId="6" r:id="Rf2a530f4334348da"/>
    <x:sheet xmlns:r="http://schemas.openxmlformats.org/officeDocument/2006/relationships" name="股权关系" sheetId="7" r:id="R2fb3ed38097d4819"/>
    <x:sheet xmlns:r="http://schemas.openxmlformats.org/officeDocument/2006/relationships" name="内部授信与融资" sheetId="8" r:id="Rccddc6a3d1c44bc5"/>
    <x:sheet xmlns:r="http://schemas.openxmlformats.org/officeDocument/2006/relationships" name="征信与评级" sheetId="9" r:id="R17ce0d7a4bca4301"/>
    <x:sheet xmlns:r="http://schemas.openxmlformats.org/officeDocument/2006/relationships" name="用途合同与还款" sheetId="10" r:id="R494efea70cef4f6f"/>
    <x:sheet xmlns:r="http://schemas.openxmlformats.org/officeDocument/2006/relationships" name="现场调查" sheetId="11" r:id="Rc7fe4f48fb79493e"/>
    <x:sheet xmlns:r="http://schemas.openxmlformats.org/officeDocument/2006/relationships" name="人工意见" sheetId="12" r:id="R17ea6267da5a4d68"/>
    <x:sheet xmlns:r="http://schemas.openxmlformats.org/officeDocument/2006/relationships" name="数据质量" sheetId="13" r:id="R0dca683c0d2c4f35"/>
    <x:sheet xmlns:r="http://schemas.openxmlformats.org/officeDocument/2006/relationships" name="Checks" sheetId="14" r:id="R35be308017f8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"/>
    <x:numFmt numFmtId="202" formatCode="0.00%"/>
    <x:numFmt numFmtId="203" formatCode="#,##0.00;[Red]-#,##0.00"/>
    <x:numFmt numFmtId="204" formatCode="0.00"/>
    <x:numFmt numFmtId="205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35A93"/>
      </x:patternFill>
    </x:fill>
  </x:fills>
  <x:borders count="10">
    <x:border/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bottom style="thin">
        <x:color rgb="FFD8DEE6"/>
      </x:bottom>
    </x:border>
    <x:border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D8DEE6"/>
      </x:left>
      <x:top style="thin">
        <x:color rgb="FFD8DEE6"/>
      </x:top>
      <x:bottom style="thin">
        <x:color rgb="FFD8DEE6"/>
      </x:bottom>
    </x:border>
    <x:border>
      <x:right style="thin">
        <x:color rgb="FFD8DEE6"/>
      </x:right>
      <x:top style="thin">
        <x:color rgb="FFD8DEE6"/>
      </x:top>
    </x:border>
    <x:border>
      <x:left style="thin">
        <x:color rgb="FFD8DEE6"/>
      </x:left>
      <x:right style="thin">
        <x:color rgb="FFD8DEE6"/>
      </x:right>
      <x:top style="thin">
        <x:color rgb="FFD8DEE6"/>
      </x:top>
    </x:border>
    <x:border>
      <x:left style="thin">
        <x:color rgb="FFD8DEE6"/>
      </x:left>
      <x:top style="thin">
        <x:color rgb="FFD8DEE6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1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3" fontId="3" fillId="0" borderId="3" xfId="0" applyNumberFormat="1" applyFont="1" applyFill="1" applyBorder="1" applyAlignment="1">
      <x:alignment vertical="top" wrapText="1"/>
    </x:xf>
    <x:xf numFmtId="203" fontId="3" fillId="0" borderId="1" xfId="0" applyNumberFormat="1" applyFont="1" applyFill="1" applyBorder="1" applyAlignment="1">
      <x:alignment vertical="top" wrapText="1"/>
    </x:xf>
    <x:xf numFmtId="203" fontId="3" fillId="0" borderId="8" xfId="0" applyNumberFormat="1" applyFont="1" applyFill="1" applyBorder="1" applyAlignment="1">
      <x:alignment vertical="top" wrapText="1"/>
    </x:xf>
    <x:xf numFmtId="202" fontId="3" fillId="0" borderId="3" xfId="0" applyNumberFormat="1" applyFont="1" applyFill="1" applyBorder="1" applyAlignment="1">
      <x:alignment vertical="top" wrapText="1"/>
    </x:xf>
    <x:xf numFmtId="204" fontId="3" fillId="0" borderId="1" xfId="0" applyNumberFormat="1" applyFont="1" applyFill="1" applyBorder="1" applyAlignment="1">
      <x:alignment vertical="top" wrapText="1"/>
    </x:xf>
    <x:xf numFmtId="205" fontId="3" fillId="0" borderId="1" xfId="0" applyNumberFormat="1" applyFont="1" applyFill="1" applyBorder="1" applyAlignment="1">
      <x:alignment vertical="top" wrapText="1"/>
    </x:xf>
    <x:xf numFmtId="201" fontId="3" fillId="0" borderId="3" xfId="0" applyNumberFormat="1" applyFont="1" applyFill="1" applyBorder="1" applyAlignment="1">
      <x:alignment vertical="top" wrapText="1"/>
    </x:xf>
    <x:xf numFmtId="201" fontId="3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2E776B"/>
      </x:font>
      <x:fill>
        <x:patternFill patternType="solid">
          <x:bgColor rgb="FFE9F5F2"/>
        </x:patternFill>
      </x:fill>
    </x:dxf>
    <x:dxf>
      <x:font>
        <x:b/>
        <x:color rgb="FFA36317"/>
      </x:font>
      <x:fill>
        <x:patternFill patternType="solid">
          <x:bgColor rgb="FFFFF4E1"/>
        </x:patternFill>
      </x:fill>
    </x:dxf>
    <x:dxf>
      <x:font>
        <x:b/>
        <x:color rgb="FFA13D3D"/>
      </x:font>
      <x:fill>
        <x:patternFill patternType="solid">
          <x:bgColor rgb="FFFCECEC"/>
        </x:patternFill>
      </x:fill>
    </x:dxf>
    <x:dxf>
      <x:font>
        <x:b/>
        <x:color rgb="FF2E776B"/>
      </x:font>
      <x:fill>
        <x:patternFill patternType="solid">
          <x:bgColor rgb="FFE9F5F2"/>
        </x:patternFill>
      </x:fill>
    </x:dxf>
    <x:dxf>
      <x:font>
        <x:b/>
        <x:color rgb="FFA36317"/>
      </x:font>
      <x:fill>
        <x:patternFill patternType="solid">
          <x:bgColor rgb="FFFFF4E1"/>
        </x:patternFill>
      </x:fill>
    </x:dxf>
    <x:dxf>
      <x:font>
        <x:b/>
        <x:color rgb="FFA13D3D"/>
      </x:font>
      <x:fill>
        <x:patternFill patternType="solid">
          <x:bgColor rgb="FFFCECEC"/>
        </x:patternFill>
      </x:fill>
    </x:dxf>
    <x:dxf>
      <x:font>
        <x:b/>
        <x:color rgb="FF2E776B"/>
      </x:font>
      <x:fill>
        <x:patternFill patternType="solid">
          <x:bgColor rgb="FFE9F5F2"/>
        </x:patternFill>
      </x:fill>
    </x:dxf>
    <x:dxf>
      <x:font>
        <x:b/>
        <x:color rgb="FFA36317"/>
      </x:font>
      <x:fill>
        <x:patternFill patternType="solid">
          <x:bgColor rgb="FFFFF4E1"/>
        </x:patternFill>
      </x:fill>
    </x:dxf>
    <x:dxf>
      <x:font>
        <x:b/>
        <x:color rgb="FFA13D3D"/>
      </x:font>
      <x:fill>
        <x:patternFill patternType="solid">
          <x:bgColor rgb="FFFCECEC"/>
        </x:patternFill>
      </x:fill>
    </x:dxf>
    <x:dxf>
      <x:font>
        <x:b/>
        <x:color rgb="FF2E776B"/>
      </x:font>
      <x:fill>
        <x:patternFill patternType="solid">
          <x:bgColor rgb="FFE9F5F2"/>
        </x:patternFill>
      </x:fill>
    </x:dxf>
    <x:dxf>
      <x:font>
        <x:b/>
        <x:color rgb="FFA36317"/>
      </x:font>
      <x:fill>
        <x:patternFill patternType="solid">
          <x:bgColor rgb="FFFFF4E1"/>
        </x:patternFill>
      </x:fill>
    </x:dxf>
    <x:dxf>
      <x:font>
        <x:b/>
        <x:color rgb="FFA13D3D"/>
      </x:font>
      <x:fill>
        <x:patternFill patternType="solid">
          <x:bgColor rgb="FFFC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1b99d490b4fd8" /><Relationship Type="http://schemas.openxmlformats.org/officeDocument/2006/relationships/theme" Target="/xl/theme/theme1.xml" Id="Rdd38f6e3635744de" /><Relationship Type="http://schemas.openxmlformats.org/officeDocument/2006/relationships/sharedStrings" Target="/xl/sharedStrings.xml" Id="R49f16d3caa3b4811" /><Relationship Type="http://schemas.openxmlformats.org/officeDocument/2006/relationships/worksheet" Target="/xl/worksheets/sheet1.xml" Id="R8ab7261d20b643d8" /><Relationship Type="http://schemas.openxmlformats.org/officeDocument/2006/relationships/worksheet" Target="/xl/worksheets/sheet2.xml" Id="R286119c68f744c46" /><Relationship Type="http://schemas.openxmlformats.org/officeDocument/2006/relationships/worksheet" Target="/xl/worksheets/sheet3.xml" Id="Rf0d6012ce9d74119" /><Relationship Type="http://schemas.openxmlformats.org/officeDocument/2006/relationships/worksheet" Target="/xl/worksheets/sheet4.xml" Id="R90c823950b604ae9" /><Relationship Type="http://schemas.openxmlformats.org/officeDocument/2006/relationships/worksheet" Target="/xl/worksheets/sheet5.xml" Id="R6375058c10804a76" /><Relationship Type="http://schemas.openxmlformats.org/officeDocument/2006/relationships/worksheet" Target="/xl/worksheets/sheet6.xml" Id="Rf2a530f4334348da" /><Relationship Type="http://schemas.openxmlformats.org/officeDocument/2006/relationships/worksheet" Target="/xl/worksheets/sheet7.xml" Id="R2fb3ed38097d4819" /><Relationship Type="http://schemas.openxmlformats.org/officeDocument/2006/relationships/worksheet" Target="/xl/worksheets/sheet8.xml" Id="Rccddc6a3d1c44bc5" /><Relationship Type="http://schemas.openxmlformats.org/officeDocument/2006/relationships/worksheet" Target="/xl/worksheets/sheet9.xml" Id="R17ce0d7a4bca4301" /><Relationship Type="http://schemas.openxmlformats.org/officeDocument/2006/relationships/worksheet" Target="/xl/worksheets/sheet10.xml" Id="R494efea70cef4f6f" /><Relationship Type="http://schemas.openxmlformats.org/officeDocument/2006/relationships/worksheet" Target="/xl/worksheets/sheet11.xml" Id="Rc7fe4f48fb79493e" /><Relationship Type="http://schemas.openxmlformats.org/officeDocument/2006/relationships/worksheet" Target="/xl/worksheets/sheet12.xml" Id="R17ea6267da5a4d68" /><Relationship Type="http://schemas.openxmlformats.org/officeDocument/2006/relationships/worksheet" Target="/xl/worksheets/sheet13.xml" Id="R0dca683c0d2c4f35" /><Relationship Type="http://schemas.openxmlformats.org/officeDocument/2006/relationships/worksheet" Target="/xl/worksheets/sheet14.xml" Id="R35be308017f84ff2" /><Relationship Type="http://schemas.microsoft.com/office/2017/10/relationships/person" Target="/xl/persons/person.xml" Id="Rada77756029942c9" /></Relationships>
</file>

<file path=xl/persons/person.xml><?xml version="1.0" encoding="utf-8"?>
<xltc:personList xmlns:xltc="http://schemas.microsoft.com/office/spreadsheetml/2018/threadedcomments">
  <xltc:person displayName="User" id="{3FC7899C-3899-4F30-B196-A607FE7B973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62" hidden="0" customWidth="1"/>
  </x:cols>
  <x:sheetData>
    <x:row r="1" ht="32" customHeight="1">
      <x:c r="A1" s="3" t="str">
        <x:v>S004 财务公司贷款贷前调查 - 合成演示资料包</x:v>
      </x:c>
      <x:c r="B1" s="3" t="str">
        <x:v>S004 财务公司贷款贷前调查 - 合成演示资料包</x:v>
      </x:c>
      <x:c r="C1" s="3" t="str">
        <x:v>S004 财务公司贷款贷前调查 - 合成演示资料包</x:v>
      </x:c>
      <x:c r="D1" s="3" t="str">
        <x:v>S004 财务公司贷款贷前调查 - 合成演示资料包</x:v>
      </x:c>
    </x:row>
    <x:row r="3" ht="28" customHeight="1">
      <x:c r="A3" s="8" t="str">
        <x:v>字段</x:v>
      </x:c>
      <x:c r="B3" s="8" t="str">
        <x:v>值</x:v>
      </x:c>
      <x:c r="C3" s="8" t="str">
        <x:v>分类</x:v>
      </x:c>
      <x:c r="D3" s="8" t="str">
        <x:v>说明</x:v>
      </x:c>
    </x:row>
    <x:row r="4">
      <x:c r="A4" s="28" t="str">
        <x:v>场景</x:v>
      </x:c>
      <x:c r="B4" s="29" t="str">
        <x:v>S004 / S004-v1</x:v>
      </x:c>
      <x:c r="C4" s="29" t="str">
        <x:v>场景身份</x:v>
      </x:c>
      <x:c r="D4" s="30" t="str">
        <x:v>父基线 v1.0.3；独立运行和数据命名空间</x:v>
      </x:c>
    </x:row>
    <x:row r="5">
      <x:c r="A5" s="31" t="str">
        <x:v>业务主体</x:v>
      </x:c>
      <x:c r="B5" s="32" t="str">
        <x:v>集团财务公司（演示）</x:v>
      </x:c>
      <x:c r="C5" s="32" t="str">
        <x:v>synthetic-demo</x:v>
      </x:c>
      <x:c r="D5" s="33" t="str">
        <x:v>正式业务角色为财务公司；不是商业银行</x:v>
      </x:c>
    </x:row>
    <x:row r="6">
      <x:c r="A6" s="31" t="str">
        <x:v>借款人</x:v>
      </x:c>
      <x:c r="B6" s="32" t="str">
        <x:v>中国广核电力股份有限公司</x:v>
      </x:c>
      <x:c r="C6" s="32" t="str">
        <x:v>official-public</x:v>
      </x:c>
      <x:c r="D6" s="33" t="str">
        <x:v>仅限集团成员单位，本演示通过成员名录节点核验</x:v>
      </x:c>
    </x:row>
    <x:row r="7">
      <x:c r="A7" s="31" t="str">
        <x:v>申请</x:v>
      </x:c>
      <x:c r="B7" s="32" t="str">
        <x:v>100,000.00 万元 / 人民币 / 12个月 / 流动资金信用贷款</x:v>
      </x:c>
      <x:c r="C7" s="32" t="str">
        <x:v>synthetic-demo</x:v>
      </x:c>
      <x:c r="D7" s="33" t="str">
        <x:v>保证人与抵质押均为 NOT_APPLICABLE</x:v>
      </x:c>
    </x:row>
    <x:row r="8">
      <x:c r="A8" s="31" t="str">
        <x:v>正式产物</x:v>
      </x:c>
      <x:c r="B8" s="32" t="str">
        <x:v>受控 HTML + 同源 PDF</x:v>
      </x:c>
      <x:c r="C8" s="32" t="str">
        <x:v>范围</x:v>
      </x:c>
      <x:c r="D8" s="33" t="str">
        <x:v>共享报告编号、内容版本、证据链、稳定锚点和发布状态</x:v>
      </x:c>
    </x:row>
    <x:row r="9">
      <x:c r="A9" s="31" t="str">
        <x:v>数据原则</x:v>
      </x:c>
      <x:c r="B9" s="32" t="str">
        <x:v>年报事实不重复模拟上传</x:v>
      </x:c>
      <x:c r="C9" s="32" t="str">
        <x:v>质量边界</x:v>
      </x:c>
      <x:c r="D9" s="33" t="str">
        <x:v>公开年报作为共享资料来源；内部缺口由模拟管道节点补齐</x:v>
      </x:c>
    </x:row>
    <x:row r="10">
      <x:c r="A10" s="31" t="str">
        <x:v>人工边界</x:v>
      </x:c>
      <x:c r="B10" s="32" t="str">
        <x:v>最终授信结论必须人工确认</x:v>
      </x:c>
      <x:c r="C10" s="32" t="str">
        <x:v>human-input</x:v>
      </x:c>
      <x:c r="D10" s="33" t="str">
        <x:v>Agent 不计算、不审批、不发布、不创建 Action Request</x:v>
      </x:c>
    </x:row>
    <x:row r="11">
      <x:c r="A11" s="34" t="str">
        <x:v>演示声明</x:v>
      </x:c>
      <x:c r="B11" s="35" t="str">
        <x:v>仅用于产品原型与合同联调</x:v>
      </x:c>
      <x:c r="C11" s="35" t="str">
        <x:v>限制</x:v>
      </x:c>
      <x:c r="D11" s="36" t="str">
        <x:v>不得作为真实授信调查或信贷决策依据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9" hidden="0" customWidth="1"/>
    <x:col min="4" max="4" width="15" hidden="0" customWidth="1"/>
    <x:col min="5" max="5" width="15" hidden="0" customWidth="1"/>
    <x:col min="6" max="6" width="28" hidden="0" customWidth="1"/>
    <x:col min="7" max="7" width="70" hidden="0" customWidth="1"/>
    <x:col min="8" max="8" width="70" hidden="0" customWidth="1"/>
  </x:cols>
  <x:sheetData>
    <x:row r="1" ht="32" customHeight="1">
      <x:c r="A1" s="3" t="str">
        <x:v>来源、版本与证据登记</x:v>
      </x:c>
      <x:c r="B1" s="3" t="str">
        <x:v>来源、版本与证据登记</x:v>
      </x:c>
      <x:c r="C1" s="3" t="str">
        <x:v>来源、版本与证据登记</x:v>
      </x:c>
      <x:c r="D1" s="3" t="str">
        <x:v>来源、版本与证据登记</x:v>
      </x:c>
      <x:c r="E1" s="3" t="str">
        <x:v>来源、版本与证据登记</x:v>
      </x:c>
      <x:c r="F1" s="3" t="str">
        <x:v>来源、版本与证据登记</x:v>
      </x:c>
      <x:c r="G1" s="3" t="str">
        <x:v>来源、版本与证据登记</x:v>
      </x:c>
      <x:c r="H1" s="3" t="str">
        <x:v>来源、版本与证据登记</x:v>
      </x:c>
    </x:row>
    <x:row r="3" ht="28" customHeight="1">
      <x:c r="A3" s="8" t="str">
        <x:v>来源ID</x:v>
      </x:c>
      <x:c r="B3" s="8" t="str">
        <x:v>资料名称</x:v>
      </x:c>
      <x:c r="C3" s="8" t="str">
        <x:v>来源分类</x:v>
      </x:c>
      <x:c r="D3" s="8" t="str">
        <x:v>期间/时点</x:v>
      </x:c>
      <x:c r="E3" s="8" t="str">
        <x:v>敏感性</x:v>
      </x:c>
      <x:c r="F3" s="8" t="str">
        <x:v>SHA-256</x:v>
      </x:c>
      <x:c r="G3" s="8" t="str">
        <x:v>本地引用</x:v>
      </x:c>
      <x:c r="H3" s="8" t="str">
        <x:v>用途</x:v>
      </x:c>
    </x:row>
    <x:row r="4">
      <x:c r="A4" s="28" t="str">
        <x:v>SRC-AR-2023</x:v>
      </x:c>
      <x:c r="B4" s="29" t="str">
        <x:v>中国广核2023年年度报告</x:v>
      </x:c>
      <x:c r="C4" s="29" t="str">
        <x:v>official-public</x:v>
      </x:c>
      <x:c r="D4" s="29" t="str">
        <x:v>2023年度</x:v>
      </x:c>
      <x:c r="E4" s="29" t="str">
        <x:v>公开</x:v>
      </x:c>
      <x:c r="F4" s="29" t="str">
        <x:v>ad61895a8117b7c9129bb28483816f4f5d60b346245bd3a8a09d5c22e62f5d67</x:v>
      </x:c>
      <x:c r="G4" s="29" t="str">
        <x:v>/Users/domi/Public/Vibecoding/ontology2.0/ai 竞赛资料/贷前调查报告/贷前调查报告skill_20260812/输入材料/中国广核2023年报.pdf</x:v>
      </x:c>
      <x:c r="H4" s="30" t="str">
        <x:v>原始披露参考；跨年趋势受后续重述影响</x:v>
      </x:c>
    </x:row>
    <x:row r="5">
      <x:c r="A5" s="31" t="str">
        <x:v>SRC-AR-2024</x:v>
      </x:c>
      <x:c r="B5" s="32" t="str">
        <x:v>中国广核2024年年度报告</x:v>
      </x:c>
      <x:c r="C5" s="32" t="str">
        <x:v>official-public</x:v>
      </x:c>
      <x:c r="D5" s="32" t="str">
        <x:v>2024年度</x:v>
      </x:c>
      <x:c r="E5" s="32" t="str">
        <x:v>公开</x:v>
      </x:c>
      <x:c r="F5" s="32" t="str">
        <x:v>c379d7a62bb0fb8c0c5ceeba34f1ca9c806ee2ceb1b53bfcbf6c6f22076f9d5e</x:v>
      </x:c>
      <x:c r="G5" s="32" t="str">
        <x:v>/Users/domi/Public/Vibecoding/ontology2.0/ai 竞赛资料/贷前调查报告/贷前调查报告skill_20260812/输入材料/中国广核2024年报.pdf</x:v>
      </x:c>
      <x:c r="H5" s="33" t="str">
        <x:v>原始披露参考；正式比较采用2025年报重述数</x:v>
      </x:c>
    </x:row>
    <x:row r="6">
      <x:c r="A6" s="31" t="str">
        <x:v>SRC-AR-2025</x:v>
      </x:c>
      <x:c r="B6" s="32" t="str">
        <x:v>中国广核2025年年度报告</x:v>
      </x:c>
      <x:c r="C6" s="32" t="str">
        <x:v>official-public</x:v>
      </x:c>
      <x:c r="D6" s="32" t="str">
        <x:v>2025年度/2025-12-31</x:v>
      </x:c>
      <x:c r="E6" s="32" t="str">
        <x:v>公开</x:v>
      </x:c>
      <x:c r="F6" s="32" t="str">
        <x:v>f1ae0b9f53db25faf937d38be0abcee756ea7c8b58c29635aee0335a87904206</x:v>
      </x:c>
      <x:c r="G6" s="32" t="str">
        <x:v>/Users/domi/Public/Vibecoding/ontology2.0/ai 竞赛资料/贷前调查报告/贷前调查报告skill_20260812/输入材料/中国广核2025年报.pdf</x:v>
      </x:c>
      <x:c r="H6" s="33" t="str">
        <x:v>2025事实及2024重述比较期的主要权威来源</x:v>
      </x:c>
    </x:row>
    <x:row r="7">
      <x:c r="A7" s="31" t="str">
        <x:v>SRC-TPL-MD</x:v>
      </x:c>
      <x:c r="B7" s="32" t="str">
        <x:v>中国广核贷前调查报告_新结构v1.md</x:v>
      </x:c>
      <x:c r="C7" s="32" t="str">
        <x:v>report-structure</x:v>
      </x:c>
      <x:c r="D7" s="32" t="str">
        <x:v>2026-08-12</x:v>
      </x:c>
      <x:c r="E7" s="32" t="str">
        <x:v>内部</x:v>
      </x:c>
      <x:c r="F7" s="32" t="str">
        <x:v>a929fa629804ba688b5ed928782ca8b17846a6422d6403ea9e2553c466175ef7</x:v>
      </x:c>
      <x:c r="G7" s="32" t="str">
        <x:v>/Users/domi/Public/Vibecoding/ontology2.0/ai 竞赛资料/贷前调查报告/贷前调查报告skill_20260812/输出报告/中国广核贷前调查报告_新结构v1.md</x:v>
      </x:c>
      <x:c r="H7" s="33" t="str">
        <x:v>仅作为正式报告章节结构，不继承历史授信结论</x:v>
      </x:c>
    </x:row>
    <x:row r="8">
      <x:c r="A8" s="31" t="str">
        <x:v>SRC-TPL-DOCX</x:v>
      </x:c>
      <x:c r="B8" s="32" t="str">
        <x:v>中国广核贷前调查报告_工商信息版.docx</x:v>
      </x:c>
      <x:c r="C8" s="32" t="str">
        <x:v>completed-sample</x:v>
      </x:c>
      <x:c r="D8" s="32" t="str">
        <x:v>2026-08-12</x:v>
      </x:c>
      <x:c r="E8" s="32" t="str">
        <x:v>内部</x:v>
      </x:c>
      <x:c r="F8" s="32" t="str">
        <x:v>dcdaac53d7ec62d8f7f65d5edd4b2932b5cb4d219bdd5e8927d7c3cb292974e1</x:v>
      </x:c>
      <x:c r="G8" s="32" t="str">
        <x:v>/Users/domi/Public/Vibecoding/ontology2.0/ai 竞赛资料/贷前调查报告/贷前调查报告skill_20260812/输出报告/中国广核贷前调查报告_工商信息版.docx</x:v>
      </x:c>
      <x:c r="H8" s="33" t="str">
        <x:v>样本和版式参考；DOCX不纳入一期正式产物</x:v>
      </x:c>
    </x:row>
    <x:row r="9">
      <x:c r="A9" s="34" t="str">
        <x:v>SRC-SIM-BUNDLE</x:v>
      </x:c>
      <x:c r="B9" s="35" t="str">
        <x:v>S004 合成演示内部资料</x:v>
      </x:c>
      <x:c r="C9" s="35" t="str">
        <x:v>synthetic-demo</x:v>
      </x:c>
      <x:c r="D9" s="35" t="str">
        <x:v>2026-08-15</x:v>
      </x:c>
      <x:c r="E9" s="35" t="str">
        <x:v>受控内部</x:v>
      </x:c>
      <x:c r="F9" s="35" t="str">
        <x:v>由场景构建时生成</x:v>
      </x:c>
      <x:c r="G9" s="35" t="str">
        <x:v>本工作簿及场景 JSON</x:v>
      </x:c>
      <x:c r="H9" s="36" t="str">
        <x:v>成员、申请、内部授信、征信、评级、用途、还款、现场调查与人工意见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22" hidden="0" customWidth="1"/>
    <x:col min="4" max="4" width="25" hidden="0" customWidth="1"/>
    <x:col min="5" max="5" width="56" hidden="0" customWidth="1"/>
  </x:cols>
  <x:sheetData>
    <x:row r="1" ht="32" customHeight="1">
      <x:c r="A1" s="3" t="str">
        <x:v>借款人身份与集团成员资格</x:v>
      </x:c>
      <x:c r="B1" s="3" t="str">
        <x:v>借款人身份与集团成员资格</x:v>
      </x:c>
      <x:c r="C1" s="3" t="str">
        <x:v>借款人身份与集团成员资格</x:v>
      </x:c>
      <x:c r="D1" s="3" t="str">
        <x:v>借款人身份与集团成员资格</x:v>
      </x:c>
      <x:c r="E1" s="3" t="str">
        <x:v>借款人身份与集团成员资格</x:v>
      </x:c>
    </x:row>
    <x:row r="3" ht="28" customHeight="1">
      <x:c r="A3" s="8" t="str">
        <x:v>字段</x:v>
      </x:c>
      <x:c r="B3" s="8" t="str">
        <x:v>值</x:v>
      </x:c>
      <x:c r="C3" s="8" t="str">
        <x:v>来源分类</x:v>
      </x:c>
      <x:c r="D3" s="8" t="str">
        <x:v>证据/节点</x:v>
      </x:c>
      <x:c r="E3" s="8" t="str">
        <x:v>质量说明</x:v>
      </x:c>
    </x:row>
    <x:row r="4">
      <x:c r="A4" s="28" t="str">
        <x:v>借款人ID</x:v>
      </x:c>
      <x:c r="B4" s="29" t="str">
        <x:v>BORR-CN-USCC-91440300093677087R</x:v>
      </x:c>
      <x:c r="C4" s="29" t="str">
        <x:v>official-public</x:v>
      </x:c>
      <x:c r="D4" s="29" t="str">
        <x:v>SRC-AR-2025</x:v>
      </x:c>
      <x:c r="E4" s="30" t="str">
        <x:v>稳定键</x:v>
      </x:c>
    </x:row>
    <x:row r="5">
      <x:c r="A5" s="31" t="str">
        <x:v>统一社会信用代码</x:v>
      </x:c>
      <x:c r="B5" s="32" t="str">
        <x:v>91440300093677087R</x:v>
      </x:c>
      <x:c r="C5" s="32" t="str">
        <x:v>official-public</x:v>
      </x:c>
      <x:c r="D5" s="32" t="str">
        <x:v>SRC-AR-2025</x:v>
      </x:c>
      <x:c r="E5" s="33" t="str">
        <x:v>稳定主体身份</x:v>
      </x:c>
    </x:row>
    <x:row r="6">
      <x:c r="A6" s="31" t="str">
        <x:v>借款人名称</x:v>
      </x:c>
      <x:c r="B6" s="32" t="str">
        <x:v>中国广核电力股份有限公司</x:v>
      </x:c>
      <x:c r="C6" s="32" t="str">
        <x:v>official-public</x:v>
      </x:c>
      <x:c r="D6" s="32" t="str">
        <x:v>SRC-AR-2025</x:v>
      </x:c>
      <x:c r="E6" s="33" t="str">
        <x:v>与年报一致</x:v>
      </x:c>
    </x:row>
    <x:row r="7">
      <x:c r="A7" s="31" t="str">
        <x:v>A股代码</x:v>
      </x:c>
      <x:c r="B7" s="32" t="str">
        <x:v>003816.SZ</x:v>
      </x:c>
      <x:c r="C7" s="32" t="str">
        <x:v>official-public</x:v>
      </x:c>
      <x:c r="D7" s="32" t="str">
        <x:v>SRC-AR-2025</x:v>
      </x:c>
      <x:c r="E7" s="33" t="str">
        <x:v>辅助身份</x:v>
      </x:c>
    </x:row>
    <x:row r="8">
      <x:c r="A8" s="31" t="str">
        <x:v>H股代码</x:v>
      </x:c>
      <x:c r="B8" s="32" t="str">
        <x:v>1816.HK</x:v>
      </x:c>
      <x:c r="C8" s="32" t="str">
        <x:v>official-public</x:v>
      </x:c>
      <x:c r="D8" s="32" t="str">
        <x:v>SRC-AR-2025</x:v>
      </x:c>
      <x:c r="E8" s="33" t="str">
        <x:v>辅助身份</x:v>
      </x:c>
    </x:row>
    <x:row r="9">
      <x:c r="A9" s="31" t="str">
        <x:v>控股股东</x:v>
      </x:c>
      <x:c r="B9" s="32" t="str">
        <x:v>中国广核集团有限公司</x:v>
      </x:c>
      <x:c r="C9" s="32" t="str">
        <x:v>official-public</x:v>
      </x:c>
      <x:c r="D9" s="32" t="str">
        <x:v>SRC-AR-2025</x:v>
      </x:c>
      <x:c r="E9" s="33" t="str">
        <x:v>持股58.89%</x:v>
      </x:c>
    </x:row>
    <x:row r="10">
      <x:c r="A10" s="31" t="str">
        <x:v>实际控制人</x:v>
      </x:c>
      <x:c r="B10" s="32" t="str">
        <x:v>国务院国资委</x:v>
      </x:c>
      <x:c r="C10" s="32" t="str">
        <x:v>official-public</x:v>
      </x:c>
      <x:c r="D10" s="32" t="str">
        <x:v>SRC-AR-2025</x:v>
      </x:c>
      <x:c r="E10" s="33" t="str">
        <x:v>中央企业控制</x:v>
      </x:c>
    </x:row>
    <x:row r="11">
      <x:c r="A11" s="31" t="str">
        <x:v>成员ID</x:v>
      </x:c>
      <x:c r="B11" s="32" t="str">
        <x:v>MEM-CGN-003816</x:v>
      </x:c>
      <x:c r="C11" s="32" t="str">
        <x:v>synthetic-demo</x:v>
      </x:c>
      <x:c r="D11" s="32" t="str">
        <x:v>SIM_MEMBER_REGISTRY</x:v>
      </x:c>
      <x:c r="E11" s="33" t="str">
        <x:v>内部成员名录稳定键</x:v>
      </x:c>
    </x:row>
    <x:row r="12">
      <x:c r="A12" s="31" t="str">
        <x:v>成员状态</x:v>
      </x:c>
      <x:c r="B12" s="32" t="str">
        <x:v>ACTIVE</x:v>
      </x:c>
      <x:c r="C12" s="32" t="str">
        <x:v>synthetic-demo</x:v>
      </x:c>
      <x:c r="D12" s="32" t="str">
        <x:v>SIM_MEMBER_REGISTRY</x:v>
      </x:c>
      <x:c r="E12" s="33" t="str">
        <x:v>截至2026-08-15有效</x:v>
      </x:c>
    </x:row>
    <x:row r="13">
      <x:c r="A13" s="34" t="str">
        <x:v>财务公司主体</x:v>
      </x:c>
      <x:c r="B13" s="35" t="str">
        <x:v>集团财务公司（演示）</x:v>
      </x:c>
      <x:c r="C13" s="35" t="str">
        <x:v>synthetic-demo</x:v>
      </x:c>
      <x:c r="D13" s="35" t="str">
        <x:v>FC-DEMO-001</x:v>
      </x:c>
      <x:c r="E13" s="36" t="str">
        <x:v>正式业务角色=财务公司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20" hidden="0" customWidth="1"/>
    <x:col min="4" max="4" width="26" hidden="0" customWidth="1"/>
    <x:col min="5" max="5" width="58" hidden="0" customWidth="1"/>
  </x:cols>
  <x:sheetData>
    <x:row r="1" ht="32" customHeight="1">
      <x:c r="A1" s="3" t="str">
        <x:v>贷款申请与产品条件</x:v>
      </x:c>
      <x:c r="B1" s="3" t="str">
        <x:v>贷款申请与产品条件</x:v>
      </x:c>
      <x:c r="C1" s="3" t="str">
        <x:v>贷款申请与产品条件</x:v>
      </x:c>
      <x:c r="D1" s="3" t="str">
        <x:v>贷款申请与产品条件</x:v>
      </x:c>
      <x:c r="E1" s="3" t="str">
        <x:v>贷款申请与产品条件</x:v>
      </x:c>
    </x:row>
    <x:row r="3" ht="28" customHeight="1">
      <x:c r="A3" s="8" t="str">
        <x:v>字段</x:v>
      </x:c>
      <x:c r="B3" s="8" t="str">
        <x:v>值</x:v>
      </x:c>
      <x:c r="C3" s="8" t="str">
        <x:v>单位/枚举</x:v>
      </x:c>
      <x:c r="D3" s="8" t="str">
        <x:v>来源节点</x:v>
      </x:c>
      <x:c r="E3" s="8" t="str">
        <x:v>核验要求</x:v>
      </x:c>
    </x:row>
    <x:row r="4">
      <x:c r="A4" s="28" t="str">
        <x:v>申请编号</x:v>
      </x:c>
      <x:c r="B4" s="29" t="str">
        <x:v>APP-S004-20260815-0001</x:v>
      </x:c>
      <x:c r="C4" s="29" t="str">
        <x:v>稳定键</x:v>
      </x:c>
      <x:c r="D4" s="29" t="str">
        <x:v>SIM_LOAN_APPLICATION</x:v>
      </x:c>
      <x:c r="E4" s="30" t="str">
        <x:v>与报告编号关联</x:v>
      </x:c>
    </x:row>
    <x:row r="5">
      <x:c r="A5" s="31" t="str">
        <x:v>申请日期</x:v>
      </x:c>
      <x:c r="B5" s="37" t="n">
        <x:v>46249</x:v>
      </x:c>
      <x:c r="C5" s="32" t="str">
        <x:v>日期</x:v>
      </x:c>
      <x:c r="D5" s="32" t="str">
        <x:v>SIM_LOAN_APPLICATION</x:v>
      </x:c>
      <x:c r="E5" s="33" t="str">
        <x:v>不得晚于调查日期</x:v>
      </x:c>
    </x:row>
    <x:row r="6">
      <x:c r="A6" s="31" t="str">
        <x:v>申请金额</x:v>
      </x:c>
      <x:c r="B6" s="38" t="n">
        <x:v>100000</x:v>
      </x:c>
      <x:c r="C6" s="32" t="str">
        <x:v>万元</x:v>
      </x:c>
      <x:c r="D6" s="32" t="str">
        <x:v>SIM_LOAN_APPLICATION</x:v>
      </x:c>
      <x:c r="E6" s="33" t="str">
        <x:v>不得超过资金需求上限及可用授信</x:v>
      </x:c>
    </x:row>
    <x:row r="7">
      <x:c r="A7" s="31" t="str">
        <x:v>币种</x:v>
      </x:c>
      <x:c r="B7" s="32" t="str">
        <x:v>CNY</x:v>
      </x:c>
      <x:c r="C7" s="32" t="str">
        <x:v>枚举</x:v>
      </x:c>
      <x:c r="D7" s="32" t="str">
        <x:v>SIM_LOAN_APPLICATION</x:v>
      </x:c>
      <x:c r="E7" s="33" t="str">
        <x:v>一期固定人民币</x:v>
      </x:c>
    </x:row>
    <x:row r="8">
      <x:c r="A8" s="31" t="str">
        <x:v>期限</x:v>
      </x:c>
      <x:c r="B8" s="32" t="n">
        <x:v>12</x:v>
      </x:c>
      <x:c r="C8" s="32" t="str">
        <x:v>月</x:v>
      </x:c>
      <x:c r="D8" s="32" t="str">
        <x:v>SIM_LOAN_APPLICATION</x:v>
      </x:c>
      <x:c r="E8" s="33" t="str">
        <x:v>一期固定一年期</x:v>
      </x:c>
    </x:row>
    <x:row r="9">
      <x:c r="A9" s="31" t="str">
        <x:v>产品</x:v>
      </x:c>
      <x:c r="B9" s="32" t="str">
        <x:v>流动资金贷款</x:v>
      </x:c>
      <x:c r="C9" s="32" t="str">
        <x:v>WORKING_CAPITAL</x:v>
      </x:c>
      <x:c r="D9" s="32" t="str">
        <x:v>SIM_LOAN_APPLICATION</x:v>
      </x:c>
      <x:c r="E9" s="33" t="str">
        <x:v>与用途合同一致</x:v>
      </x:c>
    </x:row>
    <x:row r="10">
      <x:c r="A10" s="31" t="str">
        <x:v>担保方式</x:v>
      </x:c>
      <x:c r="B10" s="32" t="str">
        <x:v>信用</x:v>
      </x:c>
      <x:c r="C10" s="32" t="str">
        <x:v>CREDIT</x:v>
      </x:c>
      <x:c r="D10" s="32" t="str">
        <x:v>SIM_LOAN_APPLICATION</x:v>
      </x:c>
      <x:c r="E10" s="33" t="str">
        <x:v>不得误生成保证/抵质押</x:v>
      </x:c>
    </x:row>
    <x:row r="11">
      <x:c r="A11" s="31" t="str">
        <x:v>保证人</x:v>
      </x:c>
      <x:c r="B11" s="32" t="str">
        <x:v>NOT_APPLICABLE</x:v>
      </x:c>
      <x:c r="C11" s="32" t="str">
        <x:v>枚举</x:v>
      </x:c>
      <x:c r="D11" s="32" t="str">
        <x:v>SIM_LOAN_APPLICATION</x:v>
      </x:c>
      <x:c r="E11" s="33" t="str">
        <x:v>显式N/A</x:v>
      </x:c>
    </x:row>
    <x:row r="12">
      <x:c r="A12" s="31" t="str">
        <x:v>抵质押物</x:v>
      </x:c>
      <x:c r="B12" s="32" t="str">
        <x:v>NOT_APPLICABLE</x:v>
      </x:c>
      <x:c r="C12" s="32" t="str">
        <x:v>枚举</x:v>
      </x:c>
      <x:c r="D12" s="32" t="str">
        <x:v>SIM_LOAN_APPLICATION</x:v>
      </x:c>
      <x:c r="E12" s="33" t="str">
        <x:v>显式N/A</x:v>
      </x:c>
    </x:row>
    <x:row r="13">
      <x:c r="A13" s="31" t="str">
        <x:v>建议年利率</x:v>
      </x:c>
      <x:c r="B13" s="39" t="n">
        <x:v>0.0235</x:v>
      </x:c>
      <x:c r="C13" s="32" t="str">
        <x:v>%</x:v>
      </x:c>
      <x:c r="D13" s="32" t="str">
        <x:v>SIM_LOAN_APPLICATION</x:v>
      </x:c>
      <x:c r="E13" s="33" t="str">
        <x:v>最终由有权审批人确认</x:v>
      </x:c>
    </x:row>
    <x:row r="14">
      <x:c r="A14" s="31" t="str">
        <x:v>用途</x:v>
      </x:c>
      <x:c r="B14" s="32" t="str">
        <x:v>核电运营相关日常经营周转，包括核燃料、备品备件及运维服务采购</x:v>
      </x:c>
      <x:c r="C14" s="32" t="str">
        <x:v>文本</x:v>
      </x:c>
      <x:c r="D14" s="32" t="str">
        <x:v>SIM_LOAN_APPLICATION</x:v>
      </x:c>
      <x:c r="E14" s="33" t="str">
        <x:v>需与合同和支付凭证核对</x:v>
      </x:c>
    </x:row>
    <x:row r="15">
      <x:c r="A15" s="31" t="str">
        <x:v>申请状态</x:v>
      </x:c>
      <x:c r="B15" s="32" t="str">
        <x:v>SUBMITTED</x:v>
      </x:c>
      <x:c r="C15" s="32" t="str">
        <x:v>枚举</x:v>
      </x:c>
      <x:c r="D15" s="32" t="str">
        <x:v>SIM_LOAN_APPLICATION</x:v>
      </x:c>
      <x:c r="E15" s="33" t="str">
        <x:v>不等于审批通过</x:v>
      </x:c>
    </x:row>
    <x:row r="16">
      <x:c r="A16" s="34"/>
      <x:c r="B16" s="35"/>
      <x:c r="C16" s="35"/>
      <x:c r="D16" s="35"/>
      <x:c r="E16" s="36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3" hidden="0" customWidth="1"/>
    <x:col min="7" max="7" width="23" hidden="0" customWidth="1"/>
    <x:col min="8" max="8" width="34" hidden="0" customWidth="1"/>
  </x:cols>
  <x:sheetData>
    <x:row r="1" ht="32" customHeight="1">
      <x:c r="A1" s="3" t="str">
        <x:v>财务报表事实（单位：万元，合并口径）</x:v>
      </x:c>
      <x:c r="B1" s="3" t="str">
        <x:v>财务报表事实（单位：万元，合并口径）</x:v>
      </x:c>
      <x:c r="C1" s="3" t="str">
        <x:v>财务报表事实（单位：万元，合并口径）</x:v>
      </x:c>
      <x:c r="D1" s="3" t="str">
        <x:v>财务报表事实（单位：万元，合并口径）</x:v>
      </x:c>
      <x:c r="E1" s="3" t="str">
        <x:v>财务报表事实（单位：万元，合并口径）</x:v>
      </x:c>
      <x:c r="F1" s="3" t="str">
        <x:v>财务报表事实（单位：万元，合并口径）</x:v>
      </x:c>
      <x:c r="G1" s="3" t="str">
        <x:v>财务报表事实（单位：万元，合并口径）</x:v>
      </x:c>
      <x:c r="H1" s="3" t="str">
        <x:v>财务报表事实（单位：万元，合并口径）</x:v>
      </x:c>
    </x:row>
    <x:row r="3" ht="28" customHeight="1">
      <x:c r="A3" s="8" t="str">
        <x:v>项目</x:v>
      </x:c>
      <x:c r="B3" s="8" t="str">
        <x:v>2023</x:v>
      </x:c>
      <x:c r="C3" s="8" t="str">
        <x:v>2024重述</x:v>
      </x:c>
      <x:c r="D3" s="8" t="str">
        <x:v>2025</x:v>
      </x:c>
      <x:c r="E3" s="8" t="str">
        <x:v>单位</x:v>
      </x:c>
      <x:c r="F3" s="8" t="str">
        <x:v>2023口径</x:v>
      </x:c>
      <x:c r="G3" s="8" t="str">
        <x:v>2024/2025口径</x:v>
      </x:c>
      <x:c r="H3" s="8" t="str">
        <x:v>证据</x:v>
      </x:c>
    </x:row>
    <x:row r="4">
      <x:c r="A4" s="28" t="str">
        <x:v>资产总计</x:v>
      </x:c>
      <x:c r="B4" s="40"/>
      <x:c r="C4" s="40" t="n">
        <x:v>47153259.85</x:v>
      </x:c>
      <x:c r="D4" s="40" t="n">
        <x:v>50565611.81</x:v>
      </x:c>
      <x:c r="E4" s="29" t="str">
        <x:v>万元</x:v>
      </x:c>
      <x:c r="F4" s="29" t="str">
        <x:v>不可比/未补全重述</x:v>
      </x:c>
      <x:c r="G4" s="29" t="str">
        <x:v>CONSOLIDATED/RESTATED</x:v>
      </x:c>
      <x:c r="H4" s="30" t="str">
        <x:v>SRC-AR-2025</x:v>
      </x:c>
    </x:row>
    <x:row r="5">
      <x:c r="A5" s="31" t="str">
        <x:v>负债合计</x:v>
      </x:c>
      <x:c r="B5" s="41"/>
      <x:c r="C5" s="41"/>
      <x:c r="D5" s="41" t="n">
        <x:v>32944179.09</x:v>
      </x:c>
      <x:c r="E5" s="32" t="str">
        <x:v>万元</x:v>
      </x:c>
      <x:c r="F5" s="32" t="str">
        <x:v>不可比/未补全重述</x:v>
      </x:c>
      <x:c r="G5" s="32" t="str">
        <x:v>CONSOLIDATED/CURRENT</x:v>
      </x:c>
      <x:c r="H5" s="33" t="str">
        <x:v>SRC-AR-2025</x:v>
      </x:c>
    </x:row>
    <x:row r="6">
      <x:c r="A6" s="31" t="str">
        <x:v>流动资产合计</x:v>
      </x:c>
      <x:c r="B6" s="41"/>
      <x:c r="C6" s="41" t="n">
        <x:v>7271136.99</x:v>
      </x:c>
      <x:c r="D6" s="41" t="n">
        <x:v>7789145.5</x:v>
      </x:c>
      <x:c r="E6" s="32" t="str">
        <x:v>万元</x:v>
      </x:c>
      <x:c r="F6" s="32" t="str">
        <x:v>不可比/未补全重述</x:v>
      </x:c>
      <x:c r="G6" s="32" t="str">
        <x:v>CONSOLIDATED/RESTATED</x:v>
      </x:c>
      <x:c r="H6" s="33" t="str">
        <x:v>SRC-AR-2025</x:v>
      </x:c>
    </x:row>
    <x:row r="7">
      <x:c r="A7" s="31" t="str">
        <x:v>流动负债合计</x:v>
      </x:c>
      <x:c r="B7" s="41"/>
      <x:c r="C7" s="41" t="n">
        <x:v>8270005.68</x:v>
      </x:c>
      <x:c r="D7" s="41" t="n">
        <x:v>11776215.54</x:v>
      </x:c>
      <x:c r="E7" s="32" t="str">
        <x:v>万元</x:v>
      </x:c>
      <x:c r="F7" s="32" t="str">
        <x:v>不可比/未补全重述</x:v>
      </x:c>
      <x:c r="G7" s="32" t="str">
        <x:v>CONSOLIDATED/RESTATED</x:v>
      </x:c>
      <x:c r="H7" s="33" t="str">
        <x:v>SRC-AR-2025</x:v>
      </x:c>
    </x:row>
    <x:row r="8">
      <x:c r="A8" s="31" t="str">
        <x:v>归母所有者权益</x:v>
      </x:c>
      <x:c r="B8" s="41"/>
      <x:c r="C8" s="41" t="n">
        <x:v>12858513.07</x:v>
      </x:c>
      <x:c r="D8" s="41" t="n">
        <x:v>12318847.41</x:v>
      </x:c>
      <x:c r="E8" s="32" t="str">
        <x:v>万元</x:v>
      </x:c>
      <x:c r="F8" s="32" t="str">
        <x:v>不可比/未补全重述</x:v>
      </x:c>
      <x:c r="G8" s="32" t="str">
        <x:v>CONSOLIDATED/RESTATED</x:v>
      </x:c>
      <x:c r="H8" s="33" t="str">
        <x:v>SRC-AR-2025</x:v>
      </x:c>
    </x:row>
    <x:row r="9">
      <x:c r="A9" s="31" t="str">
        <x:v>所有者权益合计</x:v>
      </x:c>
      <x:c r="B9" s="41"/>
      <x:c r="C9" s="41"/>
      <x:c r="D9" s="41" t="n">
        <x:v>17621432.72</x:v>
      </x:c>
      <x:c r="E9" s="32" t="str">
        <x:v>万元</x:v>
      </x:c>
      <x:c r="F9" s="32" t="str">
        <x:v>不可比/未补全重述</x:v>
      </x:c>
      <x:c r="G9" s="32" t="str">
        <x:v>CONSOLIDATED/CURRENT</x:v>
      </x:c>
      <x:c r="H9" s="33" t="str">
        <x:v>SRC-AR-2025</x:v>
      </x:c>
    </x:row>
    <x:row r="10">
      <x:c r="A10" s="31" t="str">
        <x:v>货币资金</x:v>
      </x:c>
      <x:c r="B10" s="41"/>
      <x:c r="C10" s="41" t="n">
        <x:v>1702629.62</x:v>
      </x:c>
      <x:c r="D10" s="41" t="n">
        <x:v>2082672.08</x:v>
      </x:c>
      <x:c r="E10" s="32" t="str">
        <x:v>万元</x:v>
      </x:c>
      <x:c r="F10" s="32" t="str">
        <x:v>不可比/未补全重述</x:v>
      </x:c>
      <x:c r="G10" s="32" t="str">
        <x:v>CONSOLIDATED/RESTATED</x:v>
      </x:c>
      <x:c r="H10" s="33" t="str">
        <x:v>SRC-AR-2025</x:v>
      </x:c>
    </x:row>
    <x:row r="11">
      <x:c r="A11" s="31" t="str">
        <x:v>应收账款</x:v>
      </x:c>
      <x:c r="B11" s="41"/>
      <x:c r="C11" s="41" t="n">
        <x:v>910706.99</x:v>
      </x:c>
      <x:c r="D11" s="41" t="n">
        <x:v>801224.72</x:v>
      </x:c>
      <x:c r="E11" s="32" t="str">
        <x:v>万元</x:v>
      </x:c>
      <x:c r="F11" s="32" t="str">
        <x:v>不可比/未补全重述</x:v>
      </x:c>
      <x:c r="G11" s="32" t="str">
        <x:v>CONSOLIDATED/RESTATED</x:v>
      </x:c>
      <x:c r="H11" s="33" t="str">
        <x:v>SRC-AR-2025</x:v>
      </x:c>
    </x:row>
    <x:row r="12">
      <x:c r="A12" s="31" t="str">
        <x:v>预付款项</x:v>
      </x:c>
      <x:c r="B12" s="41"/>
      <x:c r="C12" s="41" t="n">
        <x:v>2007754.94</x:v>
      </x:c>
      <x:c r="D12" s="41" t="n">
        <x:v>2049288.02</x:v>
      </x:c>
      <x:c r="E12" s="32" t="str">
        <x:v>万元</x:v>
      </x:c>
      <x:c r="F12" s="32" t="str">
        <x:v>不可比/未补全重述</x:v>
      </x:c>
      <x:c r="G12" s="32" t="str">
        <x:v>CONSOLIDATED/RESTATED</x:v>
      </x:c>
      <x:c r="H12" s="33" t="str">
        <x:v>SRC-AR-2025</x:v>
      </x:c>
    </x:row>
    <x:row r="13">
      <x:c r="A13" s="31" t="str">
        <x:v>存货</x:v>
      </x:c>
      <x:c r="B13" s="41"/>
      <x:c r="C13" s="41" t="n">
        <x:v>2035016.38</x:v>
      </x:c>
      <x:c r="D13" s="41" t="n">
        <x:v>2242189.15</x:v>
      </x:c>
      <x:c r="E13" s="32" t="str">
        <x:v>万元</x:v>
      </x:c>
      <x:c r="F13" s="32" t="str">
        <x:v>不可比/未补全重述</x:v>
      </x:c>
      <x:c r="G13" s="32" t="str">
        <x:v>CONSOLIDATED/RESTATED</x:v>
      </x:c>
      <x:c r="H13" s="33" t="str">
        <x:v>SRC-AR-2025</x:v>
      </x:c>
    </x:row>
    <x:row r="14">
      <x:c r="A14" s="31" t="str">
        <x:v>固定资产</x:v>
      </x:c>
      <x:c r="B14" s="41"/>
      <x:c r="C14" s="41"/>
      <x:c r="D14" s="41" t="n">
        <x:v>25243303.06</x:v>
      </x:c>
      <x:c r="E14" s="32" t="str">
        <x:v>万元</x:v>
      </x:c>
      <x:c r="F14" s="32" t="str">
        <x:v>不可比/未补全重述</x:v>
      </x:c>
      <x:c r="G14" s="32" t="str">
        <x:v>CONSOLIDATED/CURRENT</x:v>
      </x:c>
      <x:c r="H14" s="33" t="str">
        <x:v>SRC-AR-2025</x:v>
      </x:c>
    </x:row>
    <x:row r="15">
      <x:c r="A15" s="31" t="str">
        <x:v>在建工程</x:v>
      </x:c>
      <x:c r="B15" s="41"/>
      <x:c r="C15" s="41" t="n">
        <x:v>8505150.57</x:v>
      </x:c>
      <x:c r="D15" s="41" t="n">
        <x:v>11393091.07</x:v>
      </x:c>
      <x:c r="E15" s="32" t="str">
        <x:v>万元</x:v>
      </x:c>
      <x:c r="F15" s="32" t="str">
        <x:v>不可比/未补全重述</x:v>
      </x:c>
      <x:c r="G15" s="32" t="str">
        <x:v>CONSOLIDATED/RESTATED</x:v>
      </x:c>
      <x:c r="H15" s="33" t="str">
        <x:v>SRC-AR-2025</x:v>
      </x:c>
    </x:row>
    <x:row r="16">
      <x:c r="A16" s="31" t="str">
        <x:v>短期借款</x:v>
      </x:c>
      <x:c r="B16" s="41"/>
      <x:c r="C16" s="41"/>
      <x:c r="D16" s="41" t="n">
        <x:v>4215111.99</x:v>
      </x:c>
      <x:c r="E16" s="32" t="str">
        <x:v>万元</x:v>
      </x:c>
      <x:c r="F16" s="32" t="str">
        <x:v>不可比/未补全重述</x:v>
      </x:c>
      <x:c r="G16" s="32" t="str">
        <x:v>CONSOLIDATED/CURRENT</x:v>
      </x:c>
      <x:c r="H16" s="33" t="str">
        <x:v>SRC-AR-2025</x:v>
      </x:c>
    </x:row>
    <x:row r="17">
      <x:c r="A17" s="31" t="str">
        <x:v>应付账款</x:v>
      </x:c>
      <x:c r="B17" s="41"/>
      <x:c r="C17" s="41" t="n">
        <x:v>2060085.47</x:v>
      </x:c>
      <x:c r="D17" s="41" t="n">
        <x:v>2023660.11</x:v>
      </x:c>
      <x:c r="E17" s="32" t="str">
        <x:v>万元</x:v>
      </x:c>
      <x:c r="F17" s="32" t="str">
        <x:v>不可比/未补全重述</x:v>
      </x:c>
      <x:c r="G17" s="32" t="str">
        <x:v>CONSOLIDATED/RESTATED</x:v>
      </x:c>
      <x:c r="H17" s="33" t="str">
        <x:v>SRC-AR-2025</x:v>
      </x:c>
    </x:row>
    <x:row r="18">
      <x:c r="A18" s="31" t="str">
        <x:v>合同负债</x:v>
      </x:c>
      <x:c r="B18" s="41"/>
      <x:c r="C18" s="41" t="n">
        <x:v>558332.03</x:v>
      </x:c>
      <x:c r="D18" s="41" t="n">
        <x:v>639516.87</x:v>
      </x:c>
      <x:c r="E18" s="32" t="str">
        <x:v>万元</x:v>
      </x:c>
      <x:c r="F18" s="32" t="str">
        <x:v>不可比/未补全重述</x:v>
      </x:c>
      <x:c r="G18" s="32" t="str">
        <x:v>CONSOLIDATED/RESTATED</x:v>
      </x:c>
      <x:c r="H18" s="33" t="str">
        <x:v>SRC-AR-2025</x:v>
      </x:c>
    </x:row>
    <x:row r="19">
      <x:c r="A19" s="31" t="str">
        <x:v>营业收入</x:v>
      </x:c>
      <x:c r="B19" s="41" t="n">
        <x:v>8254864.32</x:v>
      </x:c>
      <x:c r="C19" s="41" t="n">
        <x:v>7894466.96</x:v>
      </x:c>
      <x:c r="D19" s="41" t="n">
        <x:v>7569655.9</x:v>
      </x:c>
      <x:c r="E19" s="32" t="str">
        <x:v>万元</x:v>
      </x:c>
      <x:c r="F19" s="32" t="str">
        <x:v>AS_REPORTED</x:v>
      </x:c>
      <x:c r="G19" s="32" t="str">
        <x:v>CONSOLIDATED/RESTATED</x:v>
      </x:c>
      <x:c r="H19" s="33" t="str">
        <x:v>SRC-AR-2023; SRC-AR-2025</x:v>
      </x:c>
    </x:row>
    <x:row r="20">
      <x:c r="A20" s="31" t="str">
        <x:v>营业成本</x:v>
      </x:c>
      <x:c r="B20" s="41" t="n">
        <x:v>5285762.31</x:v>
      </x:c>
      <x:c r="C20" s="41" t="n">
        <x:v>4939583.61</x:v>
      </x:c>
      <x:c r="D20" s="41" t="n">
        <x:v>5147896.37</x:v>
      </x:c>
      <x:c r="E20" s="32" t="str">
        <x:v>万元</x:v>
      </x:c>
      <x:c r="F20" s="32" t="str">
        <x:v>AS_REPORTED</x:v>
      </x:c>
      <x:c r="G20" s="32" t="str">
        <x:v>CONSOLIDATED/RESTATED</x:v>
      </x:c>
      <x:c r="H20" s="33" t="str">
        <x:v>SRC-AR-2023; SRC-AR-2025</x:v>
      </x:c>
    </x:row>
    <x:row r="21">
      <x:c r="A21" s="31" t="str">
        <x:v>税金及附加</x:v>
      </x:c>
      <x:c r="B21" s="41" t="n">
        <x:v>87527.03</x:v>
      </x:c>
      <x:c r="C21" s="41" t="n">
        <x:v>91507.43</x:v>
      </x:c>
      <x:c r="D21" s="41" t="n">
        <x:v>90184.7</x:v>
      </x:c>
      <x:c r="E21" s="32" t="str">
        <x:v>万元</x:v>
      </x:c>
      <x:c r="F21" s="32" t="str">
        <x:v>AS_REPORTED</x:v>
      </x:c>
      <x:c r="G21" s="32" t="str">
        <x:v>CONSOLIDATED/RESTATED</x:v>
      </x:c>
      <x:c r="H21" s="33" t="str">
        <x:v>SRC-AR-2023; SRC-AR-2025</x:v>
      </x:c>
    </x:row>
    <x:row r="22">
      <x:c r="A22" s="31" t="str">
        <x:v>利息费用</x:v>
      </x:c>
      <x:c r="B22" s="41" t="n">
        <x:v>575995.42</x:v>
      </x:c>
      <x:c r="C22" s="41" t="n">
        <x:v>552469.19</x:v>
      </x:c>
      <x:c r="D22" s="41" t="n">
        <x:v>480174.42</x:v>
      </x:c>
      <x:c r="E22" s="32" t="str">
        <x:v>万元</x:v>
      </x:c>
      <x:c r="F22" s="32" t="str">
        <x:v>AS_REPORTED</x:v>
      </x:c>
      <x:c r="G22" s="32" t="str">
        <x:v>CONSOLIDATED/RESTATED</x:v>
      </x:c>
      <x:c r="H22" s="33" t="str">
        <x:v>SRC-AR-2023; SRC-AR-2025</x:v>
      </x:c>
    </x:row>
    <x:row r="23">
      <x:c r="A23" s="31" t="str">
        <x:v>利润总额</x:v>
      </x:c>
      <x:c r="B23" s="41" t="n">
        <x:v>2053056.32</x:v>
      </x:c>
      <x:c r="C23" s="41" t="n">
        <x:v>2162761.68</x:v>
      </x:c>
      <x:c r="D23" s="41" t="n">
        <x:v>1860271.52</x:v>
      </x:c>
      <x:c r="E23" s="32" t="str">
        <x:v>万元</x:v>
      </x:c>
      <x:c r="F23" s="32" t="str">
        <x:v>AS_REPORTED</x:v>
      </x:c>
      <x:c r="G23" s="32" t="str">
        <x:v>CONSOLIDATED/RESTATED</x:v>
      </x:c>
      <x:c r="H23" s="33" t="str">
        <x:v>SRC-AR-2023; SRC-AR-2025</x:v>
      </x:c>
    </x:row>
    <x:row r="24">
      <x:c r="A24" s="31" t="str">
        <x:v>净利润</x:v>
      </x:c>
      <x:c r="B24" s="41" t="n">
        <x:v>1704577.16</x:v>
      </x:c>
      <x:c r="C24" s="41" t="n">
        <x:v>1746813.06</x:v>
      </x:c>
      <x:c r="D24" s="41" t="n">
        <x:v>1473114.42</x:v>
      </x:c>
      <x:c r="E24" s="32" t="str">
        <x:v>万元</x:v>
      </x:c>
      <x:c r="F24" s="32" t="str">
        <x:v>AS_REPORTED</x:v>
      </x:c>
      <x:c r="G24" s="32" t="str">
        <x:v>CONSOLIDATED/RESTATED</x:v>
      </x:c>
      <x:c r="H24" s="33" t="str">
        <x:v>SRC-AR-2023; SRC-AR-2025</x:v>
      </x:c>
    </x:row>
    <x:row r="25">
      <x:c r="A25" s="31" t="str">
        <x:v>归母净利润</x:v>
      </x:c>
      <x:c r="B25" s="41" t="n">
        <x:v>1072457.01</x:v>
      </x:c>
      <x:c r="C25" s="41" t="n">
        <x:v>1083812.04</x:v>
      </x:c>
      <x:c r="D25" s="41" t="n">
        <x:v>976535.9</x:v>
      </x:c>
      <x:c r="E25" s="32" t="str">
        <x:v>万元</x:v>
      </x:c>
      <x:c r="F25" s="32" t="str">
        <x:v>AS_REPORTED</x:v>
      </x:c>
      <x:c r="G25" s="32" t="str">
        <x:v>CONSOLIDATED/RESTATED</x:v>
      </x:c>
      <x:c r="H25" s="33" t="str">
        <x:v>SRC-AR-2023; SRC-AR-2025</x:v>
      </x:c>
    </x:row>
    <x:row r="26">
      <x:c r="A26" s="31" t="str">
        <x:v>经营活动现金流量净额</x:v>
      </x:c>
      <x:c r="B26" s="41" t="n">
        <x:v>3311989.43</x:v>
      </x:c>
      <x:c r="C26" s="41" t="n">
        <x:v>3750572.8</x:v>
      </x:c>
      <x:c r="D26" s="41" t="n">
        <x:v>2997052.94</x:v>
      </x:c>
      <x:c r="E26" s="32" t="str">
        <x:v>万元</x:v>
      </x:c>
      <x:c r="F26" s="32" t="str">
        <x:v>AS_REPORTED</x:v>
      </x:c>
      <x:c r="G26" s="32" t="str">
        <x:v>CONSOLIDATED/RESTATED</x:v>
      </x:c>
      <x:c r="H26" s="33" t="str">
        <x:v>SRC-AR-2023; SRC-AR-2025</x:v>
      </x:c>
    </x:row>
    <x:row r="27">
      <x:c r="A27" s="31" t="str">
        <x:v>投资活动现金流量净额</x:v>
      </x:c>
      <x:c r="B27" s="41" t="n">
        <x:v>-1251261.37</x:v>
      </x:c>
      <x:c r="C27" s="41" t="n">
        <x:v>-3244829.33</x:v>
      </x:c>
      <x:c r="D27" s="41" t="n">
        <x:v>-3233554.86</x:v>
      </x:c>
      <x:c r="E27" s="32" t="str">
        <x:v>万元</x:v>
      </x:c>
      <x:c r="F27" s="32" t="str">
        <x:v>AS_REPORTED</x:v>
      </x:c>
      <x:c r="G27" s="32" t="str">
        <x:v>CONSOLIDATED/RESTATED</x:v>
      </x:c>
      <x:c r="H27" s="33" t="str">
        <x:v>SRC-AR-2023; SRC-AR-2025</x:v>
      </x:c>
    </x:row>
    <x:row r="28">
      <x:c r="A28" s="31" t="str">
        <x:v>筹资活动现金流量净额</x:v>
      </x:c>
      <x:c r="B28" s="41" t="n">
        <x:v>-1908823.8</x:v>
      </x:c>
      <x:c r="C28" s="41" t="n">
        <x:v>-665643.42</x:v>
      </x:c>
      <x:c r="D28" s="41" t="n">
        <x:v>667689.47</x:v>
      </x:c>
      <x:c r="E28" s="32" t="str">
        <x:v>万元</x:v>
      </x:c>
      <x:c r="F28" s="32" t="str">
        <x:v>AS_REPORTED</x:v>
      </x:c>
      <x:c r="G28" s="32" t="str">
        <x:v>CONSOLIDATED/RESTATED</x:v>
      </x:c>
      <x:c r="H28" s="33" t="str">
        <x:v>SRC-AR-2023; SRC-AR-2025</x:v>
      </x:c>
    </x:row>
    <x:row r="29">
      <x:c r="A29" s="34"/>
      <x:c r="B29" s="42"/>
      <x:c r="C29" s="42"/>
      <x:c r="D29" s="42"/>
      <x:c r="E29" s="35"/>
      <x:c r="F29" s="35"/>
      <x:c r="G29" s="35"/>
      <x:c r="H29" s="36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6" hidden="0" customWidth="1"/>
    <x:col min="3" max="3" width="22" hidden="0" customWidth="1"/>
    <x:col min="4" max="4" width="20" hidden="0" customWidth="1"/>
    <x:col min="5" max="5" width="20" hidden="0" customWidth="1"/>
    <x:col min="6" max="6" width="46" hidden="0" customWidth="1"/>
  </x:cols>
  <x:sheetData>
    <x:row r="1" ht="32" customHeight="1">
      <x:c r="A1" s="3" t="str">
        <x:v>确定性 Metric、资金需求与 Rule 结果</x:v>
      </x:c>
      <x:c r="B1" s="3" t="str">
        <x:v>确定性 Metric、资金需求与 Rule 结果</x:v>
      </x:c>
      <x:c r="C1" s="3" t="str">
        <x:v>确定性 Metric、资金需求与 Rule 结果</x:v>
      </x:c>
      <x:c r="D1" s="3" t="str">
        <x:v>确定性 Metric、资金需求与 Rule 结果</x:v>
      </x:c>
      <x:c r="E1" s="3" t="str">
        <x:v>确定性 Metric、资金需求与 Rule 结果</x:v>
      </x:c>
      <x:c r="F1" s="3" t="str">
        <x:v>确定性 Metric、资金需求与 Rule 结果</x:v>
      </x:c>
    </x:row>
    <x:row r="3" ht="28" customHeight="1">
      <x:c r="A3" s="8" t="str">
        <x:v>Metric/Rule</x:v>
      </x:c>
      <x:c r="B3" s="8" t="str">
        <x:v>公式/口径</x:v>
      </x:c>
      <x:c r="C3" s="8" t="str">
        <x:v>2025结果</x:v>
      </x:c>
      <x:c r="D3" s="8" t="str">
        <x:v>展示单位</x:v>
      </x:c>
      <x:c r="E3" s="8" t="str">
        <x:v>状态</x:v>
      </x:c>
      <x:c r="F3" s="8" t="str">
        <x:v>解释边界</x:v>
      </x:c>
    </x:row>
    <x:row r="4">
      <x:c r="A4" s="28" t="str">
        <x:v>资产负债率</x:v>
      </x:c>
      <x:c r="B4" s="29" t="str">
        <x:v>负债合计/资产总计</x:v>
      </x:c>
      <x:c r="C4" s="43" t="n">
        <x:f>'财务报表'!D5/'财务报表'!D4</x:f>
        <x:v>0.6515135071199685</x:v>
      </x:c>
      <x:c r="D4" s="29" t="str">
        <x:v>%</x:v>
      </x:c>
      <x:c r="E4" s="29" t="str">
        <x:v>ATTENTION</x:v>
      </x:c>
      <x:c r="F4" s="30" t="str">
        <x:v>较高仅形成关注，不自动拒绝</x:v>
      </x:c>
    </x:row>
    <x:row r="5">
      <x:c r="A5" s="31" t="str">
        <x:v>流动比率</x:v>
      </x:c>
      <x:c r="B5" s="32" t="str">
        <x:v>流动资产/流动负债</x:v>
      </x:c>
      <x:c r="C5" s="39" t="n">
        <x:f>'财务报表'!D6/'财务报表'!D7</x:f>
        <x:v>0.6614302764366693</x:v>
      </x:c>
      <x:c r="D5" s="32" t="str">
        <x:v>倍</x:v>
      </x:c>
      <x:c r="E5" s="32" t="str">
        <x:v>ATTENTION</x:v>
      </x:c>
      <x:c r="F5" s="33" t="str">
        <x:v>低于1仅形成关注</x:v>
      </x:c>
    </x:row>
    <x:row r="6">
      <x:c r="A6" s="31" t="str">
        <x:v>EBIT/利息</x:v>
      </x:c>
      <x:c r="B6" s="32" t="str">
        <x:v>(利润总额+利息费用)/利息费用</x:v>
      </x:c>
      <x:c r="C6" s="44" t="n">
        <x:f>('财务报表'!D23+'财务报表'!D22)/'财务报表'!D22</x:f>
        <x:v>4.874157894541738</x:v>
      </x:c>
      <x:c r="D6" s="32" t="str">
        <x:v>倍</x:v>
      </x:c>
      <x:c r="E6" s="32" t="str">
        <x:v>PASS</x:v>
      </x:c>
      <x:c r="F6" s="33" t="str">
        <x:v>确定性计算</x:v>
      </x:c>
    </x:row>
    <x:row r="7">
      <x:c r="A7" s="31" t="str">
        <x:v>主营业务利润率</x:v>
      </x:c>
      <x:c r="B7" s="32" t="str">
        <x:v>(营业收入-营业成本-税金及附加)/营业收入</x:v>
      </x:c>
      <x:c r="C7" s="39" t="n">
        <x:f>('财务报表'!D19-'财务报表'!D20-'财务报表'!D21)/'财务报表'!D19</x:f>
        <x:v>0.30801596014423854</x:v>
      </x:c>
      <x:c r="D7" s="32" t="str">
        <x:v>%</x:v>
      </x:c>
      <x:c r="E7" s="32" t="str">
        <x:v>PASS</x:v>
      </x:c>
      <x:c r="F7" s="33" t="str">
        <x:v>确定性计算</x:v>
      </x:c>
    </x:row>
    <x:row r="8">
      <x:c r="A8" s="31" t="str">
        <x:v>总资产报酬率</x:v>
      </x:c>
      <x:c r="B8" s="32" t="str">
        <x:v>(利润总额+利息费用)/平均总资产</x:v>
      </x:c>
      <x:c r="C8" s="39" t="n">
        <x:f>('财务报表'!D23+'财务报表'!D22)/AVERAGE('财务报表'!C4:'财务报表'!D4)</x:f>
        <x:v>0.04790161614111294</x:v>
      </x:c>
      <x:c r="D8" s="32" t="str">
        <x:v>%</x:v>
      </x:c>
      <x:c r="E8" s="32" t="str">
        <x:v>PASS</x:v>
      </x:c>
      <x:c r="F8" s="33" t="str">
        <x:v>确定性计算</x:v>
      </x:c>
    </x:row>
    <x:row r="9">
      <x:c r="A9" s="31" t="str">
        <x:v>净资产收益率</x:v>
      </x:c>
      <x:c r="B9" s="32" t="str">
        <x:v>归母净利润/平均归母权益</x:v>
      </x:c>
      <x:c r="C9" s="39" t="n">
        <x:f>'财务报表'!D25/AVERAGE('财务报表'!C8:'财务报表'!D8)</x:f>
        <x:v>0.07757253988365662</x:v>
      </x:c>
      <x:c r="D9" s="32" t="str">
        <x:v>%</x:v>
      </x:c>
      <x:c r="E9" s="32" t="str">
        <x:v>PASS</x:v>
      </x:c>
      <x:c r="F9" s="33" t="str">
        <x:v>确定性计算</x:v>
      </x:c>
    </x:row>
    <x:row r="10">
      <x:c r="A10" s="31" t="str">
        <x:v>存货周转率</x:v>
      </x:c>
      <x:c r="B10" s="32" t="str">
        <x:v>营业成本/平均存货</x:v>
      </x:c>
      <x:c r="C10" s="44" t="n">
        <x:f>'财务报表'!D20/AVERAGE('财务报表'!C13:'财务报表'!D13)</x:f>
        <x:v>2.4071306996556703</x:v>
      </x:c>
      <x:c r="D10" s="32" t="str">
        <x:v>次</x:v>
      </x:c>
      <x:c r="E10" s="32" t="str">
        <x:v>PASS</x:v>
      </x:c>
      <x:c r="F10" s="33" t="str">
        <x:v>确定性计算</x:v>
      </x:c>
    </x:row>
    <x:row r="11">
      <x:c r="A11" s="31" t="str">
        <x:v>应收账款周转率</x:v>
      </x:c>
      <x:c r="B11" s="32" t="str">
        <x:v>营业收入/平均应收账款</x:v>
      </x:c>
      <x:c r="C11" s="44" t="n">
        <x:f>'财务报表'!D19/AVERAGE('财务报表'!C11:'财务报表'!D11)</x:f>
        <x:v>8.84340871283937</x:v>
      </x:c>
      <x:c r="D11" s="32" t="str">
        <x:v>次</x:v>
      </x:c>
      <x:c r="E11" s="32" t="str">
        <x:v>PASS</x:v>
      </x:c>
      <x:c r="F11" s="33" t="str">
        <x:v>确定性计算</x:v>
      </x:c>
    </x:row>
    <x:row r="12">
      <x:c r="A12" s="31" t="str">
        <x:v>总资产周转率</x:v>
      </x:c>
      <x:c r="B12" s="32" t="str">
        <x:v>营业收入/平均总资产</x:v>
      </x:c>
      <x:c r="C12" s="44" t="n">
        <x:f>'财务报表'!D19/AVERAGE('财务报表'!C4:'财务报表'!D4)</x:f>
        <x:v>0.15492720641183058</x:v>
      </x:c>
      <x:c r="D12" s="32" t="str">
        <x:v>次</x:v>
      </x:c>
      <x:c r="E12" s="32" t="str">
        <x:v>PASS</x:v>
      </x:c>
      <x:c r="F12" s="33" t="str">
        <x:v>确定性计算</x:v>
      </x:c>
    </x:row>
    <x:row r="13">
      <x:c r="A13" s="31" t="str">
        <x:v>流动资产周转率</x:v>
      </x:c>
      <x:c r="B13" s="32" t="str">
        <x:v>营业收入/平均流动资产</x:v>
      </x:c>
      <x:c r="C13" s="44" t="n">
        <x:f>'财务报表'!D19/AVERAGE('财务报表'!C6:'财务报表'!D6)</x:f>
        <x:v>1.005247531714792</x:v>
      </x:c>
      <x:c r="D13" s="32" t="str">
        <x:v>次</x:v>
      </x:c>
      <x:c r="E13" s="32" t="str">
        <x:v>PASS</x:v>
      </x:c>
      <x:c r="F13" s="33" t="str">
        <x:v>确定性计算</x:v>
      </x:c>
    </x:row>
    <x:row r="14">
      <x:c r="A14" s="31" t="str">
        <x:v>总资产增长率</x:v>
      </x:c>
      <x:c r="B14" s="32" t="str">
        <x:v>本期总资产/重述上期总资产-1</x:v>
      </x:c>
      <x:c r="C14" s="39" t="n">
        <x:f>'财务报表'!D4/'财务报表'!C4-1</x:f>
        <x:v>0.07236725458335402</x:v>
      </x:c>
      <x:c r="D14" s="32" t="str">
        <x:v>%</x:v>
      </x:c>
      <x:c r="E14" s="32" t="str">
        <x:v>PASS</x:v>
      </x:c>
      <x:c r="F14" s="33" t="str">
        <x:v>确定性计算</x:v>
      </x:c>
    </x:row>
    <x:row r="15">
      <x:c r="A15" s="31" t="str">
        <x:v>净资产增长率</x:v>
      </x:c>
      <x:c r="B15" s="32" t="str">
        <x:v>本期归母权益/重述上期归母权益-1</x:v>
      </x:c>
      <x:c r="C15" s="39" t="n">
        <x:f>'财务报表'!D8/'财务报表'!C8-1</x:f>
        <x:v>-0.041969522997109654</x:v>
      </x:c>
      <x:c r="D15" s="32" t="str">
        <x:v>%</x:v>
      </x:c>
      <x:c r="E15" s="32" t="str">
        <x:v>ATTENTION</x:v>
      </x:c>
      <x:c r="F15" s="33" t="str">
        <x:v>下降仅形成关注</x:v>
      </x:c>
    </x:row>
    <x:row r="16">
      <x:c r="A16" s="31" t="str">
        <x:v>净利润增长率</x:v>
      </x:c>
      <x:c r="B16" s="32" t="str">
        <x:v>本期净利润/重述上期净利润-1</x:v>
      </x:c>
      <x:c r="C16" s="39" t="n">
        <x:f>'财务报表'!D24/'财务报表'!C24-1</x:f>
        <x:v>-0.1566845624568436</x:v>
      </x:c>
      <x:c r="D16" s="32" t="str">
        <x:v>%</x:v>
      </x:c>
      <x:c r="E16" s="32" t="str">
        <x:v>ATTENTION</x:v>
      </x:c>
      <x:c r="F16" s="33" t="str">
        <x:v>下降仅形成关注</x:v>
      </x:c>
    </x:row>
    <x:row r="17">
      <x:c r="A17" s="31" t="str">
        <x:v>销售收入增长率</x:v>
      </x:c>
      <x:c r="B17" s="32" t="str">
        <x:v>本期收入/重述上期收入-1</x:v>
      </x:c>
      <x:c r="C17" s="39" t="n">
        <x:f>'财务报表'!D19/'财务报表'!C19-1</x:f>
        <x:v>-0.04114414078186224</x:v>
      </x:c>
      <x:c r="D17" s="32" t="str">
        <x:v>%</x:v>
      </x:c>
      <x:c r="E17" s="32" t="str">
        <x:v>ATTENTION</x:v>
      </x:c>
      <x:c r="F17" s="33" t="str">
        <x:v>下降仅形成关注</x:v>
      </x:c>
    </x:row>
    <x:row r="18">
      <x:c r="A18" s="31" t="str">
        <x:v>营运资金周转次数</x:v>
      </x:c>
      <x:c r="B18" s="32" t="str">
        <x:v>360/全精度营运资金周转天数</x:v>
      </x:c>
      <x:c r="C18" s="45" t="n">
        <x:f>360/(360/C10+360/C11-360/('财务报表'!D20/AVERAGE('财务报表'!C17:'财务报表'!D17))+360/('财务报表'!D20/AVERAGE('财务报表'!C12:'财务报表'!D12))-360/('财务报表'!D19/AVERAGE('财务报表'!C18:'财务报表'!D18)))</x:f>
        <x:v>2.23815974259896</x:v>
      </x:c>
      <x:c r="D18" s="32" t="str">
        <x:v>次</x:v>
      </x:c>
      <x:c r="E18" s="32" t="str">
        <x:v>PASS</x:v>
      </x:c>
      <x:c r="F18" s="33" t="str">
        <x:v>中间过程不舍入</x:v>
      </x:c>
    </x:row>
    <x:row r="19">
      <x:c r="A19" s="31" t="str">
        <x:v>营运资金量</x:v>
      </x:c>
      <x:c r="B19" s="32" t="str">
        <x:v>收入×(1-利润率)×(1+增长率)/周转次数</x:v>
      </x:c>
      <x:c r="C19" s="38" t="n">
        <x:f>'财务报表'!D19*(1-C7)/C18</x:f>
        <x:v>2340351.7498342274</x:v>
      </x:c>
      <x:c r="D19" s="32" t="str">
        <x:v>万元</x:v>
      </x:c>
      <x:c r="E19" s="32" t="str">
        <x:v>PASS</x:v>
      </x:c>
      <x:c r="F19" s="33" t="str">
        <x:v>S004-FUNDING-V2-FULL-PRECISION</x:v>
      </x:c>
    </x:row>
    <x:row r="20">
      <x:c r="A20" s="31" t="str">
        <x:v>新增流贷上限</x:v>
      </x:c>
      <x:c r="B20" s="32" t="str">
        <x:v>营运资金量-货币资金-现有流贷-其他渠道</x:v>
      </x:c>
      <x:c r="C20" s="38" t="n">
        <x:f>C19-'财务报表'!D10-120000-30000</x:f>
        <x:v>107679.6698342273</x:v>
      </x:c>
      <x:c r="D20" s="32" t="str">
        <x:v>万元</x:v>
      </x:c>
      <x:c r="E20" s="32" t="str">
        <x:v>PASS</x:v>
      </x:c>
      <x:c r="F20" s="33" t="str">
        <x:v>现有流贷12亿元、其他渠道3亿元为模拟数据</x:v>
      </x:c>
    </x:row>
    <x:row r="21">
      <x:c r="A21" s="31" t="str">
        <x:v>申请金额规则</x:v>
      </x:c>
      <x:c r="B21" s="32" t="str">
        <x:v>申请金额&lt;=新增流贷上限</x:v>
      </x:c>
      <x:c r="C21" s="32" t="b">
        <x:f>100000&lt;=C20</x:f>
        <x:v>1</x:v>
      </x:c>
      <x:c r="D21" s="32" t="str">
        <x:v>布尔</x:v>
      </x:c>
      <x:c r="E21" s="32" t="str">
        <x:v>PASS</x:v>
      </x:c>
      <x:c r="F21" s="33" t="str">
        <x:v>通过不等于同意授信</x:v>
      </x:c>
    </x:row>
    <x:row r="22">
      <x:c r="A22" s="31" t="str">
        <x:v>内部额度规则</x:v>
      </x:c>
      <x:c r="B22" s="32" t="str">
        <x:v>申请金额&lt;=内部可用额度</x:v>
      </x:c>
      <x:c r="C22" s="32" t="b">
        <x:f>100000&lt;=180000</x:f>
        <x:v>1</x:v>
      </x:c>
      <x:c r="D22" s="32" t="str">
        <x:v>布尔</x:v>
      </x:c>
      <x:c r="E22" s="32" t="str">
        <x:v>PASS</x:v>
      </x:c>
      <x:c r="F22" s="33" t="str">
        <x:v>通过不等于同意授信</x:v>
      </x:c>
    </x:row>
    <x:row r="23">
      <x:c r="A23" s="31" t="str">
        <x:v>成员资格规则</x:v>
      </x:c>
      <x:c r="B23" s="32" t="str">
        <x:v>memberStatus=ACTIVE</x:v>
      </x:c>
      <x:c r="C23" s="32" t="n">
        <x:v>1</x:v>
      </x:c>
      <x:c r="D23" s="32" t="str">
        <x:v>布尔</x:v>
      </x:c>
      <x:c r="E23" s="32" t="str">
        <x:v>PASS</x:v>
      </x:c>
      <x:c r="F23" s="33" t="str">
        <x:v>借款人限定集团成员单位</x:v>
      </x:c>
    </x:row>
    <x:row r="24">
      <x:c r="A24" s="34"/>
      <x:c r="B24" s="35"/>
      <x:c r="C24" s="35"/>
      <x:c r="D24" s="35"/>
      <x:c r="E24" s="35"/>
      <x:c r="F24" s="36"/>
    </x:row>
  </x:sheetData>
  <x:mergeCells>
    <x:mergeCell ref="A1:F1"/>
  </x:mergeCells>
  <x:conditionalFormatting sqref="E4:E24">
    <x:cfRule type="containsText" dxfId="0" priority="1" operator="containsText" text="PASS"/>
    <x:cfRule type="containsText" dxfId="1" priority="2" operator="containsText" text="WARNING"/>
    <x:cfRule type="containsText" dxfId="2" priority="3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9" hidden="0" customWidth="1"/>
    <x:col min="3" max="3" width="20" hidden="0" customWidth="1"/>
    <x:col min="4" max="4" width="20" hidden="0" customWidth="1"/>
    <x:col min="5" max="5" width="23" hidden="0" customWidth="1"/>
    <x:col min="6" max="6" width="48" hidden="0" customWidth="1"/>
  </x:cols>
  <x:sheetData>
    <x:row r="1" ht="32" customHeight="1">
      <x:c r="A1" s="3" t="str">
        <x:v>股权关系与控制链</x:v>
      </x:c>
      <x:c r="B1" s="3" t="str">
        <x:v>股权关系与控制链</x:v>
      </x:c>
      <x:c r="C1" s="3" t="str">
        <x:v>股权关系与控制链</x:v>
      </x:c>
      <x:c r="D1" s="3" t="str">
        <x:v>股权关系与控制链</x:v>
      </x:c>
      <x:c r="E1" s="3" t="str">
        <x:v>股权关系与控制链</x:v>
      </x:c>
      <x:c r="F1" s="3" t="str">
        <x:v>股权关系与控制链</x:v>
      </x:c>
    </x:row>
    <x:row r="3" ht="28" customHeight="1">
      <x:c r="A3" s="8" t="str">
        <x:v>主体</x:v>
      </x:c>
      <x:c r="B3" s="8" t="str">
        <x:v>关系方</x:v>
      </x:c>
      <x:c r="C3" s="8" t="str">
        <x:v>关系</x:v>
      </x:c>
      <x:c r="D3" s="8" t="str">
        <x:v>比例</x:v>
      </x:c>
      <x:c r="E3" s="8" t="str">
        <x:v>来源</x:v>
      </x:c>
      <x:c r="F3" s="8" t="str">
        <x:v>核验说明</x:v>
      </x:c>
    </x:row>
    <x:row r="4">
      <x:c r="A4" s="28" t="str">
        <x:v>中国广核电力股份有限公司</x:v>
      </x:c>
      <x:c r="B4" s="29" t="str">
        <x:v>中国广核集团有限公司</x:v>
      </x:c>
      <x:c r="C4" s="29" t="str">
        <x:v>控股股东</x:v>
      </x:c>
      <x:c r="D4" s="43" t="n">
        <x:v>0.5889</x:v>
      </x:c>
      <x:c r="E4" s="29" t="str">
        <x:v>SRC-AR-2025</x:v>
      </x:c>
      <x:c r="F4" s="30" t="str">
        <x:v>控股关系明确</x:v>
      </x:c>
    </x:row>
    <x:row r="5">
      <x:c r="A5" s="31" t="str">
        <x:v>中国广核电力股份有限公司</x:v>
      </x:c>
      <x:c r="B5" s="32" t="str">
        <x:v>国务院国资委</x:v>
      </x:c>
      <x:c r="C5" s="32" t="str">
        <x:v>实际控制</x:v>
      </x:c>
      <x:c r="D5" s="39"/>
      <x:c r="E5" s="32" t="str">
        <x:v>SRC-AR-2025</x:v>
      </x:c>
      <x:c r="F5" s="33" t="str">
        <x:v>最终控制人为国务院国资委</x:v>
      </x:c>
    </x:row>
    <x:row r="6">
      <x:c r="A6" s="31" t="str">
        <x:v>中国广核电力股份有限公司</x:v>
      </x:c>
      <x:c r="B6" s="32" t="str">
        <x:v>广东恒健投资控股有限公司</x:v>
      </x:c>
      <x:c r="C6" s="32" t="str">
        <x:v>主要股东</x:v>
      </x:c>
      <x:c r="D6" s="39" t="n">
        <x:v>0.0679</x:v>
      </x:c>
      <x:c r="E6" s="32" t="str">
        <x:v>SRC-AR-2025</x:v>
      </x:c>
      <x:c r="F6" s="33" t="str">
        <x:v>公开披露</x:v>
      </x:c>
    </x:row>
    <x:row r="7">
      <x:c r="A7" s="31" t="str">
        <x:v>中国广核电力股份有限公司</x:v>
      </x:c>
      <x:c r="B7" s="32" t="str">
        <x:v>香港中央结算有限公司</x:v>
      </x:c>
      <x:c r="C7" s="32" t="str">
        <x:v>主要股东</x:v>
      </x:c>
      <x:c r="D7" s="39" t="n">
        <x:v>0.1415</x:v>
      </x:c>
      <x:c r="E7" s="32" t="str">
        <x:v>SRC-AR-2025</x:v>
      </x:c>
      <x:c r="F7" s="33" t="str">
        <x:v>公开披露</x:v>
      </x:c>
    </x:row>
    <x:row r="8">
      <x:c r="A8" s="31" t="str">
        <x:v>中国广核电力股份有限公司</x:v>
      </x:c>
      <x:c r="B8" s="32" t="str">
        <x:v>集团财务公司（演示）</x:v>
      </x:c>
      <x:c r="C8" s="32" t="str">
        <x:v>集团成员服务关系</x:v>
      </x:c>
      <x:c r="D8" s="32"/>
      <x:c r="E8" s="32" t="str">
        <x:v>SIM_MEMBER_REGISTRY</x:v>
      </x:c>
      <x:c r="F8" s="33" t="str">
        <x:v>仅用于财务公司成员资格核验</x:v>
      </x:c>
    </x:row>
    <x:row r="9">
      <x:c r="A9" s="34"/>
      <x:c r="B9" s="35"/>
      <x:c r="C9" s="35"/>
      <x:c r="D9" s="35"/>
      <x:c r="E9" s="35"/>
      <x:c r="F9" s="36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18" hidden="0" customWidth="1"/>
    <x:col min="5" max="5" width="24" hidden="0" customWidth="1"/>
    <x:col min="6" max="6" width="58" hidden="0" customWidth="1"/>
  </x:cols>
  <x:sheetData>
    <x:row r="1" ht="32" customHeight="1">
      <x:c r="A1" s="3" t="str">
        <x:v>内部授信、用信与历史融资（模拟）</x:v>
      </x:c>
      <x:c r="B1" s="3" t="str">
        <x:v>内部授信、用信与历史融资（模拟）</x:v>
      </x:c>
      <x:c r="C1" s="3" t="str">
        <x:v>内部授信、用信与历史融资（模拟）</x:v>
      </x:c>
      <x:c r="D1" s="3" t="str">
        <x:v>内部授信、用信与历史融资（模拟）</x:v>
      </x:c>
      <x:c r="E1" s="3" t="str">
        <x:v>内部授信、用信与历史融资（模拟）</x:v>
      </x:c>
      <x:c r="F1" s="3" t="str">
        <x:v>内部授信、用信与历史融资（模拟）</x:v>
      </x:c>
    </x:row>
    <x:row r="3" ht="28" customHeight="1">
      <x:c r="A3" s="8" t="str">
        <x:v>项目</x:v>
      </x:c>
      <x:c r="B3" s="8" t="str">
        <x:v>金额</x:v>
      </x:c>
      <x:c r="C3" s="8" t="str">
        <x:v>单位</x:v>
      </x:c>
      <x:c r="D3" s="8" t="str">
        <x:v>时点</x:v>
      </x:c>
      <x:c r="E3" s="8" t="str">
        <x:v>来源节点</x:v>
      </x:c>
      <x:c r="F3" s="8" t="str">
        <x:v>说明</x:v>
      </x:c>
    </x:row>
    <x:row r="4">
      <x:c r="A4" s="28" t="str">
        <x:v>内部批准额度</x:v>
      </x:c>
      <x:c r="B4" s="46" t="n">
        <x:v>300000</x:v>
      </x:c>
      <x:c r="C4" s="29" t="str">
        <x:v>万元</x:v>
      </x:c>
      <x:c r="D4" s="29" t="str">
        <x:v>2026-08-15</x:v>
      </x:c>
      <x:c r="E4" s="29" t="str">
        <x:v>SIM_INTERNAL_CREDIT</x:v>
      </x:c>
      <x:c r="F4" s="30" t="str">
        <x:v>演示内部额度</x:v>
      </x:c>
    </x:row>
    <x:row r="5">
      <x:c r="A5" s="31" t="str">
        <x:v>已用额度</x:v>
      </x:c>
      <x:c r="B5" s="38" t="n">
        <x:v>120000</x:v>
      </x:c>
      <x:c r="C5" s="32" t="str">
        <x:v>万元</x:v>
      </x:c>
      <x:c r="D5" s="32" t="str">
        <x:v>2026-08-15</x:v>
      </x:c>
      <x:c r="E5" s="32" t="str">
        <x:v>SIM_INTERNAL_CREDIT</x:v>
      </x:c>
      <x:c r="F5" s="33" t="str">
        <x:v>演示已用</x:v>
      </x:c>
    </x:row>
    <x:row r="6">
      <x:c r="A6" s="31" t="str">
        <x:v>可用额度</x:v>
      </x:c>
      <x:c r="B6" s="38" t="n">
        <x:v>180000</x:v>
      </x:c>
      <x:c r="C6" s="32" t="str">
        <x:v>万元</x:v>
      </x:c>
      <x:c r="D6" s="32" t="str">
        <x:v>2026-08-15</x:v>
      </x:c>
      <x:c r="E6" s="32" t="str">
        <x:v>SIM_INTERNAL_CREDIT</x:v>
      </x:c>
      <x:c r="F6" s="33" t="str">
        <x:v>批准额度-已用额度</x:v>
      </x:c>
    </x:row>
    <x:row r="7">
      <x:c r="A7" s="31" t="str">
        <x:v>现有流动资金贷款</x:v>
      </x:c>
      <x:c r="B7" s="38" t="n">
        <x:v>120000</x:v>
      </x:c>
      <x:c r="C7" s="32" t="str">
        <x:v>万元</x:v>
      </x:c>
      <x:c r="D7" s="32" t="str">
        <x:v>2026-08-14</x:v>
      </x:c>
      <x:c r="E7" s="32" t="str">
        <x:v>SIM_LOAN_LEDGER</x:v>
      </x:c>
      <x:c r="F7" s="33" t="str">
        <x:v>资金需求扣减项</x:v>
      </x:c>
    </x:row>
    <x:row r="8">
      <x:c r="A8" s="31" t="str">
        <x:v>其他渠道营运资金</x:v>
      </x:c>
      <x:c r="B8" s="38" t="n">
        <x:v>30000</x:v>
      </x:c>
      <x:c r="C8" s="32" t="str">
        <x:v>万元</x:v>
      </x:c>
      <x:c r="D8" s="32" t="str">
        <x:v>2026-08-14</x:v>
      </x:c>
      <x:c r="E8" s="32" t="str">
        <x:v>SIM_LOAN_LEDGER</x:v>
      </x:c>
      <x:c r="F8" s="33" t="str">
        <x:v>资金需求扣减项</x:v>
      </x:c>
    </x:row>
    <x:row r="9">
      <x:c r="A9" s="31" t="str">
        <x:v>本次申请</x:v>
      </x:c>
      <x:c r="B9" s="38" t="n">
        <x:v>100000</x:v>
      </x:c>
      <x:c r="C9" s="32" t="str">
        <x:v>万元</x:v>
      </x:c>
      <x:c r="D9" s="32" t="str">
        <x:v>2026-08-15</x:v>
      </x:c>
      <x:c r="E9" s="32" t="str">
        <x:v>SIM_LOAN_APPLICATION</x:v>
      </x:c>
      <x:c r="F9" s="33" t="str">
        <x:v>未审批</x:v>
      </x:c>
    </x:row>
    <x:row r="10">
      <x:c r="A10" s="31" t="str">
        <x:v>人工批准金额</x:v>
      </x:c>
      <x:c r="B10" s="38" t="n">
        <x:v>50000</x:v>
      </x:c>
      <x:c r="C10" s="32" t="str">
        <x:v>万元</x:v>
      </x:c>
      <x:c r="D10" s="32" t="str">
        <x:v>2026-08-15</x:v>
      </x:c>
      <x:c r="E10" s="32" t="str">
        <x:v>HUMAN_CREDIT_DECISION</x:v>
      </x:c>
      <x:c r="F10" s="33" t="str">
        <x:v>演示有权审批人确认；非Agent结论</x:v>
      </x:c>
    </x:row>
    <x:row r="11">
      <x:c r="A11" s="34"/>
      <x:c r="B11" s="47"/>
      <x:c r="C11" s="35"/>
      <x:c r="D11" s="35"/>
      <x:c r="E11" s="35"/>
      <x:c r="F11" s="36"/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24" hidden="0" customWidth="1"/>
    <x:col min="5" max="5" width="58" hidden="0" customWidth="1"/>
  </x:cols>
  <x:sheetData>
    <x:row r="1" ht="32" customHeight="1">
      <x:c r="A1" s="3" t="str">
        <x:v>征信摘要与内部评级（模拟）</x:v>
      </x:c>
      <x:c r="B1" s="3" t="str">
        <x:v>征信摘要与内部评级（模拟）</x:v>
      </x:c>
      <x:c r="C1" s="3" t="str">
        <x:v>征信摘要与内部评级（模拟）</x:v>
      </x:c>
      <x:c r="D1" s="3" t="str">
        <x:v>征信摘要与内部评级（模拟）</x:v>
      </x:c>
      <x:c r="E1" s="3" t="str">
        <x:v>征信摘要与内部评级（模拟）</x:v>
      </x:c>
    </x:row>
    <x:row r="3" ht="28" customHeight="1">
      <x:c r="A3" s="8" t="str">
        <x:v>项目</x:v>
      </x:c>
      <x:c r="B3" s="8" t="str">
        <x:v>值</x:v>
      </x:c>
      <x:c r="C3" s="8" t="str">
        <x:v>时点/有效期</x:v>
      </x:c>
      <x:c r="D3" s="8" t="str">
        <x:v>来源节点</x:v>
      </x:c>
      <x:c r="E3" s="8" t="str">
        <x:v>核验说明</x:v>
      </x:c>
    </x:row>
    <x:row r="4">
      <x:c r="A4" s="28" t="str">
        <x:v>征信截至日</x:v>
      </x:c>
      <x:c r="B4" s="29" t="str">
        <x:v>2026-08-14</x:v>
      </x:c>
      <x:c r="C4" s="29" t="str">
        <x:v>截至日</x:v>
      </x:c>
      <x:c r="D4" s="29" t="str">
        <x:v>SIM_CREDIT_BUREAU</x:v>
      </x:c>
      <x:c r="E4" s="30" t="str">
        <x:v>模拟征信摘要</x:v>
      </x:c>
    </x:row>
    <x:row r="5">
      <x:c r="A5" s="31" t="str">
        <x:v>当前逾期金额</x:v>
      </x:c>
      <x:c r="B5" s="32" t="n">
        <x:v>0</x:v>
      </x:c>
      <x:c r="C5" s="32" t="str">
        <x:v>万元</x:v>
      </x:c>
      <x:c r="D5" s="32" t="str">
        <x:v>SIM_CREDIT_BUREAU</x:v>
      </x:c>
      <x:c r="E5" s="33" t="str">
        <x:v>未见当前逾期</x:v>
      </x:c>
    </x:row>
    <x:row r="6">
      <x:c r="A6" s="31" t="str">
        <x:v>24个月90天以上逾期次数</x:v>
      </x:c>
      <x:c r="B6" s="32" t="n">
        <x:v>0</x:v>
      </x:c>
      <x:c r="C6" s="32" t="str">
        <x:v>次</x:v>
      </x:c>
      <x:c r="D6" s="32" t="str">
        <x:v>SIM_CREDIT_BUREAU</x:v>
      </x:c>
      <x:c r="E6" s="33" t="str">
        <x:v>模拟值</x:v>
      </x:c>
    </x:row>
    <x:row r="7">
      <x:c r="A7" s="31" t="str">
        <x:v>重大不良记录</x:v>
      </x:c>
      <x:c r="B7" s="32" t="str">
        <x:v>NONE_REPORTED</x:v>
      </x:c>
      <x:c r="C7" s="32" t="str">
        <x:v>截至2026-08-14</x:v>
      </x:c>
      <x:c r="D7" s="32" t="str">
        <x:v>SIM_CREDIT_BUREAU</x:v>
      </x:c>
      <x:c r="E7" s="33" t="str">
        <x:v>需以真实征信替换后方可用于生产</x:v>
      </x:c>
    </x:row>
    <x:row r="8">
      <x:c r="A8" s="31" t="str">
        <x:v>内部评级</x:v>
      </x:c>
      <x:c r="B8" s="32" t="str">
        <x:v>AA+</x:v>
      </x:c>
      <x:c r="C8" s="32" t="str">
        <x:v>2026-07-01至2027-06-30</x:v>
      </x:c>
      <x:c r="D8" s="32" t="str">
        <x:v>SIM_INTERNAL_RATING</x:v>
      </x:c>
      <x:c r="E8" s="33" t="str">
        <x:v>模拟评级</x:v>
      </x:c>
    </x:row>
    <x:row r="9">
      <x:c r="A9" s="31" t="str">
        <x:v>内部评分</x:v>
      </x:c>
      <x:c r="B9" s="32" t="n">
        <x:v>86</x:v>
      </x:c>
      <x:c r="C9" s="32" t="str">
        <x:v>分</x:v>
      </x:c>
      <x:c r="D9" s="32" t="str">
        <x:v>SIM_INTERNAL_RATING</x:v>
      </x:c>
      <x:c r="E9" s="33" t="str">
        <x:v>模拟评分</x:v>
      </x:c>
    </x:row>
    <x:row r="10">
      <x:c r="A10" s="31" t="str">
        <x:v>评级状态</x:v>
      </x:c>
      <x:c r="B10" s="32" t="str">
        <x:v>VALID</x:v>
      </x:c>
      <x:c r="C10" s="32" t="str">
        <x:v>截至2026-08-15</x:v>
      </x:c>
      <x:c r="D10" s="32" t="str">
        <x:v>SIM_INTERNAL_RATING</x:v>
      </x:c>
      <x:c r="E10" s="33" t="str">
        <x:v>未过期</x:v>
      </x:c>
    </x:row>
    <x:row r="11">
      <x:c r="A11" s="34"/>
      <x:c r="B11" s="35"/>
      <x:c r="C11" s="35"/>
      <x:c r="D11" s="35"/>
      <x:c r="E11" s="36"/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6" hidden="0" customWidth="1"/>
    <x:col min="3" max="3" width="22" hidden="0" customWidth="1"/>
    <x:col min="4" max="4" width="28" hidden="0" customWidth="1"/>
    <x:col min="5" max="5" width="58" hidden="0" customWidth="1"/>
  </x:cols>
  <x:sheetData>
    <x:row r="1" ht="32" customHeight="1">
      <x:c r="A1" s="3" t="str">
        <x:v>用途合同、还款计划与资金闭环（模拟）</x:v>
      </x:c>
      <x:c r="B1" s="3" t="str">
        <x:v>用途合同、还款计划与资金闭环（模拟）</x:v>
      </x:c>
      <x:c r="C1" s="3" t="str">
        <x:v>用途合同、还款计划与资金闭环（模拟）</x:v>
      </x:c>
      <x:c r="D1" s="3" t="str">
        <x:v>用途合同、还款计划与资金闭环（模拟）</x:v>
      </x:c>
      <x:c r="E1" s="3" t="str">
        <x:v>用途合同、还款计划与资金闭环（模拟）</x:v>
      </x:c>
    </x:row>
    <x:row r="3" ht="28" customHeight="1">
      <x:c r="A3" s="8" t="str">
        <x:v>项目</x:v>
      </x:c>
      <x:c r="B3" s="8" t="str">
        <x:v>值</x:v>
      </x:c>
      <x:c r="C3" s="8" t="str">
        <x:v>单位/方式</x:v>
      </x:c>
      <x:c r="D3" s="8" t="str">
        <x:v>来源节点</x:v>
      </x:c>
      <x:c r="E3" s="8" t="str">
        <x:v>核验说明</x:v>
      </x:c>
    </x:row>
    <x:row r="4">
      <x:c r="A4" s="28" t="str">
        <x:v>合格用途合同金额</x:v>
      </x:c>
      <x:c r="B4" s="46" t="n">
        <x:v>120000</x:v>
      </x:c>
      <x:c r="C4" s="29" t="str">
        <x:v>万元</x:v>
      </x:c>
      <x:c r="D4" s="29" t="str">
        <x:v>SIM_PURPOSE_CONTRACT</x:v>
      </x:c>
      <x:c r="E4" s="30" t="str">
        <x:v>覆盖申请金额</x:v>
      </x:c>
    </x:row>
    <x:row r="5">
      <x:c r="A5" s="31" t="str">
        <x:v>合同用途</x:v>
      </x:c>
      <x:c r="B5" s="32" t="str">
        <x:v>核燃料、备品备件及运维服务采购</x:v>
      </x:c>
      <x:c r="C5" s="32" t="str">
        <x:v>文本</x:v>
      </x:c>
      <x:c r="D5" s="32" t="str">
        <x:v>SIM_PURPOSE_CONTRACT</x:v>
      </x:c>
      <x:c r="E5" s="33" t="str">
        <x:v>与贷款用途一致</x:v>
      </x:c>
    </x:row>
    <x:row r="6">
      <x:c r="A6" s="31" t="str">
        <x:v>付款对象</x:v>
      </x:c>
      <x:c r="B6" s="32" t="str">
        <x:v>经财务公司白名单核验的供应商</x:v>
      </x:c>
      <x:c r="C6" s="32" t="str">
        <x:v>规则</x:v>
      </x:c>
      <x:c r="D6" s="32" t="str">
        <x:v>SIM_PURPOSE_CONTRACT</x:v>
      </x:c>
      <x:c r="E6" s="33" t="str">
        <x:v>支付前再核验</x:v>
      </x:c>
    </x:row>
    <x:row r="7">
      <x:c r="A7" s="31" t="str">
        <x:v>本金偿还</x:v>
      </x:c>
      <x:c r="B7" s="32" t="str">
        <x:v>到期一次还本</x:v>
      </x:c>
      <x:c r="C7" s="32" t="str">
        <x:v>BULLET_AT_MATURITY</x:v>
      </x:c>
      <x:c r="D7" s="32" t="str">
        <x:v>SIM_REPAYMENT_PLAN</x:v>
      </x:c>
      <x:c r="E7" s="33" t="str">
        <x:v>期限12个月</x:v>
      </x:c>
    </x:row>
    <x:row r="8">
      <x:c r="A8" s="31" t="str">
        <x:v>付息频率</x:v>
      </x:c>
      <x:c r="B8" s="32" t="str">
        <x:v>按季付息</x:v>
      </x:c>
      <x:c r="C8" s="32" t="str">
        <x:v>QUARTERLY</x:v>
      </x:c>
      <x:c r="D8" s="32" t="str">
        <x:v>SIM_REPAYMENT_PLAN</x:v>
      </x:c>
      <x:c r="E8" s="33" t="str">
        <x:v>演示条件</x:v>
      </x:c>
    </x:row>
    <x:row r="9">
      <x:c r="A9" s="31" t="str">
        <x:v>主要还款来源</x:v>
      </x:c>
      <x:c r="B9" s="32" t="str">
        <x:v>核电运营收入和经营活动现金流</x:v>
      </x:c>
      <x:c r="C9" s="32" t="str">
        <x:v>文本</x:v>
      </x:c>
      <x:c r="D9" s="32" t="str">
        <x:v>SIM_REPAYMENT_PLAN</x:v>
      </x:c>
      <x:c r="E9" s="33" t="str">
        <x:v>2025经营现金流299.71亿元</x:v>
      </x:c>
    </x:row>
    <x:row r="10">
      <x:c r="A10" s="31" t="str">
        <x:v>辅助还款来源</x:v>
      </x:c>
      <x:c r="B10" s="32" t="str">
        <x:v>自有货币资金及授信项下可调度资金</x:v>
      </x:c>
      <x:c r="C10" s="32" t="str">
        <x:v>文本</x:v>
      </x:c>
      <x:c r="D10" s="32" t="str">
        <x:v>SIM_REPAYMENT_PLAN</x:v>
      </x:c>
      <x:c r="E10" s="33" t="str">
        <x:v>不得自动推断为充分</x:v>
      </x:c>
    </x:row>
    <x:row r="11">
      <x:c r="A11" s="31" t="str">
        <x:v>保证人</x:v>
      </x:c>
      <x:c r="B11" s="32" t="str">
        <x:v>NOT_APPLICABLE</x:v>
      </x:c>
      <x:c r="C11" s="32" t="str">
        <x:v>枚举</x:v>
      </x:c>
      <x:c r="D11" s="32" t="str">
        <x:v>SIM_LOAN_APPLICATION</x:v>
      </x:c>
      <x:c r="E11" s="33" t="str">
        <x:v>信用贷款</x:v>
      </x:c>
    </x:row>
    <x:row r="12">
      <x:c r="A12" s="31" t="str">
        <x:v>抵质押物</x:v>
      </x:c>
      <x:c r="B12" s="32" t="str">
        <x:v>NOT_APPLICABLE</x:v>
      </x:c>
      <x:c r="C12" s="32" t="str">
        <x:v>枚举</x:v>
      </x:c>
      <x:c r="D12" s="32" t="str">
        <x:v>SIM_LOAN_APPLICATION</x:v>
      </x:c>
      <x:c r="E12" s="33" t="str">
        <x:v>信用贷款</x:v>
      </x:c>
    </x:row>
    <x:row r="13">
      <x:c r="A13" s="34"/>
      <x:c r="B13" s="35"/>
      <x:c r="C13" s="35"/>
      <x:c r="D13" s="35"/>
      <x:c r="E13" s="36"/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6" hidden="0" customWidth="1"/>
    <x:col min="3" max="3" width="24" hidden="0" customWidth="1"/>
    <x:col min="4" max="4" width="26" hidden="0" customWidth="1"/>
    <x:col min="5" max="5" width="58" hidden="0" customWidth="1"/>
  </x:cols>
  <x:sheetData>
    <x:row r="1" ht="32" customHeight="1">
      <x:c r="A1" s="3" t="str">
        <x:v>现场调查与资料核对（模拟）</x:v>
      </x:c>
      <x:c r="B1" s="3" t="str">
        <x:v>现场调查与资料核对（模拟）</x:v>
      </x:c>
      <x:c r="C1" s="3" t="str">
        <x:v>现场调查与资料核对（模拟）</x:v>
      </x:c>
      <x:c r="D1" s="3" t="str">
        <x:v>现场调查与资料核对（模拟）</x:v>
      </x:c>
      <x:c r="E1" s="3" t="str">
        <x:v>现场调查与资料核对（模拟）</x:v>
      </x:c>
    </x:row>
    <x:row r="3" ht="28" customHeight="1">
      <x:c r="A3" s="8" t="str">
        <x:v>调查项</x:v>
      </x:c>
      <x:c r="B3" s="8" t="str">
        <x:v>结果</x:v>
      </x:c>
      <x:c r="C3" s="8" t="str">
        <x:v>状态</x:v>
      </x:c>
      <x:c r="D3" s="8" t="str">
        <x:v>来源节点</x:v>
      </x:c>
      <x:c r="E3" s="8" t="str">
        <x:v>人工边界</x:v>
      </x:c>
    </x:row>
    <x:row r="4">
      <x:c r="A4" s="28" t="str">
        <x:v>调查日期</x:v>
      </x:c>
      <x:c r="B4" s="29" t="str">
        <x:v>2026-08-12</x:v>
      </x:c>
      <x:c r="C4" s="29" t="str">
        <x:v>COMPLETED</x:v>
      </x:c>
      <x:c r="D4" s="29" t="str">
        <x:v>SIM_SITE_SURVEY</x:v>
      </x:c>
      <x:c r="E4" s="30" t="str">
        <x:v>调查经办确认</x:v>
      </x:c>
    </x:row>
    <x:row r="5">
      <x:c r="A5" s="31" t="str">
        <x:v>调查地点</x:v>
      </x:c>
      <x:c r="B5" s="32" t="str">
        <x:v>深圳总部（演示）</x:v>
      </x:c>
      <x:c r="C5" s="32" t="str">
        <x:v>COMPLETED</x:v>
      </x:c>
      <x:c r="D5" s="32" t="str">
        <x:v>SIM_SITE_SURVEY</x:v>
      </x:c>
      <x:c r="E5" s="33" t="str">
        <x:v>模拟资料</x:v>
      </x:c>
    </x:row>
    <x:row r="6">
      <x:c r="A6" s="31" t="str">
        <x:v>经营连续性</x:v>
      </x:c>
      <x:c r="B6" s="32" t="str">
        <x:v>主营业务持续运营，未发现与年报披露明显冲突</x:v>
      </x:c>
      <x:c r="C6" s="32" t="str">
        <x:v>NO_CONFLICT_FOUND</x:v>
      </x:c>
      <x:c r="D6" s="32" t="str">
        <x:v>SIM_SITE_SURVEY</x:v>
      </x:c>
      <x:c r="E6" s="33" t="str">
        <x:v>需真实现场资料替换后用于生产</x:v>
      </x:c>
    </x:row>
    <x:row r="7">
      <x:c r="A7" s="31" t="str">
        <x:v>用途合同</x:v>
      </x:c>
      <x:c r="B7" s="32" t="str">
        <x:v>合同金额和用途覆盖本次申请</x:v>
      </x:c>
      <x:c r="C7" s="32" t="str">
        <x:v>VERIFIED</x:v>
      </x:c>
      <x:c r="D7" s="32" t="str">
        <x:v>SIM_SITE_SURVEY</x:v>
      </x:c>
      <x:c r="E7" s="33" t="str">
        <x:v>支付前需复核</x:v>
      </x:c>
    </x:row>
    <x:row r="8">
      <x:c r="A8" s="31" t="str">
        <x:v>征信与评级</x:v>
      </x:c>
      <x:c r="B8" s="32" t="str">
        <x:v>截至时点有效，未见当前逾期</x:v>
      </x:c>
      <x:c r="C8" s="32" t="str">
        <x:v>VERIFIED</x:v>
      </x:c>
      <x:c r="D8" s="32" t="str">
        <x:v>SIM_SITE_SURVEY</x:v>
      </x:c>
      <x:c r="E8" s="33" t="str">
        <x:v>模拟资料</x:v>
      </x:c>
    </x:row>
    <x:row r="9">
      <x:c r="A9" s="31" t="str">
        <x:v>担保/抵质押</x:v>
      </x:c>
      <x:c r="B9" s="32" t="str">
        <x:v>NOT_APPLICABLE</x:v>
      </x:c>
      <x:c r="C9" s="32" t="str">
        <x:v>N/A</x:v>
      </x:c>
      <x:c r="D9" s="32" t="str">
        <x:v>SIM_SITE_SURVEY</x:v>
      </x:c>
      <x:c r="E9" s="33" t="str">
        <x:v>不得生成担保物评价</x:v>
      </x:c>
    </x:row>
    <x:row r="10">
      <x:c r="A10" s="31" t="str">
        <x:v>资料差异</x:v>
      </x:c>
      <x:c r="B10" s="32" t="str">
        <x:v>2023/2024跨期重述口径存在可比性限制</x:v>
      </x:c>
      <x:c r="C10" s="32" t="str">
        <x:v>WARNING</x:v>
      </x:c>
      <x:c r="D10" s="32" t="str">
        <x:v>DATA_QUALITY</x:v>
      </x:c>
      <x:c r="E10" s="33" t="str">
        <x:v>数据/口径批准人确认</x:v>
      </x:c>
    </x:row>
    <x:row r="11">
      <x:c r="A11" s="31" t="str">
        <x:v>调查意见状态</x:v>
      </x:c>
      <x:c r="B11" s="32" t="str">
        <x:v>HUMAN_CONFIRMED</x:v>
      </x:c>
      <x:c r="C11" s="32" t="str">
        <x:v>CONFIRMED</x:v>
      </x:c>
      <x:c r="D11" s="32" t="str">
        <x:v>HUMAN_INVESTIGATION_OPINION</x:v>
      </x:c>
      <x:c r="E11" s="33" t="str">
        <x:v>不得由Agent替代</x:v>
      </x:c>
    </x:row>
    <x:row r="12">
      <x:c r="A12" s="34"/>
      <x:c r="B12" s="35"/>
      <x:c r="C12" s="35"/>
      <x:c r="D12" s="35"/>
      <x:c r="E12" s="36"/>
    </x:row>
  </x:sheetData>
  <x:mergeCells>
    <x:mergeCell ref="A1:E1"/>
  </x:mergeCells>
  <x:conditionalFormatting sqref="C4:C12">
    <x:cfRule type="containsText" dxfId="3" priority="1" operator="containsText" text="PASS"/>
    <x:cfRule type="containsText" dxfId="4" priority="2" operator="containsText" text="WARNING"/>
    <x:cfRule type="containsText" dxfId="5" priority="3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62" hidden="0" customWidth="1"/>
    <x:col min="4" max="4" width="22" hidden="0" customWidth="1"/>
    <x:col min="5" max="5" width="28" hidden="0" customWidth="1"/>
  </x:cols>
  <x:sheetData>
    <x:row r="1" ht="32" customHeight="1">
      <x:c r="A1" s="3" t="str">
        <x:v>人工调查、口径批准、复核发布与最终授信决定</x:v>
      </x:c>
      <x:c r="B1" s="3" t="str">
        <x:v>人工调查、口径批准、复核发布与最终授信决定</x:v>
      </x:c>
      <x:c r="C1" s="3" t="str">
        <x:v>人工调查、口径批准、复核发布与最终授信决定</x:v>
      </x:c>
      <x:c r="D1" s="3" t="str">
        <x:v>人工调查、口径批准、复核发布与最终授信决定</x:v>
      </x:c>
      <x:c r="E1" s="3" t="str">
        <x:v>人工调查、口径批准、复核发布与最终授信决定</x:v>
      </x:c>
    </x:row>
    <x:row r="3" ht="28" customHeight="1">
      <x:c r="A3" s="8" t="str">
        <x:v>责任角色</x:v>
      </x:c>
      <x:c r="B3" s="8" t="str">
        <x:v>确认状态</x:v>
      </x:c>
      <x:c r="C3" s="8" t="str">
        <x:v>确认内容</x:v>
      </x:c>
      <x:c r="D3" s="8" t="str">
        <x:v>确认日期</x:v>
      </x:c>
      <x:c r="E3" s="8" t="str">
        <x:v>证据ID</x:v>
      </x:c>
    </x:row>
    <x:row r="4">
      <x:c r="A4" s="28" t="str">
        <x:v>调查经办</x:v>
      </x:c>
      <x:c r="B4" s="29" t="str">
        <x:v>CONFIRMED</x:v>
      </x:c>
      <x:c r="C4" s="29" t="str">
        <x:v>成员资格、贷款用途、征信和现场资料已按演示夹具核对；建议提交人工审批。</x:v>
      </x:c>
      <x:c r="D4" s="29" t="str">
        <x:v>2026-08-15</x:v>
      </x:c>
      <x:c r="E4" s="30" t="str">
        <x:v>HUM-INV-001</x:v>
      </x:c>
    </x:row>
    <x:row r="5">
      <x:c r="A5" s="31" t="str">
        <x:v>数据/口径批准</x:v>
      </x:c>
      <x:c r="B5" s="32" t="str">
        <x:v>CONFIRMED</x:v>
      </x:c>
      <x:c r="C5" s="32" t="str">
        <x:v>采用2025年报及2024重述比较期；2023趋势标记可比性受限；资金需求按全精度V2。</x:v>
      </x:c>
      <x:c r="D5" s="32" t="str">
        <x:v>2026-08-15</x:v>
      </x:c>
      <x:c r="E5" s="33" t="str">
        <x:v>HUM-DATA-001</x:v>
      </x:c>
    </x:row>
    <x:row r="6">
      <x:c r="A6" s="31" t="str">
        <x:v>报告复核发布</x:v>
      </x:c>
      <x:c r="B6" s="32" t="str">
        <x:v>CONFIRMED</x:v>
      </x:c>
      <x:c r="C6" s="32" t="str">
        <x:v>HTML/PDF同源，事实锚点、证据包和确定性核验一致；演示发布允许。</x:v>
      </x:c>
      <x:c r="D6" s="32" t="str">
        <x:v>2026-08-15</x:v>
      </x:c>
      <x:c r="E6" s="33" t="str">
        <x:v>HUM-RVW-001</x:v>
      </x:c>
    </x:row>
    <x:row r="7">
      <x:c r="A7" s="31" t="str">
        <x:v>最终有权审批人</x:v>
      </x:c>
      <x:c r="B7" s="32" t="str">
        <x:v>CONFIRMED</x:v>
      </x:c>
      <x:c r="C7" s="32" t="str">
        <x:v>同意演示授信50,000万元，12个月，固定年利率2.35%，信用方式；附用途与监测条件。</x:v>
      </x:c>
      <x:c r="D7" s="32" t="str">
        <x:v>2026-08-15</x:v>
      </x:c>
      <x:c r="E7" s="33" t="str">
        <x:v>HUM-APR-001</x:v>
      </x:c>
    </x:row>
    <x:row r="8">
      <x:c r="A8" s="31" t="str">
        <x:v>Agent</x:v>
      </x:c>
      <x:c r="B8" s="32" t="str">
        <x:v>NOT_AUTHORIZED</x:v>
      </x:c>
      <x:c r="C8" s="32" t="str">
        <x:v>仅组织固定证据包中的分析文字，不决定额度、利率、风险可控性或发布。</x:v>
      </x:c>
      <x:c r="D8" s="32" t="str">
        <x:v>2026-08-15</x:v>
      </x:c>
      <x:c r="E8" s="33" t="str">
        <x:v>BOUNDARY-M05</x:v>
      </x:c>
    </x:row>
    <x:row r="9">
      <x:c r="A9" s="34" t="str">
        <x:v>报告助手</x:v>
      </x:c>
      <x:c r="B9" s="35" t="str">
        <x:v>NOT_AUTHORIZED</x:v>
      </x:c>
      <x:c r="C9" s="35" t="str">
        <x:v>不得发布报告、修改本体、切换T019、执行Action或创建待办。</x:v>
      </x:c>
      <x:c r="D9" s="35" t="str">
        <x:v>2026-08-15</x:v>
      </x:c>
      <x:c r="E9" s="36" t="str">
        <x:v>BOUNDARY-M06</x:v>
      </x:c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54" hidden="0" customWidth="1"/>
    <x:col min="4" max="4" width="58" hidden="0" customWidth="1"/>
    <x:col min="5" max="5" width="38" hidden="0" customWidth="1"/>
  </x:cols>
  <x:sheetData>
    <x:row r="1" ht="32" customHeight="1">
      <x:c r="A1" s="3" t="str">
        <x:v>数据质量、缺失、冲突、过期与不可核验状态</x:v>
      </x:c>
      <x:c r="B1" s="3" t="str">
        <x:v>数据质量、缺失、冲突、过期与不可核验状态</x:v>
      </x:c>
      <x:c r="C1" s="3" t="str">
        <x:v>数据质量、缺失、冲突、过期与不可核验状态</x:v>
      </x:c>
      <x:c r="D1" s="3" t="str">
        <x:v>数据质量、缺失、冲突、过期与不可核验状态</x:v>
      </x:c>
      <x:c r="E1" s="3" t="str">
        <x:v>数据质量、缺失、冲突、过期与不可核验状态</x:v>
      </x:c>
    </x:row>
    <x:row r="3" ht="28" customHeight="1">
      <x:c r="A3" s="8" t="str">
        <x:v>质量代码</x:v>
      </x:c>
      <x:c r="B3" s="8" t="str">
        <x:v>严重度</x:v>
      </x:c>
      <x:c r="C3" s="8" t="str">
        <x:v>问题</x:v>
      </x:c>
      <x:c r="D3" s="8" t="str">
        <x:v>处置</x:v>
      </x:c>
      <x:c r="E3" s="8" t="str">
        <x:v>发布影响</x:v>
      </x:c>
    </x:row>
    <x:row r="4">
      <x:c r="A4" s="28" t="str">
        <x:v>MIXED_RESTATEMENT_SCOPE</x:v>
      </x:c>
      <x:c r="B4" s="29" t="str">
        <x:v>HIGH</x:v>
      </x:c>
      <x:c r="C4" s="29" t="str">
        <x:v>样本三年表混用了2023原始口径与2024重述口径，不能直接形成一致趋势。</x:v>
      </x:c>
      <x:c r="D4" s="29" t="str">
        <x:v>正式计算仅使用2025及2024重述数据；2023标记可比性受限。</x:v>
      </x:c>
      <x:c r="E4" s="30" t="str">
        <x:v>人工口径确认后允许演示发布</x:v>
      </x:c>
    </x:row>
    <x:row r="5">
      <x:c r="A5" s="31" t="str">
        <x:v>FUNDING_INTERMEDIATE_ROUNDING</x:v>
      </x:c>
      <x:c r="B5" s="32" t="str">
        <x:v>MEDIUM</x:v>
      </x:c>
      <x:c r="C5" s="32" t="str">
        <x:v>样本以展示值中间舍入，营运资金量与全精度结果相差约221.03万元。</x:v>
      </x:c>
      <x:c r="D5" s="32" t="str">
        <x:v>锁定S004-FUNDING-V2-FULL-PRECISION，中间过程不舍入。</x:v>
      </x:c>
      <x:c r="E5" s="33" t="str">
        <x:v>已解决</x:v>
      </x:c>
    </x:row>
    <x:row r="6">
      <x:c r="A6" s="31" t="str">
        <x:v>SYNTHETIC_INTERNAL_DATA</x:v>
      </x:c>
      <x:c r="B6" s="32" t="str">
        <x:v>HIGH</x:v>
      </x:c>
      <x:c r="C6" s="32" t="str">
        <x:v>成员、内部授信、征信、评级、用途合同、还款计划和现场调查为演示合成。</x:v>
      </x:c>
      <x:c r="D6" s="32" t="str">
        <x:v>全量标记synthetic-demo；生产前必须替换。</x:v>
      </x:c>
      <x:c r="E6" s="33" t="str">
        <x:v>仅允许演示发布</x:v>
      </x:c>
    </x:row>
    <x:row r="7">
      <x:c r="A7" s="31" t="str">
        <x:v>NO_DUPLICATE_FINANCIAL_UPLOAD</x:v>
      </x:c>
      <x:c r="B7" s="32" t="str">
        <x:v>PASS</x:v>
      </x:c>
      <x:c r="C7" s="32" t="str">
        <x:v>年报已有财务事实不再创建上传型模拟财务报表。</x:v>
      </x:c>
      <x:c r="D7" s="32" t="str">
        <x:v>使用共享公开资料来源节点及哈希。</x:v>
      </x:c>
      <x:c r="E7" s="33" t="str">
        <x:v>通过</x:v>
      </x:c>
    </x:row>
    <x:row r="8">
      <x:c r="A8" s="31" t="str">
        <x:v>GUARANTEE_COLLATERAL_NA</x:v>
      </x:c>
      <x:c r="B8" s="32" t="str">
        <x:v>PASS</x:v>
      </x:c>
      <x:c r="C8" s="32" t="str">
        <x:v>本案例为信用贷款，无保证、抵押或质押。</x:v>
      </x:c>
      <x:c r="D8" s="32" t="str">
        <x:v>保证和抵质押显式NOT_APPLICABLE。</x:v>
      </x:c>
      <x:c r="E8" s="33" t="str">
        <x:v>通过</x:v>
      </x:c>
    </x:row>
    <x:row r="9">
      <x:c r="A9" s="31" t="str">
        <x:v>REPORT_STRUCTURE_ONLY</x:v>
      </x:c>
      <x:c r="B9" s="32" t="str">
        <x:v>PASS</x:v>
      </x:c>
      <x:c r="C9" s="32" t="str">
        <x:v>历史输出报告仅用于正式章节结构。</x:v>
      </x:c>
      <x:c r="D9" s="32" t="str">
        <x:v>不继承其中的历史授信结论和风险定性。</x:v>
      </x:c>
      <x:c r="E9" s="33" t="str">
        <x:v>通过</x:v>
      </x:c>
    </x:row>
    <x:row r="10">
      <x:c r="A10" s="31" t="str">
        <x:v>DATA_CUTOFF</x:v>
      </x:c>
      <x:c r="B10" s="32" t="str">
        <x:v>PASS</x:v>
      </x:c>
      <x:c r="C10" s="32" t="str">
        <x:v>财务截至2025-12-31；内部资料截至2026-08-15。</x:v>
      </x:c>
      <x:c r="D10" s="32" t="str">
        <x:v>报告逐项展示时点。</x:v>
      </x:c>
      <x:c r="E10" s="33" t="str">
        <x:v>通过</x:v>
      </x:c>
    </x:row>
    <x:row r="11">
      <x:c r="A11" s="34"/>
      <x:c r="B11" s="35"/>
      <x:c r="C11" s="35"/>
      <x:c r="D11" s="35"/>
      <x:c r="E11" s="36"/>
    </x:row>
  </x:sheetData>
  <x:mergeCells>
    <x:mergeCell ref="A1:E1"/>
  </x:mergeCells>
  <x:conditionalFormatting sqref="B4:B11">
    <x:cfRule type="containsText" dxfId="6" priority="1" operator="containsText" text="PASS"/>
    <x:cfRule type="containsText" dxfId="7" priority="2" operator="containsText" text="WARNING"/>
    <x:cfRule type="containsText" dxfId="8" priority="3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24" hidden="0" customWidth="1"/>
    <x:col min="4" max="4" width="62" hidden="0" customWidth="1"/>
  </x:cols>
  <x:sheetData>
    <x:row r="1" ht="32" customHeight="1">
      <x:c r="A1" s="3" t="str">
        <x:v>MODEL STATUS 与发布前控制检查</x:v>
      </x:c>
      <x:c r="B1" s="3" t="str">
        <x:v>MODEL STATUS 与发布前控制检查</x:v>
      </x:c>
      <x:c r="C1" s="3" t="str">
        <x:v>MODEL STATUS 与发布前控制检查</x:v>
      </x:c>
      <x:c r="D1" s="3" t="str">
        <x:v>MODEL STATUS 与发布前控制检查</x:v>
      </x:c>
    </x:row>
    <x:row r="3" ht="28" customHeight="1">
      <x:c r="A3" s="8" t="str">
        <x:v>检查</x:v>
      </x:c>
      <x:c r="B3" s="8" t="str">
        <x:v>结果</x:v>
      </x:c>
      <x:c r="C3" s="8" t="str">
        <x:v>差异/值</x:v>
      </x:c>
      <x:c r="D3" s="8" t="str">
        <x:v>修复位置或说明</x:v>
      </x:c>
    </x:row>
    <x:row r="4">
      <x:c r="A4" s="28" t="str">
        <x:v>MODEL STATUS</x:v>
      </x:c>
      <x:c r="B4" s="29" t="str">
        <x:f>IF(AND(B5="PASS",B6="PASS",COUNTIF(B7:B15,"FAIL")=0),"PASS","FAIL")</x:f>
        <x:v>PASS</x:v>
      </x:c>
      <x:c r="C4" s="29"/>
      <x:c r="D4" s="30" t="str">
        <x:v>仅表示工作簿内部控制，不代表场景验收</x:v>
      </x:c>
    </x:row>
    <x:row r="5">
      <x:c r="A5" s="31" t="str">
        <x:v>申请金额不超过资金需求上限</x:v>
      </x:c>
      <x:c r="B5" s="32" t="str">
        <x:f>IF('指标与规则'!C21=TRUE,"PASS","FAIL")</x:f>
        <x:v>PASS</x:v>
      </x:c>
      <x:c r="C5" s="38" t="n">
        <x:f>'指标与规则'!C20-100000</x:f>
        <x:v>7679.669834227301</x:v>
      </x:c>
      <x:c r="D5" s="33" t="str">
        <x:v>指标与规则!C20:C21</x:v>
      </x:c>
    </x:row>
    <x:row r="6">
      <x:c r="A6" s="31" t="str">
        <x:v>申请金额不超过内部可用额度</x:v>
      </x:c>
      <x:c r="B6" s="32" t="str">
        <x:f>IF('指标与规则'!C22=TRUE,"PASS","FAIL")</x:f>
        <x:v>PASS</x:v>
      </x:c>
      <x:c r="C6" s="38" t="n">
        <x:f>180000-100000</x:f>
        <x:v>80000</x:v>
      </x:c>
      <x:c r="D6" s="33" t="str">
        <x:v>内部授信与融资</x:v>
      </x:c>
    </x:row>
    <x:row r="7">
      <x:c r="A7" s="31" t="str">
        <x:v>借款人为ACTIVE集团成员</x:v>
      </x:c>
      <x:c r="B7" s="32" t="str">
        <x:v>PASS</x:v>
      </x:c>
      <x:c r="C7" s="32" t="str">
        <x:v>MEM-CGN-003816</x:v>
      </x:c>
      <x:c r="D7" s="33" t="str">
        <x:v>借款人与成员</x:v>
      </x:c>
    </x:row>
    <x:row r="8">
      <x:c r="A8" s="31" t="str">
        <x:v>币种/期限/产品符合一期范围</x:v>
      </x:c>
      <x:c r="B8" s="32" t="str">
        <x:v>PASS</x:v>
      </x:c>
      <x:c r="C8" s="32" t="str">
        <x:v>CNY / 12M / WORKING_CAPITAL</x:v>
      </x:c>
      <x:c r="D8" s="33" t="str">
        <x:v>贷款申请</x:v>
      </x:c>
    </x:row>
    <x:row r="9">
      <x:c r="A9" s="31" t="str">
        <x:v>保证与抵质押显式N/A</x:v>
      </x:c>
      <x:c r="B9" s="32" t="str">
        <x:v>PASS</x:v>
      </x:c>
      <x:c r="C9" s="32" t="str">
        <x:v>NOT_APPLICABLE</x:v>
      </x:c>
      <x:c r="D9" s="33" t="str">
        <x:v>贷款申请</x:v>
      </x:c>
    </x:row>
    <x:row r="10">
      <x:c r="A10" s="31" t="str">
        <x:v>年报事实未重复模拟上传</x:v>
      </x:c>
      <x:c r="B10" s="32" t="str">
        <x:v>PASS</x:v>
      </x:c>
      <x:c r="C10" s="32" t="str">
        <x:v>共享来源节点</x:v>
      </x:c>
      <x:c r="D10" s="33" t="str">
        <x:v>来源与版本</x:v>
      </x:c>
    </x:row>
    <x:row r="11">
      <x:c r="A11" s="31" t="str">
        <x:v>重述范围冲突显式披露</x:v>
      </x:c>
      <x:c r="B11" s="32" t="str">
        <x:v>PASS</x:v>
      </x:c>
      <x:c r="C11" s="32" t="str">
        <x:v>MIXED_RESTATEMENT_SCOPE</x:v>
      </x:c>
      <x:c r="D11" s="33" t="str">
        <x:v>数据质量</x:v>
      </x:c>
    </x:row>
    <x:row r="12">
      <x:c r="A12" s="31" t="str">
        <x:v>资金需求采用全精度V2</x:v>
      </x:c>
      <x:c r="B12" s="32" t="str">
        <x:v>PASS</x:v>
      </x:c>
      <x:c r="C12" s="32" t="str">
        <x:v>S004-FUNDING-V2-FULL-PRECISION</x:v>
      </x:c>
      <x:c r="D12" s="33" t="str">
        <x:v>指标与规则</x:v>
      </x:c>
    </x:row>
    <x:row r="13">
      <x:c r="A13" s="31" t="str">
        <x:v>最终授信结论来自人工确认</x:v>
      </x:c>
      <x:c r="B13" s="32" t="str">
        <x:v>PASS</x:v>
      </x:c>
      <x:c r="C13" s="32" t="str">
        <x:v>HUM-APR-001</x:v>
      </x:c>
      <x:c r="D13" s="33" t="str">
        <x:v>人工意见</x:v>
      </x:c>
    </x:row>
    <x:row r="14">
      <x:c r="A14" s="31" t="str">
        <x:v>DOCX/签章/外报未纳入一期</x:v>
      </x:c>
      <x:c r="B14" s="32" t="str">
        <x:v>PASS</x:v>
      </x:c>
      <x:c r="C14" s="32" t="str">
        <x:v>范围边界</x:v>
      </x:c>
      <x:c r="D14" s="33" t="str">
        <x:v>说明与索引</x:v>
      </x:c>
    </x:row>
    <x:row r="15">
      <x:c r="A15" s="34" t="str">
        <x:v>演示材料敏感性标记</x:v>
      </x:c>
      <x:c r="B15" s="35" t="str">
        <x:v>PASS</x:v>
      </x:c>
      <x:c r="C15" s="35" t="str">
        <x:v>synthetic-demo</x:v>
      </x:c>
      <x:c r="D15" s="36" t="str">
        <x:v>来源与版本</x:v>
      </x:c>
    </x:row>
  </x:sheetData>
  <x:mergeCells>
    <x:mergeCell ref="A1:D1"/>
  </x:mergeCells>
  <x:conditionalFormatting sqref="B4:B15">
    <x:cfRule type="containsText" dxfId="9" priority="1" operator="containsText" text="PASS"/>
    <x:cfRule type="containsText" dxfId="10" priority="2" operator="containsText" text="WARNING"/>
    <x:cfRule type="containsText" dxfId="11" priority="3" operator="containsText" text="FAIL"/>
  </x:conditionalFormatting>
  <x:pageMargins left="0.7" right="0.7" top="0.75" bottom="0.75" header="0.3" footer="0.3"/>
</x:worksheet>
</file>