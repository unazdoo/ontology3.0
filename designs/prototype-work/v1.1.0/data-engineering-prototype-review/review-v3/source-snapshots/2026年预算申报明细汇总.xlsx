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29295\WorkBuddy\2026-07-22-14-47-33\budget-prototype\data_v5\"/>
    </mc:Choice>
  </mc:AlternateContent>
  <bookViews>
    <workbookView windowWidth="20152" windowHeight="8955" activeTab="1"/>
  </bookViews>
  <sheets>
    <sheet name="收入成本预算汇总表" sheetId="1" r:id="rId1"/>
    <sheet name="市场项目预算明细" sheetId="2" r:id="rId2"/>
    <sheet name="部门公共费用明细" sheetId="3" r:id="rId3"/>
    <sheet name="技术配置" sheetId="4" r:id="rId4"/>
  </sheets>
  <definedNames>
    <definedName name="_xlnm._FilterDatabase" localSheetId="3" hidden="1">技术配置!$A$1:$N$22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<sst xmlns="http://schemas.openxmlformats.org/spreadsheetml/2006/main" count="538" uniqueCount="121">
  <si>
    <t>部门</t>
  </si>
  <si>
    <t>业务分类</t>
  </si>
  <si>
    <t>营业收入(含税)</t>
  </si>
  <si>
    <t>收入净额</t>
  </si>
  <si>
    <t>固定成本合计</t>
  </si>
  <si>
    <t>变动成本合计</t>
  </si>
  <si>
    <t>预算业务说明</t>
  </si>
  <si>
    <t>人工成本</t>
  </si>
  <si>
    <t>折旧摊销</t>
  </si>
  <si>
    <t>差旅费</t>
  </si>
  <si>
    <t>会议费</t>
  </si>
  <si>
    <t>业务招待费</t>
  </si>
  <si>
    <t>培训费</t>
  </si>
  <si>
    <t>办公费</t>
  </si>
  <si>
    <t>后勤服务费</t>
  </si>
  <si>
    <t>交通运输费</t>
  </si>
  <si>
    <t>生产物料费</t>
  </si>
  <si>
    <t>业务支持费-技术配置</t>
  </si>
  <si>
    <t>业务支持费-其他</t>
  </si>
  <si>
    <t>租赁费</t>
  </si>
  <si>
    <t>物流费</t>
  </si>
  <si>
    <t>协会会员费</t>
  </si>
  <si>
    <t>房屋装修及维修费</t>
  </si>
  <si>
    <t>水费</t>
  </si>
  <si>
    <t>电费</t>
  </si>
  <si>
    <t>环境保护费</t>
  </si>
  <si>
    <t>咨询费</t>
  </si>
  <si>
    <t>安全运行部</t>
  </si>
  <si>
    <t>安全评估</t>
  </si>
  <si>
    <t>安全评估类项目合计</t>
  </si>
  <si>
    <t>部门公共费用</t>
  </si>
  <si>
    <t>0</t>
  </si>
  <si>
    <t>概率安全分析</t>
  </si>
  <si>
    <t>概率安全分析类项目合计</t>
  </si>
  <si>
    <t>灾害防护</t>
  </si>
  <si>
    <t>灾害防护类项目合计</t>
  </si>
  <si>
    <t>技术部</t>
  </si>
  <si>
    <t>新技术应用</t>
  </si>
  <si>
    <t>新技术应用类项目合计</t>
  </si>
  <si>
    <t>热能动力研究</t>
  </si>
  <si>
    <t>热能动力研究类项目合计</t>
  </si>
  <si>
    <t>经验反馈改进</t>
  </si>
  <si>
    <t>经验反馈改进类项目合计</t>
  </si>
  <si>
    <t>设备管理部</t>
  </si>
  <si>
    <t>设备维护</t>
  </si>
  <si>
    <t>设备维护类项目合计</t>
  </si>
  <si>
    <t>项目名称</t>
  </si>
  <si>
    <t>项目编号</t>
  </si>
  <si>
    <t>合同情况</t>
  </si>
  <si>
    <t>客户名称</t>
  </si>
  <si>
    <t>税率</t>
  </si>
  <si>
    <t>含税收入</t>
  </si>
  <si>
    <t>其中：</t>
  </si>
  <si>
    <t>在职人数</t>
  </si>
  <si>
    <t>平均人工成本(万元/月)</t>
  </si>
  <si>
    <t>投入人月</t>
  </si>
  <si>
    <t>折旧成本</t>
  </si>
  <si>
    <t>可控成本合计</t>
  </si>
  <si>
    <t>业务支持费</t>
  </si>
  <si>
    <t>业务支持费-技术配置(人月)</t>
  </si>
  <si>
    <t>业务支持费-技术配置(含税-万)</t>
  </si>
  <si>
    <t>业务支持费-技术配置(净额-万)</t>
  </si>
  <si>
    <t>项目成本合计</t>
  </si>
  <si>
    <t>毛利率</t>
  </si>
  <si>
    <t>PRJ-SB-设备-2024-001</t>
  </si>
  <si>
    <t>已签订</t>
  </si>
  <si>
    <t>XX能源集团</t>
  </si>
  <si>
    <t>PRJ-SB-设备-2025-002</t>
  </si>
  <si>
    <t>PRJ-SB-设备-2025-003</t>
  </si>
  <si>
    <t>PRJ-JS-热能-2024-001</t>
  </si>
  <si>
    <t>PRJ-JS-热能-2025-002</t>
  </si>
  <si>
    <t>PRJ-JS-热能-2025-003</t>
  </si>
  <si>
    <t>PRJ-JS-经验-2024-001</t>
  </si>
  <si>
    <t>PRJ-JS-经验-2025-002</t>
  </si>
  <si>
    <t>PRJ-JS-经验-2025-003</t>
  </si>
  <si>
    <t>PRJ-JS-新技-2024-001</t>
  </si>
  <si>
    <t>PRJ-JS-新技-2025-002</t>
  </si>
  <si>
    <t>PRJ-JS-新技-2025-003</t>
  </si>
  <si>
    <t>PRJ-AQ-概率-2024-001</t>
  </si>
  <si>
    <t>PRJ-AQ-概率-2025-002</t>
  </si>
  <si>
    <t>PRJ-AQ-概率-2025-003</t>
  </si>
  <si>
    <t>PRJ-AQ-灾害-2024-001</t>
  </si>
  <si>
    <t>PRJ-AQ-灾害-2025-002</t>
  </si>
  <si>
    <t>PRJ-AQ-灾害-2025-003</t>
  </si>
  <si>
    <t>PRJ-AQ-安全-2024-001</t>
  </si>
  <si>
    <t>PRJ-AQ-安全-2025-002</t>
  </si>
  <si>
    <t>PRJ-AQ-安全-2025-003</t>
  </si>
  <si>
    <t>预算二级科目</t>
  </si>
  <si>
    <t>业务内容</t>
  </si>
  <si>
    <t>计算依据</t>
  </si>
  <si>
    <t>年度预算(含税)</t>
  </si>
  <si>
    <t>年度预算(净额)</t>
  </si>
  <si>
    <t>日常办公</t>
  </si>
  <si>
    <t>按人均</t>
  </si>
  <si>
    <t>技能培训</t>
  </si>
  <si>
    <t>按计划</t>
  </si>
  <si>
    <t>办公用水</t>
  </si>
  <si>
    <t>按上年</t>
  </si>
  <si>
    <t>办公用电</t>
  </si>
  <si>
    <t>部门（*）</t>
  </si>
  <si>
    <t>预算二级科目（*）</t>
  </si>
  <si>
    <t>配置人员分类（*）</t>
  </si>
  <si>
    <t>级别（*）</t>
  </si>
  <si>
    <t>项目名称（*）</t>
  </si>
  <si>
    <t>项目号（*）</t>
  </si>
  <si>
    <t>人数</t>
  </si>
  <si>
    <t>供应商（*）</t>
  </si>
  <si>
    <t>服务人月</t>
  </si>
  <si>
    <t>单价（元）</t>
  </si>
  <si>
    <t>税率（*）</t>
  </si>
  <si>
    <t>年度预算（含税）-万元</t>
  </si>
  <si>
    <t>年度预算（净额）-万元</t>
  </si>
  <si>
    <t>平均单价（万元/月）</t>
  </si>
  <si>
    <t>技术服务</t>
  </si>
  <si>
    <t>初级</t>
  </si>
  <si>
    <t>供应商1</t>
  </si>
  <si>
    <t>供应商2</t>
  </si>
  <si>
    <t>供应商3</t>
  </si>
  <si>
    <t>专家</t>
  </si>
  <si>
    <t>高级</t>
  </si>
  <si>
    <t>中级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</si>
</sst>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43" fontId="0" fillId="0" borderId="0" xfId="0" applyNumberFormat="1"/>
    <xf numFmtId="9" fontId="0" fillId="0" borderId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"/>
  <sheetViews>
    <sheetView workbookViewId="0">
      <selection activeCell="F1" sqref="F$1:F$1048576"/>
    </sheetView>
  </sheetViews>
  <sheetFormatPr defaultColWidth="9" defaultRowHeight="13.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f>SUMIFS(市场项目预算明细!H:H,市场项目预算明细!$A:$A,$A2,市场项目预算明细!$B:$B,$B2)</f>
        <v>171.3</v>
      </c>
      <c r="D2">
        <f>SUMIFS(市场项目预算明细!I:I,市场项目预算明细!$A:$A,$A2,市场项目预算明细!$B:$B,$B2)</f>
        <v>161.6</v>
      </c>
      <c r="E2">
        <f>H2+I2</f>
        <v>19.51</v>
      </c>
      <c r="F2">
        <f>SUM(J2:Z2)</f>
        <v>174.634</v>
      </c>
      <c r="G2" t="s">
        <v>29</v>
      </c>
      <c r="H2">
        <f>SUMIFS(市场项目预算明细!O:O,市场项目预算明细!$A:$A,$A2,市场项目预算明细!$B:$B,$B2)</f>
        <v>12.68</v>
      </c>
      <c r="I2">
        <f>SUMIFS(市场项目预算明细!P:P,市场项目预算明细!$A:$A,$A2,市场项目预算明细!$B:$B,$B2)</f>
        <v>6.83</v>
      </c>
      <c r="J2">
        <f>SUMIFS(市场项目预算明细!S:S,市场项目预算明细!$A:$A,$A2,市场项目预算明细!$B:$B,$B2)</f>
        <v>6.464</v>
      </c>
      <c r="K2">
        <f>SUMIFS(市场项目预算明细!T:T,市场项目预算明细!$A:$A,$A2,市场项目预算明细!$B:$B,$B2)</f>
        <v>0.65</v>
      </c>
      <c r="L2">
        <f>SUMIFS(市场项目预算明细!U:U,市场项目预算明细!$A:$A,$A2,市场项目预算明细!$B:$B,$B2)</f>
        <v>0</v>
      </c>
      <c r="M2">
        <f>SUMIFS(市场项目预算明细!V:V,市场项目预算明细!$A:$A,$A2,市场项目预算明细!$B:$B,$B2)</f>
        <v>0.32</v>
      </c>
      <c r="N2">
        <f>SUMIFS(市场项目预算明细!W:W,市场项目预算明细!$A:$A,$A2,市场项目预算明细!$B:$B,$B2)</f>
        <v>0.32</v>
      </c>
      <c r="O2">
        <f>SUMIFS(市场项目预算明细!X:X,市场项目预算明细!$A:$A,$A2,市场项目预算明细!$B:$B,$B2)</f>
        <v>0.26</v>
      </c>
      <c r="P2">
        <f>SUMIFS(市场项目预算明细!Y:Y,市场项目预算明细!$A:$A,$A2,市场项目预算明细!$B:$B,$B2)</f>
        <v>0.97</v>
      </c>
      <c r="Q2">
        <f>SUMIFS(市场项目预算明细!Z:Z,市场项目预算明细!$A:$A,$A2,市场项目预算明细!$B:$B,$B2)</f>
        <v>19.5</v>
      </c>
      <c r="R2">
        <f>SUMIFS(市场项目预算明细!AL:AL,市场项目预算明细!$A:$A,$A2,市场项目预算明细!$B:$B,$B2)</f>
        <v>129.05</v>
      </c>
      <c r="S2">
        <f>SUMIFS(市场项目预算明细!AA:AA,市场项目预算明细!$A:$A,$A2,市场项目预算明细!$B:$B,$B2)</f>
        <v>16.26</v>
      </c>
      <c r="T2">
        <f>SUMIFS(市场项目预算明细!AB:AB,市场项目预算明细!$A:$A,$A2,市场项目预算明细!$B:$B,$B2)</f>
        <v>0.65</v>
      </c>
      <c r="U2">
        <f>SUMIFS(市场项目预算明细!AC:AC,市场项目预算明细!$A:$A,$A2,市场项目预算明细!$B:$B,$B2)</f>
        <v>0.19</v>
      </c>
      <c r="V2">
        <f>SUMIFS(市场项目预算明细!AD:AD,市场项目预算明细!$A:$A,$A2,市场项目预算明细!$B:$B,$B2)</f>
        <v>0</v>
      </c>
      <c r="W2">
        <f>SUMIFS(市场项目预算明细!AE:AE,市场项目预算明细!$A:$A,$A2,市场项目预算明细!$B:$B,$B2)</f>
        <v>0</v>
      </c>
      <c r="X2">
        <f>SUMIFS(市场项目预算明细!AF:AF,市场项目预算明细!$A:$A,$A2,市场项目预算明细!$B:$B,$B2)</f>
        <v>0</v>
      </c>
      <c r="Y2">
        <f>SUMIFS(市场项目预算明细!AG:AG,市场项目预算明细!$A:$A,$A2,市场项目预算明细!$B:$B,$B2)</f>
        <v>0</v>
      </c>
      <c r="Z2">
        <f>SUMIFS(市场项目预算明细!AH:AH,市场项目预算明细!$A:$A,$A2,市场项目预算明细!$B:$B,$B2)</f>
        <v>0</v>
      </c>
      <c r="AA2">
        <f>SUMIFS(市场项目预算明细!AI:AI,市场项目预算明细!$A:$A,$A2,市场项目预算明细!$B:$B,$B2)</f>
        <v>0</v>
      </c>
    </row>
    <row r="3" spans="1:27">
      <c r="A3" t="s">
        <v>27</v>
      </c>
      <c r="B3" t="s">
        <v>30</v>
      </c>
      <c r="C3" t="s">
        <v>31</v>
      </c>
      <c r="D3" t="s">
        <v>31</v>
      </c>
      <c r="E3" t="s">
        <v>31</v>
      </c>
      <c r="F3">
        <f>SUMIFS(部门公共费用明细!G:G,部门公共费用明细!A:A,$A3)</f>
        <v>5</v>
      </c>
      <c r="G3" t="s">
        <v>30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>
        <f>SUMIFS(部门公共费用明细!G:G,部门公共费用明细!A:A,$A3,部门公共费用明细!B:B,"培训费")</f>
        <v>1.42</v>
      </c>
      <c r="N3">
        <f>SUMIFS(部门公共费用明细!G:G,部门公共费用明细!A:A,$A3,部门公共费用明细!B:B,"办公费")</f>
        <v>2.36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>
        <f>SUMIFS(部门公共费用明细!G:G,部门公共费用明细!A:A,$A3,部门公共费用明细!B:B,"水费")</f>
        <v>0.47</v>
      </c>
      <c r="Y3">
        <f>SUMIFS(部门公共费用明细!G:G,部门公共费用明细!A:A,$A3,部门公共费用明细!B:B,"电费")</f>
        <v>0.75</v>
      </c>
      <c r="Z3" t="s">
        <v>31</v>
      </c>
      <c r="AA3" t="s">
        <v>31</v>
      </c>
    </row>
    <row r="4" spans="1:27">
      <c r="A4" t="s">
        <v>27</v>
      </c>
      <c r="B4" t="s">
        <v>32</v>
      </c>
      <c r="C4">
        <f>SUMIFS(市场项目预算明细!H:H,市场项目预算明细!$A:$A,$A4,市场项目预算明细!$B:$B,$B4)</f>
        <v>157.09</v>
      </c>
      <c r="D4">
        <f>SUMIFS(市场项目预算明细!I:I,市场项目预算明细!$A:$A,$A4,市场项目预算明细!$B:$B,$B4)</f>
        <v>148.2</v>
      </c>
      <c r="E4">
        <f>H4+I4</f>
        <v>17.84</v>
      </c>
      <c r="F4">
        <f>SUM(J4:Z4)</f>
        <v>162.898</v>
      </c>
      <c r="G4" t="s">
        <v>33</v>
      </c>
      <c r="H4">
        <f>SUMIFS(市场项目预算明细!O:O,市场项目预算明细!$A:$A,$A4,市场项目预算明细!$B:$B,$B4)</f>
        <v>11.59</v>
      </c>
      <c r="I4">
        <f>SUMIFS(市场项目预算明细!P:P,市场项目预算明细!$A:$A,$A4,市场项目预算明细!$B:$B,$B4)</f>
        <v>6.25</v>
      </c>
      <c r="J4">
        <f>SUMIFS(市场项目预算明细!S:S,市场项目预算明细!$A:$A,$A4,市场项目预算明细!$B:$B,$B4)</f>
        <v>5.928</v>
      </c>
      <c r="K4">
        <f>SUMIFS(市场项目预算明细!T:T,市场项目预算明细!$A:$A,$A4,市场项目预算明细!$B:$B,$B4)</f>
        <v>0.6</v>
      </c>
      <c r="L4">
        <f>SUMIFS(市场项目预算明细!U:U,市场项目预算明细!$A:$A,$A4,市场项目预算明细!$B:$B,$B4)</f>
        <v>0</v>
      </c>
      <c r="M4">
        <f>SUMIFS(市场项目预算明细!V:V,市场项目预算明细!$A:$A,$A4,市场项目预算明细!$B:$B,$B4)</f>
        <v>0.29</v>
      </c>
      <c r="N4">
        <f>SUMIFS(市场项目预算明细!W:W,市场项目预算明细!$A:$A,$A4,市场项目预算明细!$B:$B,$B4)</f>
        <v>0.29</v>
      </c>
      <c r="O4">
        <f>SUMIFS(市场项目预算明细!X:X,市场项目预算明细!$A:$A,$A4,市场项目预算明细!$B:$B,$B4)</f>
        <v>0.23</v>
      </c>
      <c r="P4">
        <f>SUMIFS(市场项目预算明细!Y:Y,市场项目预算明细!$A:$A,$A4,市场项目预算明细!$B:$B,$B4)</f>
        <v>0.89</v>
      </c>
      <c r="Q4">
        <f>SUMIFS(市场项目预算明细!Z:Z,市场项目预算明细!$A:$A,$A4,市场项目预算明细!$B:$B,$B4)</f>
        <v>17.9</v>
      </c>
      <c r="R4">
        <f>SUMIFS(市场项目预算明细!AL:AL,市场项目预算明细!$A:$A,$A4,市场项目预算明细!$B:$B,$B4)</f>
        <v>121.13</v>
      </c>
      <c r="S4">
        <f>SUMIFS(市场项目预算明细!AA:AA,市场项目预算明细!$A:$A,$A4,市场项目预算明细!$B:$B,$B4)</f>
        <v>14.86</v>
      </c>
      <c r="T4">
        <f>SUMIFS(市场项目预算明细!AB:AB,市场项目预算明细!$A:$A,$A4,市场项目预算明细!$B:$B,$B4)</f>
        <v>0.6</v>
      </c>
      <c r="U4">
        <f>SUMIFS(市场项目预算明细!AC:AC,市场项目预算明细!$A:$A,$A4,市场项目预算明细!$B:$B,$B4)</f>
        <v>0.18</v>
      </c>
      <c r="V4">
        <f>SUMIFS(市场项目预算明细!AD:AD,市场项目预算明细!$A:$A,$A4,市场项目预算明细!$B:$B,$B4)</f>
        <v>0</v>
      </c>
      <c r="W4">
        <f>SUMIFS(市场项目预算明细!AE:AE,市场项目预算明细!$A:$A,$A4,市场项目预算明细!$B:$B,$B4)</f>
        <v>0</v>
      </c>
      <c r="X4">
        <f>SUMIFS(市场项目预算明细!AF:AF,市场项目预算明细!$A:$A,$A4,市场项目预算明细!$B:$B,$B4)</f>
        <v>0</v>
      </c>
      <c r="Y4">
        <f>SUMIFS(市场项目预算明细!AG:AG,市场项目预算明细!$A:$A,$A4,市场项目预算明细!$B:$B,$B4)</f>
        <v>0</v>
      </c>
      <c r="Z4">
        <f>SUMIFS(市场项目预算明细!AH:AH,市场项目预算明细!$A:$A,$A4,市场项目预算明细!$B:$B,$B4)</f>
        <v>0</v>
      </c>
      <c r="AA4">
        <f>SUMIFS(市场项目预算明细!AI:AI,市场项目预算明细!$A:$A,$A4,市场项目预算明细!$B:$B,$B4)</f>
        <v>0</v>
      </c>
    </row>
    <row r="5" spans="1:27">
      <c r="A5" t="s">
        <v>27</v>
      </c>
      <c r="B5" t="s">
        <v>34</v>
      </c>
      <c r="C5">
        <f>SUMIFS(市场项目预算明细!H:H,市场项目预算明细!$A:$A,$A5,市场项目预算明细!$B:$B,$B5)</f>
        <v>154.12</v>
      </c>
      <c r="D5">
        <f>SUMIFS(市场项目预算明细!I:I,市场项目预算明细!$A:$A,$A5,市场项目预算明细!$B:$B,$B5)</f>
        <v>145.4</v>
      </c>
      <c r="E5">
        <f>H5+I5</f>
        <v>17.36</v>
      </c>
      <c r="F5">
        <f>SUM(J5:Z5)</f>
        <v>80.356</v>
      </c>
      <c r="G5" t="s">
        <v>35</v>
      </c>
      <c r="H5">
        <f>SUMIFS(市场项目预算明细!O:O,市场项目预算明细!$A:$A,$A5,市场项目预算明细!$B:$B,$B5)</f>
        <v>11.29</v>
      </c>
      <c r="I5">
        <f>SUMIFS(市场项目预算明细!P:P,市场项目预算明细!$A:$A,$A5,市场项目预算明细!$B:$B,$B5)</f>
        <v>6.07</v>
      </c>
      <c r="J5">
        <f>SUMIFS(市场项目预算明细!S:S,市场项目预算明细!$A:$A,$A5,市场项目预算明细!$B:$B,$B5)</f>
        <v>5.816</v>
      </c>
      <c r="K5">
        <f>SUMIFS(市场项目预算明细!T:T,市场项目预算明细!$A:$A,$A5,市场项目预算明细!$B:$B,$B5)</f>
        <v>0.58</v>
      </c>
      <c r="L5">
        <f>SUMIFS(市场项目预算明细!U:U,市场项目预算明细!$A:$A,$A5,市场项目预算明细!$B:$B,$B5)</f>
        <v>0</v>
      </c>
      <c r="M5">
        <f>SUMIFS(市场项目预算明细!V:V,市场项目预算明细!$A:$A,$A5,市场项目预算明细!$B:$B,$B5)</f>
        <v>0.3</v>
      </c>
      <c r="N5">
        <f>SUMIFS(市场项目预算明细!W:W,市场项目预算明细!$A:$A,$A5,市场项目预算明细!$B:$B,$B5)</f>
        <v>0.3</v>
      </c>
      <c r="O5">
        <f>SUMIFS(市场项目预算明细!X:X,市场项目预算明细!$A:$A,$A5,市场项目预算明细!$B:$B,$B5)</f>
        <v>0.24</v>
      </c>
      <c r="P5">
        <f>SUMIFS(市场项目预算明细!Y:Y,市场项目预算明细!$A:$A,$A5,市场项目预算明细!$B:$B,$B5)</f>
        <v>0.87</v>
      </c>
      <c r="Q5">
        <f>SUMIFS(市场项目预算明细!Z:Z,市场项目预算明细!$A:$A,$A5,市场项目预算明细!$B:$B,$B5)</f>
        <v>17.4</v>
      </c>
      <c r="R5">
        <f>SUMIFS(市场项目预算明细!AL:AL,市场项目预算明细!$A:$A,$A5,市场项目预算明细!$B:$B,$B5)</f>
        <v>39.62</v>
      </c>
      <c r="S5">
        <f>SUMIFS(市场项目预算明细!AA:AA,市场项目预算明细!$A:$A,$A5,市场项目预算明细!$B:$B,$B5)</f>
        <v>14.48</v>
      </c>
      <c r="T5">
        <f>SUMIFS(市场项目预算明细!AB:AB,市场项目预算明细!$A:$A,$A5,市场项目预算明细!$B:$B,$B5)</f>
        <v>0.58</v>
      </c>
      <c r="U5">
        <f>SUMIFS(市场项目预算明细!AC:AC,市场项目预算明细!$A:$A,$A5,市场项目预算明细!$B:$B,$B5)</f>
        <v>0.17</v>
      </c>
      <c r="V5">
        <f>SUMIFS(市场项目预算明细!AD:AD,市场项目预算明细!$A:$A,$A5,市场项目预算明细!$B:$B,$B5)</f>
        <v>0</v>
      </c>
      <c r="W5">
        <f>SUMIFS(市场项目预算明细!AE:AE,市场项目预算明细!$A:$A,$A5,市场项目预算明细!$B:$B,$B5)</f>
        <v>0</v>
      </c>
      <c r="X5">
        <f>SUMIFS(市场项目预算明细!AF:AF,市场项目预算明细!$A:$A,$A5,市场项目预算明细!$B:$B,$B5)</f>
        <v>0</v>
      </c>
      <c r="Y5">
        <f>SUMIFS(市场项目预算明细!AG:AG,市场项目预算明细!$A:$A,$A5,市场项目预算明细!$B:$B,$B5)</f>
        <v>0</v>
      </c>
      <c r="Z5">
        <f>SUMIFS(市场项目预算明细!AH:AH,市场项目预算明细!$A:$A,$A5,市场项目预算明细!$B:$B,$B5)</f>
        <v>0</v>
      </c>
      <c r="AA5">
        <f>SUMIFS(市场项目预算明细!AI:AI,市场项目预算明细!$A:$A,$A5,市场项目预算明细!$B:$B,$B5)</f>
        <v>0</v>
      </c>
    </row>
    <row r="6" spans="1:27">
      <c r="A6" t="s">
        <v>36</v>
      </c>
      <c r="B6" t="s">
        <v>37</v>
      </c>
      <c r="C6">
        <f>SUMIFS(市场项目预算明细!H:H,市场项目预算明细!$A:$A,$A6,市场项目预算明细!$B:$B,$B6)</f>
        <v>214.44</v>
      </c>
      <c r="D6">
        <f>SUMIFS(市场项目预算明细!I:I,市场项目预算明细!$A:$A,$A6,市场项目预算明细!$B:$B,$B6)</f>
        <v>202.3</v>
      </c>
      <c r="E6">
        <f>H6+I6</f>
        <v>16</v>
      </c>
      <c r="F6">
        <f>SUM(J6:Z6)</f>
        <v>352.642</v>
      </c>
      <c r="G6" t="s">
        <v>38</v>
      </c>
      <c r="H6">
        <f>SUMIFS(市场项目预算明细!O:O,市场项目预算明细!$A:$A,$A6,市场项目预算明细!$B:$B,$B6)</f>
        <v>10.41</v>
      </c>
      <c r="I6">
        <f>SUMIFS(市场项目预算明细!P:P,市场项目预算明细!$A:$A,$A6,市场项目预算明细!$B:$B,$B6)</f>
        <v>5.59</v>
      </c>
      <c r="J6">
        <f>SUMIFS(市场项目预算明细!S:S,市场项目预算明细!$A:$A,$A6,市场项目预算明细!$B:$B,$B6)</f>
        <v>8.092</v>
      </c>
      <c r="K6">
        <f>SUMIFS(市场项目预算明细!T:T,市场项目预算明细!$A:$A,$A6,市场项目预算明细!$B:$B,$B6)</f>
        <v>0.53</v>
      </c>
      <c r="L6">
        <f>SUMIFS(市场项目预算明细!U:U,市场项目预算明细!$A:$A,$A6,市场项目预算明细!$B:$B,$B6)</f>
        <v>0</v>
      </c>
      <c r="M6">
        <f>SUMIFS(市场项目预算明细!V:V,市场项目预算明细!$A:$A,$A6,市场项目预算明细!$B:$B,$B6)</f>
        <v>0.27</v>
      </c>
      <c r="N6">
        <f>SUMIFS(市场项目预算明细!W:W,市场项目预算明细!$A:$A,$A6,市场项目预算明细!$B:$B,$B6)</f>
        <v>0.27</v>
      </c>
      <c r="O6">
        <f>SUMIFS(市场项目预算明细!X:X,市场项目预算明细!$A:$A,$A6,市场项目预算明细!$B:$B,$B6)</f>
        <v>0.21</v>
      </c>
      <c r="P6">
        <f>SUMIFS(市场项目预算明细!Y:Y,市场项目预算明细!$A:$A,$A6,市场项目预算明细!$B:$B,$B6)</f>
        <v>0.8</v>
      </c>
      <c r="Q6">
        <f>SUMIFS(市场项目预算明细!Z:Z,市场项目预算明细!$A:$A,$A6,市场项目预算明细!$B:$B,$B6)</f>
        <v>16</v>
      </c>
      <c r="R6">
        <f>SUMIFS(市场项目预算明细!AL:AL,市场项目预算明细!$A:$A,$A6,市场项目预算明细!$B:$B,$B6)</f>
        <v>312.45</v>
      </c>
      <c r="S6">
        <f>SUMIFS(市场项目预算明细!AA:AA,市场项目预算明细!$A:$A,$A6,市场项目预算明细!$B:$B,$B6)</f>
        <v>13.33</v>
      </c>
      <c r="T6">
        <f>SUMIFS(市场项目预算明细!AB:AB,市场项目预算明细!$A:$A,$A6,市场项目预算明细!$B:$B,$B6)</f>
        <v>0.53</v>
      </c>
      <c r="U6">
        <f>SUMIFS(市场项目预算明细!AC:AC,市场项目预算明细!$A:$A,$A6,市场项目预算明细!$B:$B,$B6)</f>
        <v>0.16</v>
      </c>
      <c r="V6">
        <f>SUMIFS(市场项目预算明细!AD:AD,市场项目预算明细!$A:$A,$A6,市场项目预算明细!$B:$B,$B6)</f>
        <v>0</v>
      </c>
      <c r="W6">
        <f>SUMIFS(市场项目预算明细!AE:AE,市场项目预算明细!$A:$A,$A6,市场项目预算明细!$B:$B,$B6)</f>
        <v>0</v>
      </c>
      <c r="X6">
        <f>SUMIFS(市场项目预算明细!AF:AF,市场项目预算明细!$A:$A,$A6,市场项目预算明细!$B:$B,$B6)</f>
        <v>0</v>
      </c>
      <c r="Y6">
        <f>SUMIFS(市场项目预算明细!AG:AG,市场项目预算明细!$A:$A,$A6,市场项目预算明细!$B:$B,$B6)</f>
        <v>0</v>
      </c>
      <c r="Z6">
        <f>SUMIFS(市场项目预算明细!AH:AH,市场项目预算明细!$A:$A,$A6,市场项目预算明细!$B:$B,$B6)</f>
        <v>0</v>
      </c>
      <c r="AA6">
        <f>SUMIFS(市场项目预算明细!AI:AI,市场项目预算明细!$A:$A,$A6,市场项目预算明细!$B:$B,$B6)</f>
        <v>0</v>
      </c>
    </row>
    <row r="7" spans="1:27">
      <c r="A7" t="s">
        <v>36</v>
      </c>
      <c r="B7" t="s">
        <v>30</v>
      </c>
      <c r="C7" t="s">
        <v>31</v>
      </c>
      <c r="D7" t="s">
        <v>31</v>
      </c>
      <c r="E7" t="s">
        <v>31</v>
      </c>
      <c r="F7">
        <f>SUMIFS(部门公共费用明细!G:G,部门公共费用明细!A:A,$A7)</f>
        <v>5</v>
      </c>
      <c r="G7" t="s">
        <v>30</v>
      </c>
      <c r="H7" t="s">
        <v>31</v>
      </c>
      <c r="I7" t="s">
        <v>31</v>
      </c>
      <c r="J7" t="s">
        <v>31</v>
      </c>
      <c r="K7" t="s">
        <v>31</v>
      </c>
      <c r="L7" t="s">
        <v>31</v>
      </c>
      <c r="M7">
        <f>SUMIFS(部门公共费用明细!G:G,部门公共费用明细!A:A,$A7,部门公共费用明细!B:B,"培训费")</f>
        <v>1.42</v>
      </c>
      <c r="N7">
        <f>SUMIFS(部门公共费用明细!G:G,部门公共费用明细!A:A,$A7,部门公共费用明细!B:B,"办公费")</f>
        <v>2.36</v>
      </c>
      <c r="O7" t="s">
        <v>31</v>
      </c>
      <c r="P7" t="s">
        <v>31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31</v>
      </c>
      <c r="W7" t="s">
        <v>31</v>
      </c>
      <c r="X7">
        <f>SUMIFS(部门公共费用明细!G:G,部门公共费用明细!A:A,$A7,部门公共费用明细!B:B,"水费")</f>
        <v>0.47</v>
      </c>
      <c r="Y7">
        <f>SUMIFS(部门公共费用明细!G:G,部门公共费用明细!A:A,$A7,部门公共费用明细!B:B,"电费")</f>
        <v>0.75</v>
      </c>
      <c r="Z7" t="s">
        <v>31</v>
      </c>
      <c r="AA7" t="s">
        <v>31</v>
      </c>
    </row>
    <row r="8" spans="1:27">
      <c r="A8" t="s">
        <v>36</v>
      </c>
      <c r="B8" t="s">
        <v>39</v>
      </c>
      <c r="C8">
        <f>SUMIFS(市场项目预算明细!H:H,市场项目预算明细!$A:$A,$A8,市场项目预算明细!$B:$B,$B8)</f>
        <v>207.86</v>
      </c>
      <c r="D8">
        <f>SUMIFS(市场项目预算明细!I:I,市场项目预算明细!$A:$A,$A8,市场项目预算明细!$B:$B,$B8)</f>
        <v>196.1</v>
      </c>
      <c r="E8">
        <f>H8+I8</f>
        <v>15.38</v>
      </c>
      <c r="F8">
        <f>SUM(J8:Z8)</f>
        <v>340.994</v>
      </c>
      <c r="G8" t="s">
        <v>40</v>
      </c>
      <c r="H8">
        <f>SUMIFS(市场项目预算明细!O:O,市场项目预算明细!$A:$A,$A8,市场项目预算明细!$B:$B,$B8)</f>
        <v>10</v>
      </c>
      <c r="I8">
        <f>SUMIFS(市场项目预算明细!P:P,市场项目预算明细!$A:$A,$A8,市场项目预算明细!$B:$B,$B8)</f>
        <v>5.38</v>
      </c>
      <c r="J8">
        <f>SUMIFS(市场项目预算明细!S:S,市场项目预算明细!$A:$A,$A8,市场项目预算明细!$B:$B,$B8)</f>
        <v>7.844</v>
      </c>
      <c r="K8">
        <f>SUMIFS(市场项目预算明细!T:T,市场项目预算明细!$A:$A,$A8,市场项目预算明细!$B:$B,$B8)</f>
        <v>0.51</v>
      </c>
      <c r="L8">
        <f>SUMIFS(市场项目预算明细!U:U,市场项目预算明细!$A:$A,$A8,市场项目预算明细!$B:$B,$B8)</f>
        <v>0</v>
      </c>
      <c r="M8">
        <f>SUMIFS(市场项目预算明细!V:V,市场项目预算明细!$A:$A,$A8,市场项目预算明细!$B:$B,$B8)</f>
        <v>0.26</v>
      </c>
      <c r="N8">
        <f>SUMIFS(市场项目预算明细!W:W,市场项目预算明细!$A:$A,$A8,市场项目预算明细!$B:$B,$B8)</f>
        <v>0.26</v>
      </c>
      <c r="O8">
        <f>SUMIFS(市场项目预算明细!X:X,市场项目预算明细!$A:$A,$A8,市场项目预算明细!$B:$B,$B8)</f>
        <v>0.21</v>
      </c>
      <c r="P8">
        <f>SUMIFS(市场项目预算明细!Y:Y,市场项目预算明细!$A:$A,$A8,市场项目预算明细!$B:$B,$B8)</f>
        <v>0.77</v>
      </c>
      <c r="Q8">
        <f>SUMIFS(市场项目预算明细!Z:Z,市场项目预算明细!$A:$A,$A8,市场项目预算明细!$B:$B,$B8)</f>
        <v>15.4</v>
      </c>
      <c r="R8">
        <f>SUMIFS(市场项目预算明细!AL:AL,市场项目预算明细!$A:$A,$A8,市场项目预算明细!$B:$B,$B8)</f>
        <v>302.26</v>
      </c>
      <c r="S8">
        <f>SUMIFS(市场项目预算明细!AA:AA,市场项目预算明细!$A:$A,$A8,市场项目预算明细!$B:$B,$B8)</f>
        <v>12.82</v>
      </c>
      <c r="T8">
        <f>SUMIFS(市场项目预算明细!AB:AB,市场项目预算明细!$A:$A,$A8,市场项目预算明细!$B:$B,$B8)</f>
        <v>0.51</v>
      </c>
      <c r="U8">
        <f>SUMIFS(市场项目预算明细!AC:AC,市场项目预算明细!$A:$A,$A8,市场项目预算明细!$B:$B,$B8)</f>
        <v>0.15</v>
      </c>
      <c r="V8">
        <f>SUMIFS(市场项目预算明细!AD:AD,市场项目预算明细!$A:$A,$A8,市场项目预算明细!$B:$B,$B8)</f>
        <v>0</v>
      </c>
      <c r="W8">
        <f>SUMIFS(市场项目预算明细!AE:AE,市场项目预算明细!$A:$A,$A8,市场项目预算明细!$B:$B,$B8)</f>
        <v>0</v>
      </c>
      <c r="X8">
        <f>SUMIFS(市场项目预算明细!AF:AF,市场项目预算明细!$A:$A,$A8,市场项目预算明细!$B:$B,$B8)</f>
        <v>0</v>
      </c>
      <c r="Y8">
        <f>SUMIFS(市场项目预算明细!AG:AG,市场项目预算明细!$A:$A,$A8,市场项目预算明细!$B:$B,$B8)</f>
        <v>0</v>
      </c>
      <c r="Z8">
        <f>SUMIFS(市场项目预算明细!AH:AH,市场项目预算明细!$A:$A,$A8,市场项目预算明细!$B:$B,$B8)</f>
        <v>0</v>
      </c>
      <c r="AA8">
        <f>SUMIFS(市场项目预算明细!AI:AI,市场项目预算明细!$A:$A,$A8,市场项目预算明细!$B:$B,$B8)</f>
        <v>0</v>
      </c>
    </row>
    <row r="9" spans="1:27">
      <c r="A9" t="s">
        <v>36</v>
      </c>
      <c r="B9" t="s">
        <v>41</v>
      </c>
      <c r="C9">
        <f>SUMIFS(市场项目预算明细!H:H,市场项目预算明细!$A:$A,$A9,市场项目预算明细!$B:$B,$B9)</f>
        <v>225.89</v>
      </c>
      <c r="D9">
        <f>SUMIFS(市场项目预算明细!I:I,市场项目预算明细!$A:$A,$A9,市场项目预算明细!$B:$B,$B9)</f>
        <v>213.1</v>
      </c>
      <c r="E9">
        <f>H9+I9</f>
        <v>16.82</v>
      </c>
      <c r="F9">
        <f>SUM(J9:Z9)</f>
        <v>223.104</v>
      </c>
      <c r="G9" t="s">
        <v>42</v>
      </c>
      <c r="H9">
        <f>SUMIFS(市场项目预算明细!O:O,市场项目预算明细!$A:$A,$A9,市场项目预算明细!$B:$B,$B9)</f>
        <v>10.93</v>
      </c>
      <c r="I9">
        <f>SUMIFS(市场项目预算明细!P:P,市场项目预算明细!$A:$A,$A9,市场项目预算明细!$B:$B,$B9)</f>
        <v>5.89</v>
      </c>
      <c r="J9">
        <f>SUMIFS(市场项目预算明细!S:S,市场项目预算明细!$A:$A,$A9,市场项目预算明细!$B:$B,$B9)</f>
        <v>8.524</v>
      </c>
      <c r="K9">
        <f>SUMIFS(市场项目预算明细!T:T,市场项目预算明细!$A:$A,$A9,市场项目预算明细!$B:$B,$B9)</f>
        <v>0.56</v>
      </c>
      <c r="L9">
        <f>SUMIFS(市场项目预算明细!U:U,市场项目预算明细!$A:$A,$A9,市场项目预算明细!$B:$B,$B9)</f>
        <v>0</v>
      </c>
      <c r="M9">
        <f>SUMIFS(市场项目预算明细!V:V,市场项目预算明细!$A:$A,$A9,市场项目预算明细!$B:$B,$B9)</f>
        <v>0.28</v>
      </c>
      <c r="N9">
        <f>SUMIFS(市场项目预算明细!W:W,市场项目预算明细!$A:$A,$A9,市场项目预算明细!$B:$B,$B9)</f>
        <v>0.28</v>
      </c>
      <c r="O9">
        <f>SUMIFS(市场项目预算明细!X:X,市场项目预算明细!$A:$A,$A9,市场项目预算明细!$B:$B,$B9)</f>
        <v>0.22</v>
      </c>
      <c r="P9">
        <f>SUMIFS(市场项目预算明细!Y:Y,市场项目预算明细!$A:$A,$A9,市场项目预算明细!$B:$B,$B9)</f>
        <v>0.85</v>
      </c>
      <c r="Q9">
        <f>SUMIFS(市场项目预算明细!Z:Z,市场项目预算明细!$A:$A,$A9,市场项目预算明细!$B:$B,$B9)</f>
        <v>16.8</v>
      </c>
      <c r="R9">
        <f>SUMIFS(市场项目预算明细!AL:AL,市场项目预算明细!$A:$A,$A9,市场项目预算明细!$B:$B,$B9)</f>
        <v>180.84</v>
      </c>
      <c r="S9">
        <f>SUMIFS(市场项目预算明细!AA:AA,市场项目预算明细!$A:$A,$A9,市场项目预算明细!$B:$B,$B9)</f>
        <v>14.01</v>
      </c>
      <c r="T9">
        <f>SUMIFS(市场项目预算明细!AB:AB,市场项目预算明细!$A:$A,$A9,市场项目预算明细!$B:$B,$B9)</f>
        <v>0.56</v>
      </c>
      <c r="U9">
        <f>SUMIFS(市场项目预算明细!AC:AC,市场项目预算明细!$A:$A,$A9,市场项目预算明细!$B:$B,$B9)</f>
        <v>0.18</v>
      </c>
      <c r="V9">
        <f>SUMIFS(市场项目预算明细!AD:AD,市场项目预算明细!$A:$A,$A9,市场项目预算明细!$B:$B,$B9)</f>
        <v>0</v>
      </c>
      <c r="W9">
        <f>SUMIFS(市场项目预算明细!AE:AE,市场项目预算明细!$A:$A,$A9,市场项目预算明细!$B:$B,$B9)</f>
        <v>0</v>
      </c>
      <c r="X9">
        <f>SUMIFS(市场项目预算明细!AF:AF,市场项目预算明细!$A:$A,$A9,市场项目预算明细!$B:$B,$B9)</f>
        <v>0</v>
      </c>
      <c r="Y9">
        <f>SUMIFS(市场项目预算明细!AG:AG,市场项目预算明细!$A:$A,$A9,市场项目预算明细!$B:$B,$B9)</f>
        <v>0</v>
      </c>
      <c r="Z9">
        <f>SUMIFS(市场项目预算明细!AH:AH,市场项目预算明细!$A:$A,$A9,市场项目预算明细!$B:$B,$B9)</f>
        <v>0</v>
      </c>
      <c r="AA9">
        <f>SUMIFS(市场项目预算明细!AI:AI,市场项目预算明细!$A:$A,$A9,市场项目预算明细!$B:$B,$B9)</f>
        <v>0</v>
      </c>
    </row>
    <row r="10" spans="1:27">
      <c r="A10" t="s">
        <v>43</v>
      </c>
      <c r="B10" t="s">
        <v>44</v>
      </c>
      <c r="C10">
        <f>SUMIFS(市场项目预算明细!H:H,市场项目预算明细!$A:$A,$A10,市场项目预算明细!$B:$B,$B10)</f>
        <v>791.39</v>
      </c>
      <c r="D10">
        <f>SUMIFS(市场项目预算明细!I:I,市场项目预算明细!$A:$A,$A10,市场项目预算明细!$B:$B,$B10)</f>
        <v>746.6</v>
      </c>
      <c r="E10">
        <f>H10+I10</f>
        <v>75.24</v>
      </c>
      <c r="F10">
        <f>SUM(J10:Z10)</f>
        <v>218.364</v>
      </c>
      <c r="G10" t="s">
        <v>45</v>
      </c>
      <c r="H10">
        <f>SUMIFS(市场项目预算明细!O:O,市场项目预算明细!$A:$A,$A10,市场项目预算明细!$B:$B,$B10)</f>
        <v>48.91</v>
      </c>
      <c r="I10">
        <f>SUMIFS(市场项目预算明细!P:P,市场项目预算明细!$A:$A,$A10,市场项目预算明细!$B:$B,$B10)</f>
        <v>26.33</v>
      </c>
      <c r="J10">
        <f>SUMIFS(市场项目预算明细!S:S,市场项目预算明细!$A:$A,$A10,市场项目预算明细!$B:$B,$B10)</f>
        <v>29.864</v>
      </c>
      <c r="K10">
        <f>SUMIFS(市场项目预算明细!T:T,市场项目预算明细!$A:$A,$A10,市场项目预算明细!$B:$B,$B10)</f>
        <v>2.5</v>
      </c>
      <c r="L10">
        <f>SUMIFS(市场项目预算明细!U:U,市场项目预算明细!$A:$A,$A10,市场项目预算明细!$B:$B,$B10)</f>
        <v>0</v>
      </c>
      <c r="M10">
        <f>SUMIFS(市场项目预算明细!V:V,市场项目预算明细!$A:$A,$A10,市场项目预算明细!$B:$B,$B10)</f>
        <v>1.25</v>
      </c>
      <c r="N10">
        <f>SUMIFS(市场项目预算明细!W:W,市场项目预算明细!$A:$A,$A10,市场项目预算明细!$B:$B,$B10)</f>
        <v>1.25</v>
      </c>
      <c r="O10">
        <f>SUMIFS(市场项目预算明细!X:X,市场项目预算明细!$A:$A,$A10,市场项目预算明细!$B:$B,$B10)</f>
        <v>1</v>
      </c>
      <c r="P10">
        <f>SUMIFS(市场项目预算明细!Y:Y,市场项目预算明细!$A:$A,$A10,市场项目预算明细!$B:$B,$B10)</f>
        <v>3.76</v>
      </c>
      <c r="Q10">
        <f>SUMIFS(市场项目预算明细!Z:Z,市场项目预算明细!$A:$A,$A10,市场项目预算明细!$B:$B,$B10)</f>
        <v>75.2</v>
      </c>
      <c r="R10">
        <f>SUMIFS(市场项目预算明细!AL:AL,市场项目预算明细!$A:$A,$A10,市场项目预算明细!$B:$B,$B10)</f>
        <v>37.58</v>
      </c>
      <c r="S10">
        <f>SUMIFS(市场项目预算明细!AA:AA,市场项目预算明细!$A:$A,$A10,市场项目预算明细!$B:$B,$B10)</f>
        <v>62.71</v>
      </c>
      <c r="T10">
        <f>SUMIFS(市场项目预算明细!AB:AB,市场项目预算明细!$A:$A,$A10,市场项目预算明细!$B:$B,$B10)</f>
        <v>2.5</v>
      </c>
      <c r="U10">
        <f>SUMIFS(市场项目预算明细!AC:AC,市场项目预算明细!$A:$A,$A10,市场项目预算明细!$B:$B,$B10)</f>
        <v>0.75</v>
      </c>
      <c r="V10">
        <f>SUMIFS(市场项目预算明细!AD:AD,市场项目预算明细!$A:$A,$A10,市场项目预算明细!$B:$B,$B10)</f>
        <v>0</v>
      </c>
      <c r="W10">
        <f>SUMIFS(市场项目预算明细!AE:AE,市场项目预算明细!$A:$A,$A10,市场项目预算明细!$B:$B,$B10)</f>
        <v>0</v>
      </c>
      <c r="X10">
        <f>SUMIFS(市场项目预算明细!AF:AF,市场项目预算明细!$A:$A,$A10,市场项目预算明细!$B:$B,$B10)</f>
        <v>0</v>
      </c>
      <c r="Y10">
        <f>SUMIFS(市场项目预算明细!AG:AG,市场项目预算明细!$A:$A,$A10,市场项目预算明细!$B:$B,$B10)</f>
        <v>0</v>
      </c>
      <c r="Z10">
        <f>SUMIFS(市场项目预算明细!AH:AH,市场项目预算明细!$A:$A,$A10,市场项目预算明细!$B:$B,$B10)</f>
        <v>0</v>
      </c>
      <c r="AA10">
        <f>SUMIFS(市场项目预算明细!AI:AI,市场项目预算明细!$A:$A,$A10,市场项目预算明细!$B:$B,$B10)</f>
        <v>0</v>
      </c>
    </row>
    <row r="11" spans="1:27">
      <c r="A11" t="s">
        <v>43</v>
      </c>
      <c r="B11" t="s">
        <v>30</v>
      </c>
      <c r="C11" t="s">
        <v>31</v>
      </c>
      <c r="D11" t="s">
        <v>31</v>
      </c>
      <c r="E11" t="s">
        <v>31</v>
      </c>
      <c r="F11">
        <f>SUMIFS(部门公共费用明细!G:G,部门公共费用明细!A:A,$A11)</f>
        <v>5</v>
      </c>
      <c r="G11" t="s">
        <v>30</v>
      </c>
      <c r="H11" t="s">
        <v>31</v>
      </c>
      <c r="I11" t="s">
        <v>31</v>
      </c>
      <c r="J11" t="s">
        <v>31</v>
      </c>
      <c r="K11" t="s">
        <v>31</v>
      </c>
      <c r="L11" t="s">
        <v>31</v>
      </c>
      <c r="M11">
        <f>SUMIFS(部门公共费用明细!G:G,部门公共费用明细!A:A,$A11,部门公共费用明细!B:B,"培训费")</f>
        <v>1.42</v>
      </c>
      <c r="N11">
        <f>SUMIFS(部门公共费用明细!G:G,部门公共费用明细!A:A,$A11,部门公共费用明细!B:B,"办公费")</f>
        <v>2.36</v>
      </c>
      <c r="O11" t="s">
        <v>31</v>
      </c>
      <c r="P11" t="s">
        <v>31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31</v>
      </c>
      <c r="W11" t="s">
        <v>31</v>
      </c>
      <c r="X11">
        <f>SUMIFS(部门公共费用明细!G:G,部门公共费用明细!A:A,$A11,部门公共费用明细!B:B,"水费")</f>
        <v>0.47</v>
      </c>
      <c r="Y11">
        <f>SUMIFS(部门公共费用明细!G:G,部门公共费用明细!A:A,$A11,部门公共费用明细!B:B,"电费")</f>
        <v>0.75</v>
      </c>
      <c r="Z11" t="s">
        <v>31</v>
      </c>
      <c r="AA11" t="s">
        <v>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2"/>
  <sheetViews>
    <sheetView tabSelected="1" topLeftCell="D1" workbookViewId="0">
      <selection activeCell="AN27" sqref="AN27"/>
    </sheetView>
  </sheetViews>
  <sheetFormatPr defaultColWidth="9" defaultRowHeight="13.5"/>
  <cols>
    <col min="17" max="17" width="9.53097345132743"/>
    <col min="40" max="40" width="12.7964601769912"/>
  </cols>
  <sheetData>
    <row r="1" spans="1:40">
      <c r="A1" t="s">
        <v>0</v>
      </c>
      <c r="B1" t="s">
        <v>1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3</v>
      </c>
      <c r="J1" t="s">
        <v>4</v>
      </c>
      <c r="K1" t="s">
        <v>52</v>
      </c>
      <c r="L1" t="s">
        <v>53</v>
      </c>
      <c r="M1" t="s">
        <v>54</v>
      </c>
      <c r="N1" t="s">
        <v>55</v>
      </c>
      <c r="O1" t="s">
        <v>7</v>
      </c>
      <c r="P1" t="s">
        <v>56</v>
      </c>
      <c r="Q1" t="s">
        <v>57</v>
      </c>
      <c r="R1" t="s">
        <v>52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58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59</v>
      </c>
      <c r="AK1" t="s">
        <v>60</v>
      </c>
      <c r="AL1" t="s">
        <v>61</v>
      </c>
      <c r="AM1" t="s">
        <v>62</v>
      </c>
      <c r="AN1" t="s">
        <v>63</v>
      </c>
    </row>
    <row r="2" spans="1:40">
      <c r="A2" t="s">
        <v>43</v>
      </c>
      <c r="B2" t="s">
        <v>44</v>
      </c>
      <c r="C2" t="s">
        <v>44</v>
      </c>
      <c r="D2" t="s">
        <v>64</v>
      </c>
      <c r="E2" t="s">
        <v>65</v>
      </c>
      <c r="F2" t="s">
        <v>66</v>
      </c>
      <c r="G2">
        <v>0.06</v>
      </c>
      <c r="H2">
        <v>254.61</v>
      </c>
      <c r="I2">
        <v>240.2</v>
      </c>
      <c r="J2">
        <v>24.27</v>
      </c>
      <c r="K2" t="s">
        <v>52</v>
      </c>
      <c r="L2">
        <v>5</v>
      </c>
      <c r="M2">
        <v>0.26</v>
      </c>
      <c r="N2">
        <v>60</v>
      </c>
      <c r="O2">
        <v>15.78</v>
      </c>
      <c r="P2">
        <v>8.49</v>
      </c>
      <c r="Q2" s="1">
        <v>71.008</v>
      </c>
      <c r="R2" t="s">
        <v>52</v>
      </c>
      <c r="S2">
        <v>9.608</v>
      </c>
      <c r="T2">
        <v>0.81</v>
      </c>
      <c r="U2">
        <v>0</v>
      </c>
      <c r="V2">
        <v>0.4</v>
      </c>
      <c r="W2">
        <v>0.4</v>
      </c>
      <c r="X2">
        <v>0.32</v>
      </c>
      <c r="Y2">
        <v>1.21</v>
      </c>
      <c r="Z2">
        <v>24.3</v>
      </c>
      <c r="AA2">
        <v>20.23</v>
      </c>
      <c r="AB2">
        <v>0.81</v>
      </c>
      <c r="AC2">
        <v>0.24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f>SUMIFS(技术配置!I:I,技术配置!F:F,$D2)</f>
        <v>12</v>
      </c>
      <c r="AK2">
        <f>SUMIFS(技术配置!L:L,技术配置!F:F,$D2)</f>
        <v>13.44</v>
      </c>
      <c r="AL2">
        <f>SUMIFS(技术配置!M:M,技术配置!F:F,$D2)</f>
        <v>12.68</v>
      </c>
      <c r="AM2">
        <v>95.278</v>
      </c>
      <c r="AN2" s="2">
        <f>AM2/I2</f>
        <v>0.396661115736886</v>
      </c>
    </row>
    <row r="3" spans="1:40">
      <c r="A3" t="s">
        <v>43</v>
      </c>
      <c r="B3" t="s">
        <v>44</v>
      </c>
      <c r="C3" t="s">
        <v>44</v>
      </c>
      <c r="D3" t="s">
        <v>67</v>
      </c>
      <c r="E3" t="s">
        <v>65</v>
      </c>
      <c r="F3" t="s">
        <v>66</v>
      </c>
      <c r="G3">
        <v>0.06</v>
      </c>
      <c r="H3">
        <v>272.84</v>
      </c>
      <c r="I3">
        <v>257.4</v>
      </c>
      <c r="J3">
        <v>25.94</v>
      </c>
      <c r="K3" t="s">
        <v>52</v>
      </c>
      <c r="L3">
        <v>5</v>
      </c>
      <c r="M3">
        <v>0.28</v>
      </c>
      <c r="N3">
        <v>60</v>
      </c>
      <c r="O3">
        <v>16.86</v>
      </c>
      <c r="P3">
        <v>9.08</v>
      </c>
      <c r="Q3" s="1">
        <v>74.756</v>
      </c>
      <c r="R3" t="s">
        <v>52</v>
      </c>
      <c r="S3">
        <v>10.296</v>
      </c>
      <c r="T3">
        <v>0.86</v>
      </c>
      <c r="U3">
        <v>0</v>
      </c>
      <c r="V3">
        <v>0.43</v>
      </c>
      <c r="W3">
        <v>0.43</v>
      </c>
      <c r="X3">
        <v>0.35</v>
      </c>
      <c r="Y3">
        <v>1.3</v>
      </c>
      <c r="Z3">
        <v>25.9</v>
      </c>
      <c r="AA3">
        <v>21.62</v>
      </c>
      <c r="AB3">
        <v>0.86</v>
      </c>
      <c r="AC3">
        <v>0.26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f>SUMIFS(技术配置!I:I,技术配置!F:F,$D3)</f>
        <v>12</v>
      </c>
      <c r="AK3">
        <f>SUMIFS(技术配置!L:L,技术配置!F:F,$D3)</f>
        <v>13.2</v>
      </c>
      <c r="AL3">
        <f>SUMIFS(技术配置!M:M,技术配置!F:F,$D3)</f>
        <v>12.45</v>
      </c>
      <c r="AM3">
        <v>100.696</v>
      </c>
      <c r="AN3" s="2">
        <f t="shared" ref="AN3:AN22" si="0">AM3/I3</f>
        <v>0.391204351204351</v>
      </c>
    </row>
    <row r="4" spans="1:40">
      <c r="A4" t="s">
        <v>43</v>
      </c>
      <c r="B4" t="s">
        <v>44</v>
      </c>
      <c r="C4" t="s">
        <v>44</v>
      </c>
      <c r="D4" t="s">
        <v>68</v>
      </c>
      <c r="E4" t="s">
        <v>65</v>
      </c>
      <c r="F4" t="s">
        <v>66</v>
      </c>
      <c r="G4">
        <v>0.06</v>
      </c>
      <c r="H4">
        <v>263.94</v>
      </c>
      <c r="I4">
        <v>249</v>
      </c>
      <c r="J4">
        <v>25.03</v>
      </c>
      <c r="K4" t="s">
        <v>52</v>
      </c>
      <c r="L4">
        <v>5</v>
      </c>
      <c r="M4">
        <v>0.27</v>
      </c>
      <c r="N4">
        <v>60</v>
      </c>
      <c r="O4">
        <v>16.27</v>
      </c>
      <c r="P4">
        <v>8.76</v>
      </c>
      <c r="Q4" s="1">
        <v>72.6</v>
      </c>
      <c r="R4" t="s">
        <v>52</v>
      </c>
      <c r="S4">
        <v>9.96</v>
      </c>
      <c r="T4">
        <v>0.83</v>
      </c>
      <c r="U4">
        <v>0</v>
      </c>
      <c r="V4">
        <v>0.42</v>
      </c>
      <c r="W4">
        <v>0.42</v>
      </c>
      <c r="X4">
        <v>0.33</v>
      </c>
      <c r="Y4">
        <v>1.25</v>
      </c>
      <c r="Z4">
        <v>25</v>
      </c>
      <c r="AA4">
        <v>20.86</v>
      </c>
      <c r="AB4">
        <v>0.83</v>
      </c>
      <c r="AC4">
        <v>0.25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f>SUMIFS(技术配置!I:I,技术配置!F:F,$D4)</f>
        <v>12</v>
      </c>
      <c r="AK4">
        <f>SUMIFS(技术配置!L:L,技术配置!F:F,$D4)</f>
        <v>13.2</v>
      </c>
      <c r="AL4">
        <f>SUMIFS(技术配置!M:M,技术配置!F:F,$D4)</f>
        <v>12.45</v>
      </c>
      <c r="AM4">
        <v>97.63</v>
      </c>
      <c r="AN4" s="2">
        <f t="shared" si="0"/>
        <v>0.392088353413655</v>
      </c>
    </row>
    <row r="5" spans="1:40">
      <c r="A5" t="s">
        <v>36</v>
      </c>
      <c r="B5" t="s">
        <v>39</v>
      </c>
      <c r="C5" t="s">
        <v>39</v>
      </c>
      <c r="D5" t="s">
        <v>69</v>
      </c>
      <c r="E5" t="s">
        <v>65</v>
      </c>
      <c r="F5" t="s">
        <v>66</v>
      </c>
      <c r="G5">
        <v>0.06</v>
      </c>
      <c r="H5">
        <v>66.04</v>
      </c>
      <c r="I5">
        <v>62.3</v>
      </c>
      <c r="J5">
        <v>4.98</v>
      </c>
      <c r="K5" t="s">
        <v>52</v>
      </c>
      <c r="L5">
        <v>5</v>
      </c>
      <c r="M5">
        <v>0.05</v>
      </c>
      <c r="N5">
        <v>60</v>
      </c>
      <c r="O5">
        <v>3.24</v>
      </c>
      <c r="P5">
        <v>1.74</v>
      </c>
      <c r="Q5" s="1">
        <v>118.132</v>
      </c>
      <c r="R5" t="s">
        <v>52</v>
      </c>
      <c r="S5">
        <v>2.492</v>
      </c>
      <c r="T5">
        <v>0.17</v>
      </c>
      <c r="U5">
        <v>0</v>
      </c>
      <c r="V5">
        <v>0.08</v>
      </c>
      <c r="W5">
        <v>0.08</v>
      </c>
      <c r="X5">
        <v>0.07</v>
      </c>
      <c r="Y5">
        <v>0.25</v>
      </c>
      <c r="Z5">
        <v>5</v>
      </c>
      <c r="AA5">
        <v>4.15</v>
      </c>
      <c r="AB5">
        <v>0.17</v>
      </c>
      <c r="AC5">
        <v>0.05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f>SUMIFS(技术配置!I:I,技术配置!F:F,$D5)</f>
        <v>36</v>
      </c>
      <c r="AK5">
        <f>SUMIFS(技术配置!L:L,技术配置!F:F,$D5)</f>
        <v>111.96</v>
      </c>
      <c r="AL5">
        <f>SUMIFS(技术配置!M:M,技术配置!F:F,$D5)</f>
        <v>105.62</v>
      </c>
      <c r="AM5">
        <v>123.112</v>
      </c>
      <c r="AN5" s="2">
        <f t="shared" si="0"/>
        <v>1.97611556982344</v>
      </c>
    </row>
    <row r="6" spans="1:40">
      <c r="A6" t="s">
        <v>36</v>
      </c>
      <c r="B6" t="s">
        <v>39</v>
      </c>
      <c r="C6" t="s">
        <v>39</v>
      </c>
      <c r="D6" t="s">
        <v>70</v>
      </c>
      <c r="E6" t="s">
        <v>65</v>
      </c>
      <c r="F6" t="s">
        <v>66</v>
      </c>
      <c r="G6">
        <v>0.06</v>
      </c>
      <c r="H6">
        <v>70.38</v>
      </c>
      <c r="I6">
        <v>66.4</v>
      </c>
      <c r="J6">
        <v>5.17</v>
      </c>
      <c r="K6" t="s">
        <v>52</v>
      </c>
      <c r="L6">
        <v>5</v>
      </c>
      <c r="M6">
        <v>0.06</v>
      </c>
      <c r="N6">
        <v>60</v>
      </c>
      <c r="O6">
        <v>3.36</v>
      </c>
      <c r="P6">
        <v>1.81</v>
      </c>
      <c r="Q6" s="1">
        <v>112.916</v>
      </c>
      <c r="R6" t="s">
        <v>52</v>
      </c>
      <c r="S6">
        <v>2.656</v>
      </c>
      <c r="T6">
        <v>0.17</v>
      </c>
      <c r="U6">
        <v>0</v>
      </c>
      <c r="V6">
        <v>0.09</v>
      </c>
      <c r="W6">
        <v>0.09</v>
      </c>
      <c r="X6">
        <v>0.07</v>
      </c>
      <c r="Y6">
        <v>0.26</v>
      </c>
      <c r="Z6">
        <v>5.2</v>
      </c>
      <c r="AA6">
        <v>4.31</v>
      </c>
      <c r="AB6">
        <v>0.17</v>
      </c>
      <c r="AC6">
        <v>0.05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f>SUMIFS(技术配置!I:I,技术配置!F:F,$D6)</f>
        <v>36</v>
      </c>
      <c r="AK6">
        <f>SUMIFS(技术配置!L:L,技术配置!F:F,$D6)</f>
        <v>105.84</v>
      </c>
      <c r="AL6">
        <f>SUMIFS(技术配置!M:M,技术配置!F:F,$D6)</f>
        <v>99.85</v>
      </c>
      <c r="AM6">
        <v>118.086</v>
      </c>
      <c r="AN6" s="2">
        <f t="shared" si="0"/>
        <v>1.77840361445783</v>
      </c>
    </row>
    <row r="7" spans="1:40">
      <c r="A7" t="s">
        <v>36</v>
      </c>
      <c r="B7" t="s">
        <v>39</v>
      </c>
      <c r="C7" t="s">
        <v>39</v>
      </c>
      <c r="D7" t="s">
        <v>71</v>
      </c>
      <c r="E7" t="s">
        <v>65</v>
      </c>
      <c r="F7" t="s">
        <v>66</v>
      </c>
      <c r="G7">
        <v>0.06</v>
      </c>
      <c r="H7">
        <v>71.44</v>
      </c>
      <c r="I7">
        <v>67.4</v>
      </c>
      <c r="J7">
        <v>5.23</v>
      </c>
      <c r="K7" t="s">
        <v>52</v>
      </c>
      <c r="L7">
        <v>5</v>
      </c>
      <c r="M7">
        <v>0.06</v>
      </c>
      <c r="N7">
        <v>60</v>
      </c>
      <c r="O7">
        <v>3.4</v>
      </c>
      <c r="P7">
        <v>1.83</v>
      </c>
      <c r="Q7" s="1">
        <v>109.946</v>
      </c>
      <c r="R7" t="s">
        <v>52</v>
      </c>
      <c r="S7">
        <v>2.696</v>
      </c>
      <c r="T7">
        <v>0.17</v>
      </c>
      <c r="U7">
        <v>0</v>
      </c>
      <c r="V7">
        <v>0.09</v>
      </c>
      <c r="W7">
        <v>0.09</v>
      </c>
      <c r="X7">
        <v>0.07</v>
      </c>
      <c r="Y7">
        <v>0.26</v>
      </c>
      <c r="Z7">
        <v>5.2</v>
      </c>
      <c r="AA7">
        <v>4.36</v>
      </c>
      <c r="AB7">
        <v>0.17</v>
      </c>
      <c r="AC7">
        <v>0.05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f>SUMIFS(技术配置!I:I,技术配置!F:F,$D7)</f>
        <v>36</v>
      </c>
      <c r="AK7">
        <f>SUMIFS(技术配置!L:L,技术配置!F:F,$D7)</f>
        <v>102.6</v>
      </c>
      <c r="AL7">
        <f>SUMIFS(技术配置!M:M,技术配置!F:F,$D7)</f>
        <v>96.79</v>
      </c>
      <c r="AM7">
        <v>115.176</v>
      </c>
      <c r="AN7" s="2">
        <f t="shared" si="0"/>
        <v>1.70884272997033</v>
      </c>
    </row>
    <row r="8" spans="1:40">
      <c r="A8" t="s">
        <v>36</v>
      </c>
      <c r="B8" t="s">
        <v>41</v>
      </c>
      <c r="C8" t="s">
        <v>41</v>
      </c>
      <c r="D8" t="s">
        <v>72</v>
      </c>
      <c r="E8" t="s">
        <v>65</v>
      </c>
      <c r="F8" t="s">
        <v>66</v>
      </c>
      <c r="G8">
        <v>0.06</v>
      </c>
      <c r="H8">
        <v>78.23</v>
      </c>
      <c r="I8">
        <v>73.8</v>
      </c>
      <c r="J8">
        <v>5.71</v>
      </c>
      <c r="K8" t="s">
        <v>52</v>
      </c>
      <c r="L8">
        <v>5</v>
      </c>
      <c r="M8">
        <v>0.06</v>
      </c>
      <c r="N8">
        <v>60</v>
      </c>
      <c r="O8">
        <v>3.71</v>
      </c>
      <c r="P8">
        <v>2</v>
      </c>
      <c r="Q8" s="1">
        <v>71.012</v>
      </c>
      <c r="R8" t="s">
        <v>52</v>
      </c>
      <c r="S8">
        <v>2.952</v>
      </c>
      <c r="T8">
        <v>0.19</v>
      </c>
      <c r="U8">
        <v>0</v>
      </c>
      <c r="V8">
        <v>0.1</v>
      </c>
      <c r="W8">
        <v>0.1</v>
      </c>
      <c r="X8">
        <v>0.08</v>
      </c>
      <c r="Y8">
        <v>0.29</v>
      </c>
      <c r="Z8">
        <v>5.7</v>
      </c>
      <c r="AA8">
        <v>4.75</v>
      </c>
      <c r="AB8">
        <v>0.19</v>
      </c>
      <c r="AC8">
        <v>0.06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f>SUMIFS(技术配置!I:I,技术配置!F:F,$D8)</f>
        <v>30</v>
      </c>
      <c r="AK8">
        <f>SUMIFS(技术配置!L:L,技术配置!F:F,$D8)</f>
        <v>60</v>
      </c>
      <c r="AL8">
        <f>SUMIFS(技术配置!M:M,技术配置!F:F,$D8)</f>
        <v>56.6</v>
      </c>
      <c r="AM8">
        <v>76.722</v>
      </c>
      <c r="AN8" s="2">
        <f t="shared" si="0"/>
        <v>1.03959349593496</v>
      </c>
    </row>
    <row r="9" spans="1:40">
      <c r="A9" t="s">
        <v>36</v>
      </c>
      <c r="B9" t="s">
        <v>41</v>
      </c>
      <c r="C9" t="s">
        <v>41</v>
      </c>
      <c r="D9" t="s">
        <v>73</v>
      </c>
      <c r="E9" t="s">
        <v>65</v>
      </c>
      <c r="F9" t="s">
        <v>66</v>
      </c>
      <c r="G9">
        <v>0.06</v>
      </c>
      <c r="H9">
        <v>74.31</v>
      </c>
      <c r="I9">
        <v>70.1</v>
      </c>
      <c r="J9">
        <v>5.59</v>
      </c>
      <c r="K9" t="s">
        <v>52</v>
      </c>
      <c r="L9">
        <v>5</v>
      </c>
      <c r="M9">
        <v>0.06</v>
      </c>
      <c r="N9">
        <v>60</v>
      </c>
      <c r="O9">
        <v>3.63</v>
      </c>
      <c r="P9">
        <v>1.96</v>
      </c>
      <c r="Q9" s="1">
        <v>75.164</v>
      </c>
      <c r="R9" t="s">
        <v>52</v>
      </c>
      <c r="S9">
        <v>2.804</v>
      </c>
      <c r="T9">
        <v>0.19</v>
      </c>
      <c r="U9">
        <v>0</v>
      </c>
      <c r="V9">
        <v>0.09</v>
      </c>
      <c r="W9">
        <v>0.09</v>
      </c>
      <c r="X9">
        <v>0.07</v>
      </c>
      <c r="Y9">
        <v>0.28</v>
      </c>
      <c r="Z9">
        <v>5.6</v>
      </c>
      <c r="AA9">
        <v>4.66</v>
      </c>
      <c r="AB9">
        <v>0.19</v>
      </c>
      <c r="AC9">
        <v>0.06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f>SUMIFS(技术配置!I:I,技术配置!F:F,$D9)</f>
        <v>30</v>
      </c>
      <c r="AK9">
        <f>SUMIFS(技术配置!L:L,技术配置!F:F,$D9)</f>
        <v>64.8</v>
      </c>
      <c r="AL9">
        <f>SUMIFS(技术配置!M:M,技术配置!F:F,$D9)</f>
        <v>61.13</v>
      </c>
      <c r="AM9">
        <v>80.754</v>
      </c>
      <c r="AN9" s="2">
        <f t="shared" si="0"/>
        <v>1.15198288159772</v>
      </c>
    </row>
    <row r="10" spans="1:40">
      <c r="A10" t="s">
        <v>36</v>
      </c>
      <c r="B10" t="s">
        <v>41</v>
      </c>
      <c r="C10" t="s">
        <v>41</v>
      </c>
      <c r="D10" t="s">
        <v>74</v>
      </c>
      <c r="E10" t="s">
        <v>65</v>
      </c>
      <c r="F10" t="s">
        <v>66</v>
      </c>
      <c r="G10">
        <v>0.06</v>
      </c>
      <c r="H10">
        <v>73.35</v>
      </c>
      <c r="I10">
        <v>69.2</v>
      </c>
      <c r="J10">
        <v>5.52</v>
      </c>
      <c r="K10" t="s">
        <v>52</v>
      </c>
      <c r="L10">
        <v>5</v>
      </c>
      <c r="M10">
        <v>0.06</v>
      </c>
      <c r="N10">
        <v>60</v>
      </c>
      <c r="O10">
        <v>3.59</v>
      </c>
      <c r="P10">
        <v>1.93</v>
      </c>
      <c r="Q10" s="1">
        <v>76.928</v>
      </c>
      <c r="R10" t="s">
        <v>52</v>
      </c>
      <c r="S10">
        <v>2.768</v>
      </c>
      <c r="T10">
        <v>0.18</v>
      </c>
      <c r="U10">
        <v>0</v>
      </c>
      <c r="V10">
        <v>0.09</v>
      </c>
      <c r="W10">
        <v>0.09</v>
      </c>
      <c r="X10">
        <v>0.07</v>
      </c>
      <c r="Y10">
        <v>0.28</v>
      </c>
      <c r="Z10">
        <v>5.5</v>
      </c>
      <c r="AA10">
        <v>4.6</v>
      </c>
      <c r="AB10">
        <v>0.18</v>
      </c>
      <c r="AC10">
        <v>0.06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f>SUMIFS(技术配置!I:I,技术配置!F:F,$D10)</f>
        <v>30</v>
      </c>
      <c r="AK10">
        <f>SUMIFS(技术配置!L:L,技术配置!F:F,$D10)</f>
        <v>66.9</v>
      </c>
      <c r="AL10">
        <f>SUMIFS(技术配置!M:M,技术配置!F:F,$D10)</f>
        <v>63.11</v>
      </c>
      <c r="AM10">
        <v>82.448</v>
      </c>
      <c r="AN10" s="2">
        <f t="shared" si="0"/>
        <v>1.1914450867052</v>
      </c>
    </row>
    <row r="11" spans="1:40">
      <c r="A11" t="s">
        <v>36</v>
      </c>
      <c r="B11" t="s">
        <v>37</v>
      </c>
      <c r="C11" t="s">
        <v>37</v>
      </c>
      <c r="D11" t="s">
        <v>75</v>
      </c>
      <c r="E11" t="s">
        <v>65</v>
      </c>
      <c r="F11" t="s">
        <v>66</v>
      </c>
      <c r="G11">
        <v>0.06</v>
      </c>
      <c r="H11">
        <v>68.48</v>
      </c>
      <c r="I11">
        <v>64.6</v>
      </c>
      <c r="J11">
        <v>5.1</v>
      </c>
      <c r="K11" t="s">
        <v>52</v>
      </c>
      <c r="L11">
        <v>5</v>
      </c>
      <c r="M11">
        <v>0.06</v>
      </c>
      <c r="N11">
        <v>60</v>
      </c>
      <c r="O11">
        <v>3.31</v>
      </c>
      <c r="P11">
        <v>1.78</v>
      </c>
      <c r="Q11" s="1">
        <v>123.554</v>
      </c>
      <c r="R11" t="s">
        <v>52</v>
      </c>
      <c r="S11">
        <v>2.584</v>
      </c>
      <c r="T11">
        <v>0.17</v>
      </c>
      <c r="U11">
        <v>0</v>
      </c>
      <c r="V11">
        <v>0.09</v>
      </c>
      <c r="W11">
        <v>0.09</v>
      </c>
      <c r="X11">
        <v>0.07</v>
      </c>
      <c r="Y11">
        <v>0.26</v>
      </c>
      <c r="Z11">
        <v>5.1</v>
      </c>
      <c r="AA11">
        <v>4.25</v>
      </c>
      <c r="AB11">
        <v>0.17</v>
      </c>
      <c r="AC11">
        <v>0.05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f>SUMIFS(技术配置!I:I,技术配置!F:F,$D11)</f>
        <v>36</v>
      </c>
      <c r="AK11">
        <f>SUMIFS(技术配置!L:L,技术配置!F:F,$D11)</f>
        <v>117.36</v>
      </c>
      <c r="AL11">
        <f>SUMIFS(技术配置!M:M,技术配置!F:F,$D11)</f>
        <v>110.72</v>
      </c>
      <c r="AM11">
        <v>128.654</v>
      </c>
      <c r="AN11" s="2">
        <f t="shared" si="0"/>
        <v>1.9915479876161</v>
      </c>
    </row>
    <row r="12" spans="1:40">
      <c r="A12" t="s">
        <v>36</v>
      </c>
      <c r="B12" t="s">
        <v>37</v>
      </c>
      <c r="C12" t="s">
        <v>37</v>
      </c>
      <c r="D12" t="s">
        <v>76</v>
      </c>
      <c r="E12" t="s">
        <v>65</v>
      </c>
      <c r="F12" t="s">
        <v>66</v>
      </c>
      <c r="G12">
        <v>0.06</v>
      </c>
      <c r="H12">
        <v>81.83</v>
      </c>
      <c r="I12">
        <v>77.2</v>
      </c>
      <c r="J12">
        <v>6.07</v>
      </c>
      <c r="K12" t="s">
        <v>52</v>
      </c>
      <c r="L12">
        <v>5</v>
      </c>
      <c r="M12">
        <v>0.07</v>
      </c>
      <c r="N12">
        <v>60</v>
      </c>
      <c r="O12">
        <v>3.95</v>
      </c>
      <c r="P12">
        <v>2.12</v>
      </c>
      <c r="Q12" s="1">
        <v>120.558</v>
      </c>
      <c r="R12" t="s">
        <v>52</v>
      </c>
      <c r="S12">
        <v>3.088</v>
      </c>
      <c r="T12">
        <v>0.2</v>
      </c>
      <c r="U12">
        <v>0</v>
      </c>
      <c r="V12">
        <v>0.1</v>
      </c>
      <c r="W12">
        <v>0.1</v>
      </c>
      <c r="X12">
        <v>0.08</v>
      </c>
      <c r="Y12">
        <v>0.3</v>
      </c>
      <c r="Z12">
        <v>6.1</v>
      </c>
      <c r="AA12">
        <v>5.05</v>
      </c>
      <c r="AB12">
        <v>0.2</v>
      </c>
      <c r="AC12">
        <v>0.06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f>SUMIFS(技术配置!I:I,技术配置!F:F,$D12)</f>
        <v>36</v>
      </c>
      <c r="AK12">
        <f>SUMIFS(技术配置!L:L,技术配置!F:F,$D12)</f>
        <v>111.6</v>
      </c>
      <c r="AL12">
        <f>SUMIFS(技术配置!M:M,技术配置!F:F,$D12)</f>
        <v>105.28</v>
      </c>
      <c r="AM12">
        <v>126.628</v>
      </c>
      <c r="AN12" s="2">
        <f t="shared" si="0"/>
        <v>1.64025906735751</v>
      </c>
    </row>
    <row r="13" spans="1:40">
      <c r="A13" t="s">
        <v>36</v>
      </c>
      <c r="B13" t="s">
        <v>37</v>
      </c>
      <c r="C13" t="s">
        <v>37</v>
      </c>
      <c r="D13" t="s">
        <v>77</v>
      </c>
      <c r="E13" t="s">
        <v>65</v>
      </c>
      <c r="F13" t="s">
        <v>66</v>
      </c>
      <c r="G13">
        <v>0.06</v>
      </c>
      <c r="H13">
        <v>64.13</v>
      </c>
      <c r="I13">
        <v>60.5</v>
      </c>
      <c r="J13">
        <v>4.84</v>
      </c>
      <c r="K13" t="s">
        <v>52</v>
      </c>
      <c r="L13">
        <v>5</v>
      </c>
      <c r="M13">
        <v>0.05</v>
      </c>
      <c r="N13">
        <v>60</v>
      </c>
      <c r="O13">
        <v>3.15</v>
      </c>
      <c r="P13">
        <v>1.69</v>
      </c>
      <c r="Q13" s="1">
        <v>108.53</v>
      </c>
      <c r="R13" t="s">
        <v>52</v>
      </c>
      <c r="S13">
        <v>2.42</v>
      </c>
      <c r="T13">
        <v>0.16</v>
      </c>
      <c r="U13">
        <v>0</v>
      </c>
      <c r="V13">
        <v>0.08</v>
      </c>
      <c r="W13">
        <v>0.08</v>
      </c>
      <c r="X13">
        <v>0.06</v>
      </c>
      <c r="Y13">
        <v>0.24</v>
      </c>
      <c r="Z13">
        <v>4.8</v>
      </c>
      <c r="AA13">
        <v>4.03</v>
      </c>
      <c r="AB13">
        <v>0.16</v>
      </c>
      <c r="AC13">
        <v>0.05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f>SUMIFS(技术配置!I:I,技术配置!F:F,$D13)</f>
        <v>36</v>
      </c>
      <c r="AK13">
        <f>SUMIFS(技术配置!L:L,技术配置!F:F,$D13)</f>
        <v>102.24</v>
      </c>
      <c r="AL13">
        <f>SUMIFS(技术配置!M:M,技术配置!F:F,$D13)</f>
        <v>96.45</v>
      </c>
      <c r="AM13">
        <v>113.37</v>
      </c>
      <c r="AN13" s="2">
        <f t="shared" si="0"/>
        <v>1.87388429752066</v>
      </c>
    </row>
    <row r="14" spans="1:40">
      <c r="A14" t="s">
        <v>27</v>
      </c>
      <c r="B14" t="s">
        <v>32</v>
      </c>
      <c r="C14" t="s">
        <v>32</v>
      </c>
      <c r="D14" t="s">
        <v>78</v>
      </c>
      <c r="E14" t="s">
        <v>65</v>
      </c>
      <c r="F14" t="s">
        <v>66</v>
      </c>
      <c r="G14">
        <v>0.06</v>
      </c>
      <c r="H14">
        <v>48.97</v>
      </c>
      <c r="I14">
        <v>46.2</v>
      </c>
      <c r="J14">
        <v>5.56</v>
      </c>
      <c r="K14" t="s">
        <v>52</v>
      </c>
      <c r="L14">
        <v>5</v>
      </c>
      <c r="M14">
        <v>0.06</v>
      </c>
      <c r="N14">
        <v>60</v>
      </c>
      <c r="O14">
        <v>3.61</v>
      </c>
      <c r="P14">
        <v>1.95</v>
      </c>
      <c r="Q14" s="1">
        <v>50.858</v>
      </c>
      <c r="R14" t="s">
        <v>52</v>
      </c>
      <c r="S14">
        <v>1.848</v>
      </c>
      <c r="T14">
        <v>0.19</v>
      </c>
      <c r="U14">
        <v>0</v>
      </c>
      <c r="V14">
        <v>0.09</v>
      </c>
      <c r="W14">
        <v>0.09</v>
      </c>
      <c r="X14">
        <v>0.07</v>
      </c>
      <c r="Y14">
        <v>0.28</v>
      </c>
      <c r="Z14">
        <v>5.6</v>
      </c>
      <c r="AA14">
        <v>4.63</v>
      </c>
      <c r="AB14">
        <v>0.19</v>
      </c>
      <c r="AC14">
        <v>0.06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f>SUMIFS(技术配置!I:I,技术配置!F:F,$D14)</f>
        <v>24</v>
      </c>
      <c r="AK14">
        <f>SUMIFS(技术配置!L:L,技术配置!F:F,$D14)</f>
        <v>40.08</v>
      </c>
      <c r="AL14">
        <f>SUMIFS(技术配置!M:M,技术配置!F:F,$D14)</f>
        <v>37.81</v>
      </c>
      <c r="AM14">
        <v>56.418</v>
      </c>
      <c r="AN14" s="2">
        <f t="shared" si="0"/>
        <v>1.22116883116883</v>
      </c>
    </row>
    <row r="15" spans="1:40">
      <c r="A15" t="s">
        <v>27</v>
      </c>
      <c r="B15" t="s">
        <v>32</v>
      </c>
      <c r="C15" t="s">
        <v>32</v>
      </c>
      <c r="D15" t="s">
        <v>79</v>
      </c>
      <c r="E15" t="s">
        <v>65</v>
      </c>
      <c r="F15" t="s">
        <v>66</v>
      </c>
      <c r="G15">
        <v>0.06</v>
      </c>
      <c r="H15">
        <v>60</v>
      </c>
      <c r="I15">
        <v>56.6</v>
      </c>
      <c r="J15">
        <v>6.86</v>
      </c>
      <c r="K15" t="s">
        <v>52</v>
      </c>
      <c r="L15">
        <v>5</v>
      </c>
      <c r="M15">
        <v>0.07</v>
      </c>
      <c r="N15">
        <v>60</v>
      </c>
      <c r="O15">
        <v>4.46</v>
      </c>
      <c r="P15">
        <v>2.4</v>
      </c>
      <c r="Q15" s="1">
        <v>55.224</v>
      </c>
      <c r="R15" t="s">
        <v>52</v>
      </c>
      <c r="S15">
        <v>2.264</v>
      </c>
      <c r="T15">
        <v>0.23</v>
      </c>
      <c r="U15">
        <v>0</v>
      </c>
      <c r="V15">
        <v>0.11</v>
      </c>
      <c r="W15">
        <v>0.11</v>
      </c>
      <c r="X15">
        <v>0.09</v>
      </c>
      <c r="Y15">
        <v>0.34</v>
      </c>
      <c r="Z15">
        <v>6.9</v>
      </c>
      <c r="AA15">
        <v>5.71</v>
      </c>
      <c r="AB15">
        <v>0.23</v>
      </c>
      <c r="AC15">
        <v>0.07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f>SUMIFS(技术配置!I:I,技术配置!F:F,$D15)</f>
        <v>24</v>
      </c>
      <c r="AK15">
        <f>SUMIFS(技术配置!L:L,技术配置!F:F,$D15)</f>
        <v>41.52</v>
      </c>
      <c r="AL15">
        <f>SUMIFS(技术配置!M:M,技术配置!F:F,$D15)</f>
        <v>39.17</v>
      </c>
      <c r="AM15">
        <v>62.084</v>
      </c>
      <c r="AN15" s="2">
        <f t="shared" si="0"/>
        <v>1.09689045936396</v>
      </c>
    </row>
    <row r="16" spans="1:40">
      <c r="A16" t="s">
        <v>27</v>
      </c>
      <c r="B16" t="s">
        <v>32</v>
      </c>
      <c r="C16" t="s">
        <v>32</v>
      </c>
      <c r="D16" t="s">
        <v>80</v>
      </c>
      <c r="E16" t="s">
        <v>65</v>
      </c>
      <c r="F16" t="s">
        <v>66</v>
      </c>
      <c r="G16">
        <v>0.06</v>
      </c>
      <c r="H16">
        <v>48.12</v>
      </c>
      <c r="I16">
        <v>45.4</v>
      </c>
      <c r="J16">
        <v>5.42</v>
      </c>
      <c r="K16" t="s">
        <v>52</v>
      </c>
      <c r="L16">
        <v>5</v>
      </c>
      <c r="M16">
        <v>0.06</v>
      </c>
      <c r="N16">
        <v>60</v>
      </c>
      <c r="O16">
        <v>3.52</v>
      </c>
      <c r="P16">
        <v>1.9</v>
      </c>
      <c r="Q16" s="1">
        <v>56.816</v>
      </c>
      <c r="R16" t="s">
        <v>52</v>
      </c>
      <c r="S16">
        <v>1.816</v>
      </c>
      <c r="T16">
        <v>0.18</v>
      </c>
      <c r="U16">
        <v>0</v>
      </c>
      <c r="V16">
        <v>0.09</v>
      </c>
      <c r="W16">
        <v>0.09</v>
      </c>
      <c r="X16">
        <v>0.07</v>
      </c>
      <c r="Y16">
        <v>0.27</v>
      </c>
      <c r="Z16">
        <v>5.4</v>
      </c>
      <c r="AA16">
        <v>4.52</v>
      </c>
      <c r="AB16">
        <v>0.18</v>
      </c>
      <c r="AC16">
        <v>0.05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f>SUMIFS(技术配置!I:I,技术配置!F:F,$D16)</f>
        <v>24</v>
      </c>
      <c r="AK16">
        <f>SUMIFS(技术配置!L:L,技术配置!F:F,$D16)</f>
        <v>46.8</v>
      </c>
      <c r="AL16">
        <f>SUMIFS(技术配置!M:M,技术配置!F:F,$D16)</f>
        <v>44.15</v>
      </c>
      <c r="AM16">
        <v>62.236</v>
      </c>
      <c r="AN16" s="2">
        <f t="shared" si="0"/>
        <v>1.37083700440529</v>
      </c>
    </row>
    <row r="17" spans="1:40">
      <c r="A17" t="s">
        <v>27</v>
      </c>
      <c r="B17" t="s">
        <v>34</v>
      </c>
      <c r="C17" t="s">
        <v>34</v>
      </c>
      <c r="D17" t="s">
        <v>81</v>
      </c>
      <c r="E17" t="s">
        <v>65</v>
      </c>
      <c r="F17" t="s">
        <v>66</v>
      </c>
      <c r="G17">
        <v>0.06</v>
      </c>
      <c r="H17">
        <v>46.53</v>
      </c>
      <c r="I17">
        <v>43.9</v>
      </c>
      <c r="J17">
        <v>5.18</v>
      </c>
      <c r="K17" t="s">
        <v>52</v>
      </c>
      <c r="L17">
        <v>5</v>
      </c>
      <c r="M17">
        <v>0.06</v>
      </c>
      <c r="N17">
        <v>60</v>
      </c>
      <c r="O17">
        <v>3.37</v>
      </c>
      <c r="P17">
        <v>1.81</v>
      </c>
      <c r="Q17" s="1">
        <v>24.406</v>
      </c>
      <c r="R17" t="s">
        <v>52</v>
      </c>
      <c r="S17">
        <v>1.756</v>
      </c>
      <c r="T17">
        <v>0.17</v>
      </c>
      <c r="U17">
        <v>0</v>
      </c>
      <c r="V17">
        <v>0.09</v>
      </c>
      <c r="W17">
        <v>0.09</v>
      </c>
      <c r="X17">
        <v>0.07</v>
      </c>
      <c r="Y17">
        <v>0.26</v>
      </c>
      <c r="Z17">
        <v>5.2</v>
      </c>
      <c r="AA17">
        <v>4.32</v>
      </c>
      <c r="AB17">
        <v>0.17</v>
      </c>
      <c r="AC17">
        <v>0.05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f>SUMIFS(技术配置!I:I,技术配置!F:F,$D17)</f>
        <v>12</v>
      </c>
      <c r="AK17">
        <f>SUMIFS(技术配置!L:L,技术配置!F:F,$D17)</f>
        <v>12.96</v>
      </c>
      <c r="AL17">
        <f>SUMIFS(技术配置!M:M,技术配置!F:F,$D17)</f>
        <v>12.23</v>
      </c>
      <c r="AM17">
        <v>29.586</v>
      </c>
      <c r="AN17" s="2">
        <f t="shared" si="0"/>
        <v>0.673940774487471</v>
      </c>
    </row>
    <row r="18" spans="1:40">
      <c r="A18" t="s">
        <v>27</v>
      </c>
      <c r="B18" t="s">
        <v>34</v>
      </c>
      <c r="C18" t="s">
        <v>34</v>
      </c>
      <c r="D18" t="s">
        <v>82</v>
      </c>
      <c r="E18" t="s">
        <v>65</v>
      </c>
      <c r="F18" t="s">
        <v>66</v>
      </c>
      <c r="G18">
        <v>0.06</v>
      </c>
      <c r="H18">
        <v>50.35</v>
      </c>
      <c r="I18">
        <v>47.5</v>
      </c>
      <c r="J18">
        <v>5.72</v>
      </c>
      <c r="K18" t="s">
        <v>52</v>
      </c>
      <c r="L18">
        <v>5</v>
      </c>
      <c r="M18">
        <v>0.06</v>
      </c>
      <c r="N18">
        <v>60</v>
      </c>
      <c r="O18">
        <v>3.72</v>
      </c>
      <c r="P18">
        <v>2</v>
      </c>
      <c r="Q18" s="1">
        <v>28.32</v>
      </c>
      <c r="R18" t="s">
        <v>52</v>
      </c>
      <c r="S18">
        <v>1.9</v>
      </c>
      <c r="T18">
        <v>0.19</v>
      </c>
      <c r="U18">
        <v>0</v>
      </c>
      <c r="V18">
        <v>0.1</v>
      </c>
      <c r="W18">
        <v>0.1</v>
      </c>
      <c r="X18">
        <v>0.08</v>
      </c>
      <c r="Y18">
        <v>0.29</v>
      </c>
      <c r="Z18">
        <v>5.7</v>
      </c>
      <c r="AA18">
        <v>4.77</v>
      </c>
      <c r="AB18">
        <v>0.19</v>
      </c>
      <c r="AC18">
        <v>0.06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f>SUMIFS(技术配置!I:I,技术配置!F:F,$D18)</f>
        <v>12</v>
      </c>
      <c r="AK18">
        <f>SUMIFS(技术配置!L:L,技术配置!F:F,$D18)</f>
        <v>15.84</v>
      </c>
      <c r="AL18">
        <f>SUMIFS(技术配置!M:M,技术配置!F:F,$D18)</f>
        <v>14.94</v>
      </c>
      <c r="AM18">
        <v>34.04</v>
      </c>
      <c r="AN18" s="2">
        <f t="shared" si="0"/>
        <v>0.716631578947368</v>
      </c>
    </row>
    <row r="19" spans="1:40">
      <c r="A19" t="s">
        <v>27</v>
      </c>
      <c r="B19" t="s">
        <v>34</v>
      </c>
      <c r="C19" t="s">
        <v>34</v>
      </c>
      <c r="D19" t="s">
        <v>83</v>
      </c>
      <c r="E19" t="s">
        <v>65</v>
      </c>
      <c r="F19" t="s">
        <v>66</v>
      </c>
      <c r="G19">
        <v>0.06</v>
      </c>
      <c r="H19">
        <v>57.24</v>
      </c>
      <c r="I19">
        <v>54</v>
      </c>
      <c r="J19">
        <v>6.46</v>
      </c>
      <c r="K19" t="s">
        <v>52</v>
      </c>
      <c r="L19">
        <v>5</v>
      </c>
      <c r="M19">
        <v>0.07</v>
      </c>
      <c r="N19">
        <v>60</v>
      </c>
      <c r="O19">
        <v>4.2</v>
      </c>
      <c r="P19">
        <v>2.26</v>
      </c>
      <c r="Q19" s="1">
        <v>27.63</v>
      </c>
      <c r="R19" t="s">
        <v>52</v>
      </c>
      <c r="S19">
        <v>2.16</v>
      </c>
      <c r="T19">
        <v>0.22</v>
      </c>
      <c r="U19">
        <v>0</v>
      </c>
      <c r="V19">
        <v>0.11</v>
      </c>
      <c r="W19">
        <v>0.11</v>
      </c>
      <c r="X19">
        <v>0.09</v>
      </c>
      <c r="Y19">
        <v>0.32</v>
      </c>
      <c r="Z19">
        <v>6.5</v>
      </c>
      <c r="AA19">
        <v>5.39</v>
      </c>
      <c r="AB19">
        <v>0.22</v>
      </c>
      <c r="AC19">
        <v>0.06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f>SUMIFS(技术配置!I:I,技术配置!F:F,$D19)</f>
        <v>12</v>
      </c>
      <c r="AK19">
        <f>SUMIFS(技术配置!L:L,技术配置!F:F,$D19)</f>
        <v>13.2</v>
      </c>
      <c r="AL19">
        <f>SUMIFS(技术配置!M:M,技术配置!F:F,$D19)</f>
        <v>12.45</v>
      </c>
      <c r="AM19">
        <v>34.09</v>
      </c>
      <c r="AN19" s="2">
        <f t="shared" si="0"/>
        <v>0.631296296296296</v>
      </c>
    </row>
    <row r="20" spans="1:40">
      <c r="A20" t="s">
        <v>27</v>
      </c>
      <c r="B20" t="s">
        <v>28</v>
      </c>
      <c r="C20" t="s">
        <v>28</v>
      </c>
      <c r="D20" t="s">
        <v>84</v>
      </c>
      <c r="E20" t="s">
        <v>65</v>
      </c>
      <c r="F20" t="s">
        <v>66</v>
      </c>
      <c r="G20">
        <v>0.06</v>
      </c>
      <c r="H20">
        <v>53</v>
      </c>
      <c r="I20">
        <v>50</v>
      </c>
      <c r="J20">
        <v>6.09</v>
      </c>
      <c r="K20" t="s">
        <v>52</v>
      </c>
      <c r="L20">
        <v>5</v>
      </c>
      <c r="M20">
        <v>0.07</v>
      </c>
      <c r="N20">
        <v>60</v>
      </c>
      <c r="O20">
        <v>3.96</v>
      </c>
      <c r="P20">
        <v>2.13</v>
      </c>
      <c r="Q20" s="1">
        <v>54.97</v>
      </c>
      <c r="R20" t="s">
        <v>52</v>
      </c>
      <c r="S20">
        <v>2</v>
      </c>
      <c r="T20">
        <v>0.2</v>
      </c>
      <c r="U20">
        <v>0</v>
      </c>
      <c r="V20">
        <v>0.1</v>
      </c>
      <c r="W20">
        <v>0.1</v>
      </c>
      <c r="X20">
        <v>0.08</v>
      </c>
      <c r="Y20">
        <v>0.3</v>
      </c>
      <c r="Z20">
        <v>6.1</v>
      </c>
      <c r="AA20">
        <v>5.08</v>
      </c>
      <c r="AB20">
        <v>0.2</v>
      </c>
      <c r="AC20">
        <v>0.06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f>SUMIFS(技术配置!I:I,技术配置!F:F,$D20)</f>
        <v>24</v>
      </c>
      <c r="AK20">
        <f>SUMIFS(技术配置!L:L,技术配置!F:F,$D20)</f>
        <v>43.2</v>
      </c>
      <c r="AL20">
        <f>SUMIFS(技术配置!M:M,技术配置!F:F,$D20)</f>
        <v>40.75</v>
      </c>
      <c r="AM20">
        <v>61.06</v>
      </c>
      <c r="AN20" s="2">
        <f t="shared" si="0"/>
        <v>1.2212</v>
      </c>
    </row>
    <row r="21" spans="1:40">
      <c r="A21" t="s">
        <v>27</v>
      </c>
      <c r="B21" t="s">
        <v>28</v>
      </c>
      <c r="C21" t="s">
        <v>28</v>
      </c>
      <c r="D21" t="s">
        <v>85</v>
      </c>
      <c r="E21" t="s">
        <v>65</v>
      </c>
      <c r="F21" t="s">
        <v>66</v>
      </c>
      <c r="G21">
        <v>0.06</v>
      </c>
      <c r="H21">
        <v>55.76</v>
      </c>
      <c r="I21">
        <v>52.6</v>
      </c>
      <c r="J21">
        <v>6.22</v>
      </c>
      <c r="K21" t="s">
        <v>52</v>
      </c>
      <c r="L21">
        <v>5</v>
      </c>
      <c r="M21">
        <v>0.07</v>
      </c>
      <c r="N21">
        <v>60</v>
      </c>
      <c r="O21">
        <v>4.04</v>
      </c>
      <c r="P21">
        <v>2.18</v>
      </c>
      <c r="Q21" s="1">
        <v>58.934</v>
      </c>
      <c r="R21" t="s">
        <v>52</v>
      </c>
      <c r="S21">
        <v>2.104</v>
      </c>
      <c r="T21">
        <v>0.21</v>
      </c>
      <c r="U21">
        <v>0</v>
      </c>
      <c r="V21">
        <v>0.1</v>
      </c>
      <c r="W21">
        <v>0.1</v>
      </c>
      <c r="X21">
        <v>0.08</v>
      </c>
      <c r="Y21">
        <v>0.31</v>
      </c>
      <c r="Z21">
        <v>6.2</v>
      </c>
      <c r="AA21">
        <v>5.18</v>
      </c>
      <c r="AB21">
        <v>0.21</v>
      </c>
      <c r="AC21">
        <v>0.06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f>SUMIFS(技术配置!I:I,技术配置!F:F,$D21)</f>
        <v>24</v>
      </c>
      <c r="AK21">
        <f>SUMIFS(技术配置!L:L,技术配置!F:F,$D21)</f>
        <v>47.04</v>
      </c>
      <c r="AL21">
        <f>SUMIFS(技术配置!M:M,技术配置!F:F,$D21)</f>
        <v>44.38</v>
      </c>
      <c r="AM21">
        <v>65.154</v>
      </c>
      <c r="AN21" s="2">
        <f t="shared" si="0"/>
        <v>1.23866920152091</v>
      </c>
    </row>
    <row r="22" spans="1:40">
      <c r="A22" t="s">
        <v>27</v>
      </c>
      <c r="B22" t="s">
        <v>28</v>
      </c>
      <c r="C22" t="s">
        <v>28</v>
      </c>
      <c r="D22" t="s">
        <v>86</v>
      </c>
      <c r="E22" t="s">
        <v>65</v>
      </c>
      <c r="F22" t="s">
        <v>66</v>
      </c>
      <c r="G22">
        <v>0.06</v>
      </c>
      <c r="H22">
        <v>62.54</v>
      </c>
      <c r="I22">
        <v>59</v>
      </c>
      <c r="J22">
        <v>7.2</v>
      </c>
      <c r="K22" t="s">
        <v>52</v>
      </c>
      <c r="L22">
        <v>5</v>
      </c>
      <c r="M22">
        <v>0.08</v>
      </c>
      <c r="N22">
        <v>60</v>
      </c>
      <c r="O22">
        <v>4.68</v>
      </c>
      <c r="P22">
        <v>2.52</v>
      </c>
      <c r="Q22" s="1">
        <v>60.73</v>
      </c>
      <c r="R22" t="s">
        <v>52</v>
      </c>
      <c r="S22">
        <v>2.36</v>
      </c>
      <c r="T22">
        <v>0.24</v>
      </c>
      <c r="U22">
        <v>0</v>
      </c>
      <c r="V22">
        <v>0.12</v>
      </c>
      <c r="W22">
        <v>0.12</v>
      </c>
      <c r="X22">
        <v>0.1</v>
      </c>
      <c r="Y22">
        <v>0.36</v>
      </c>
      <c r="Z22">
        <v>7.2</v>
      </c>
      <c r="AA22">
        <v>6</v>
      </c>
      <c r="AB22">
        <v>0.24</v>
      </c>
      <c r="AC22">
        <v>0.07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f>SUMIFS(技术配置!I:I,技术配置!F:F,$D22)</f>
        <v>24</v>
      </c>
      <c r="AK22">
        <f>SUMIFS(技术配置!L:L,技术配置!F:F,$D22)</f>
        <v>46.56</v>
      </c>
      <c r="AL22">
        <f>SUMIFS(技术配置!M:M,技术配置!F:F,$D22)</f>
        <v>43.92</v>
      </c>
      <c r="AM22">
        <v>67.93</v>
      </c>
      <c r="AN22" s="2">
        <f t="shared" si="0"/>
        <v>1.15135593220339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selection activeCell="G1" sqref="G$1:G$1048576"/>
    </sheetView>
  </sheetViews>
  <sheetFormatPr defaultColWidth="9" defaultRowHeight="13.5" outlineLevelCol="6"/>
  <sheetData>
    <row r="1" spans="1:7">
      <c r="A1" t="s">
        <v>0</v>
      </c>
      <c r="B1" t="s">
        <v>87</v>
      </c>
      <c r="C1" t="s">
        <v>88</v>
      </c>
      <c r="D1" t="s">
        <v>89</v>
      </c>
      <c r="E1" t="s">
        <v>50</v>
      </c>
      <c r="F1" t="s">
        <v>90</v>
      </c>
      <c r="G1" t="s">
        <v>91</v>
      </c>
    </row>
    <row r="2" spans="1:7">
      <c r="A2" t="s">
        <v>27</v>
      </c>
      <c r="B2" t="s">
        <v>13</v>
      </c>
      <c r="C2" t="s">
        <v>92</v>
      </c>
      <c r="D2" t="s">
        <v>93</v>
      </c>
      <c r="E2">
        <v>0.06</v>
      </c>
      <c r="F2">
        <v>2.5</v>
      </c>
      <c r="G2">
        <v>2.36</v>
      </c>
    </row>
    <row r="3" spans="1:7">
      <c r="A3" t="s">
        <v>27</v>
      </c>
      <c r="B3" t="s">
        <v>12</v>
      </c>
      <c r="C3" t="s">
        <v>94</v>
      </c>
      <c r="D3" t="s">
        <v>95</v>
      </c>
      <c r="E3">
        <v>0.06</v>
      </c>
      <c r="F3">
        <v>1.5</v>
      </c>
      <c r="G3">
        <v>1.42</v>
      </c>
    </row>
    <row r="4" spans="1:7">
      <c r="A4" t="s">
        <v>27</v>
      </c>
      <c r="B4" t="s">
        <v>23</v>
      </c>
      <c r="C4" t="s">
        <v>96</v>
      </c>
      <c r="D4" t="s">
        <v>97</v>
      </c>
      <c r="E4">
        <v>0.06</v>
      </c>
      <c r="F4">
        <v>0.5</v>
      </c>
      <c r="G4">
        <v>0.47</v>
      </c>
    </row>
    <row r="5" spans="1:7">
      <c r="A5" t="s">
        <v>27</v>
      </c>
      <c r="B5" t="s">
        <v>24</v>
      </c>
      <c r="C5" t="s">
        <v>98</v>
      </c>
      <c r="D5" t="s">
        <v>97</v>
      </c>
      <c r="E5">
        <v>0.06</v>
      </c>
      <c r="F5">
        <v>0.8</v>
      </c>
      <c r="G5">
        <v>0.75</v>
      </c>
    </row>
    <row r="6" spans="1:7">
      <c r="A6" t="s">
        <v>36</v>
      </c>
      <c r="B6" t="s">
        <v>13</v>
      </c>
      <c r="C6" t="s">
        <v>92</v>
      </c>
      <c r="D6" t="s">
        <v>93</v>
      </c>
      <c r="E6">
        <v>0.06</v>
      </c>
      <c r="F6">
        <v>2.5</v>
      </c>
      <c r="G6">
        <v>2.36</v>
      </c>
    </row>
    <row r="7" spans="1:7">
      <c r="A7" t="s">
        <v>36</v>
      </c>
      <c r="B7" t="s">
        <v>12</v>
      </c>
      <c r="C7" t="s">
        <v>94</v>
      </c>
      <c r="D7" t="s">
        <v>95</v>
      </c>
      <c r="E7">
        <v>0.06</v>
      </c>
      <c r="F7">
        <v>1.5</v>
      </c>
      <c r="G7">
        <v>1.42</v>
      </c>
    </row>
    <row r="8" spans="1:7">
      <c r="A8" t="s">
        <v>36</v>
      </c>
      <c r="B8" t="s">
        <v>23</v>
      </c>
      <c r="C8" t="s">
        <v>96</v>
      </c>
      <c r="D8" t="s">
        <v>97</v>
      </c>
      <c r="E8">
        <v>0.06</v>
      </c>
      <c r="F8">
        <v>0.5</v>
      </c>
      <c r="G8">
        <v>0.47</v>
      </c>
    </row>
    <row r="9" spans="1:7">
      <c r="A9" t="s">
        <v>36</v>
      </c>
      <c r="B9" t="s">
        <v>24</v>
      </c>
      <c r="C9" t="s">
        <v>98</v>
      </c>
      <c r="D9" t="s">
        <v>97</v>
      </c>
      <c r="E9">
        <v>0.06</v>
      </c>
      <c r="F9">
        <v>0.8</v>
      </c>
      <c r="G9">
        <v>0.75</v>
      </c>
    </row>
    <row r="10" spans="1:7">
      <c r="A10" t="s">
        <v>43</v>
      </c>
      <c r="B10" t="s">
        <v>13</v>
      </c>
      <c r="C10" t="s">
        <v>92</v>
      </c>
      <c r="D10" t="s">
        <v>93</v>
      </c>
      <c r="E10">
        <v>0.06</v>
      </c>
      <c r="F10">
        <v>2.5</v>
      </c>
      <c r="G10">
        <v>2.36</v>
      </c>
    </row>
    <row r="11" spans="1:7">
      <c r="A11" t="s">
        <v>43</v>
      </c>
      <c r="B11" t="s">
        <v>12</v>
      </c>
      <c r="C11" t="s">
        <v>94</v>
      </c>
      <c r="D11" t="s">
        <v>95</v>
      </c>
      <c r="E11">
        <v>0.06</v>
      </c>
      <c r="F11">
        <v>1.5</v>
      </c>
      <c r="G11">
        <v>1.42</v>
      </c>
    </row>
    <row r="12" spans="1:7">
      <c r="A12" t="s">
        <v>43</v>
      </c>
      <c r="B12" t="s">
        <v>23</v>
      </c>
      <c r="C12" t="s">
        <v>96</v>
      </c>
      <c r="D12" t="s">
        <v>97</v>
      </c>
      <c r="E12">
        <v>0.06</v>
      </c>
      <c r="F12">
        <v>0.5</v>
      </c>
      <c r="G12">
        <v>0.47</v>
      </c>
    </row>
    <row r="13" spans="1:7">
      <c r="A13" t="s">
        <v>43</v>
      </c>
      <c r="B13" t="s">
        <v>24</v>
      </c>
      <c r="C13" t="s">
        <v>98</v>
      </c>
      <c r="D13" t="s">
        <v>97</v>
      </c>
      <c r="E13">
        <v>0.06</v>
      </c>
      <c r="F13">
        <v>0.8</v>
      </c>
      <c r="G13">
        <v>0.75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M1" sqref="M$1:M$1048576"/>
    </sheetView>
  </sheetViews>
  <sheetFormatPr defaultColWidth="9" defaultRowHeight="13.5"/>
  <sheetData>
    <row r="1" spans="1:14">
      <c r="A1" t="s">
        <v>99</v>
      </c>
      <c r="B1" t="s">
        <v>100</v>
      </c>
      <c r="C1" t="s">
        <v>101</v>
      </c>
      <c r="D1" t="s">
        <v>102</v>
      </c>
      <c r="E1" t="s">
        <v>103</v>
      </c>
      <c r="F1" t="s">
        <v>104</v>
      </c>
      <c r="G1" t="s">
        <v>105</v>
      </c>
      <c r="H1" t="s">
        <v>106</v>
      </c>
      <c r="I1" t="s">
        <v>107</v>
      </c>
      <c r="J1" t="s">
        <v>108</v>
      </c>
      <c r="K1" t="s">
        <v>109</v>
      </c>
      <c r="L1" t="s">
        <v>110</v>
      </c>
      <c r="M1" t="s">
        <v>111</v>
      </c>
      <c r="N1" t="s">
        <v>112</v>
      </c>
    </row>
    <row r="2" spans="1:14">
      <c r="A2" t="s">
        <v>43</v>
      </c>
      <c r="B2" t="s">
        <v>17</v>
      </c>
      <c r="C2" t="s">
        <v>113</v>
      </c>
      <c r="D2" t="s">
        <v>114</v>
      </c>
      <c r="E2" t="s">
        <v>44</v>
      </c>
      <c r="F2" t="s">
        <v>64</v>
      </c>
      <c r="G2">
        <v>2</v>
      </c>
      <c r="H2" t="s">
        <v>115</v>
      </c>
      <c r="I2">
        <v>12</v>
      </c>
      <c r="J2">
        <v>11200</v>
      </c>
      <c r="K2">
        <v>0.06</v>
      </c>
      <c r="L2">
        <v>13.44</v>
      </c>
      <c r="M2">
        <v>12.68</v>
      </c>
      <c r="N2">
        <v>1.06</v>
      </c>
    </row>
    <row r="3" spans="1:14">
      <c r="A3" t="s">
        <v>43</v>
      </c>
      <c r="B3" t="s">
        <v>17</v>
      </c>
      <c r="C3" t="s">
        <v>113</v>
      </c>
      <c r="D3" t="s">
        <v>114</v>
      </c>
      <c r="E3" t="s">
        <v>44</v>
      </c>
      <c r="F3" t="s">
        <v>67</v>
      </c>
      <c r="G3">
        <v>2</v>
      </c>
      <c r="H3" t="s">
        <v>116</v>
      </c>
      <c r="I3">
        <v>12</v>
      </c>
      <c r="J3">
        <v>11000</v>
      </c>
      <c r="K3">
        <v>0.06</v>
      </c>
      <c r="L3">
        <v>13.2</v>
      </c>
      <c r="M3">
        <v>12.45</v>
      </c>
      <c r="N3">
        <v>1.04</v>
      </c>
    </row>
    <row r="4" spans="1:14">
      <c r="A4" t="s">
        <v>43</v>
      </c>
      <c r="B4" t="s">
        <v>17</v>
      </c>
      <c r="C4" t="s">
        <v>113</v>
      </c>
      <c r="D4" t="s">
        <v>114</v>
      </c>
      <c r="E4" t="s">
        <v>44</v>
      </c>
      <c r="F4" t="s">
        <v>68</v>
      </c>
      <c r="G4">
        <v>2</v>
      </c>
      <c r="H4" t="s">
        <v>117</v>
      </c>
      <c r="I4">
        <v>12</v>
      </c>
      <c r="J4">
        <v>11000</v>
      </c>
      <c r="K4">
        <v>0.06</v>
      </c>
      <c r="L4">
        <v>13.2</v>
      </c>
      <c r="M4">
        <v>12.45</v>
      </c>
      <c r="N4">
        <v>1.04</v>
      </c>
    </row>
    <row r="5" spans="1:14">
      <c r="A5" t="s">
        <v>36</v>
      </c>
      <c r="B5" t="s">
        <v>17</v>
      </c>
      <c r="C5" t="s">
        <v>113</v>
      </c>
      <c r="D5" t="s">
        <v>118</v>
      </c>
      <c r="E5" t="s">
        <v>39</v>
      </c>
      <c r="F5" t="s">
        <v>69</v>
      </c>
      <c r="G5">
        <v>5</v>
      </c>
      <c r="H5" t="s">
        <v>116</v>
      </c>
      <c r="I5">
        <v>36</v>
      </c>
      <c r="J5">
        <v>31100</v>
      </c>
      <c r="K5">
        <v>0.06</v>
      </c>
      <c r="L5">
        <v>111.96</v>
      </c>
      <c r="M5">
        <v>105.62</v>
      </c>
      <c r="N5">
        <v>2.93</v>
      </c>
    </row>
    <row r="6" spans="1:14">
      <c r="A6" t="s">
        <v>36</v>
      </c>
      <c r="B6" t="s">
        <v>17</v>
      </c>
      <c r="C6" t="s">
        <v>113</v>
      </c>
      <c r="D6" t="s">
        <v>118</v>
      </c>
      <c r="E6" t="s">
        <v>39</v>
      </c>
      <c r="F6" t="s">
        <v>70</v>
      </c>
      <c r="G6">
        <v>5</v>
      </c>
      <c r="H6" t="s">
        <v>115</v>
      </c>
      <c r="I6">
        <v>36</v>
      </c>
      <c r="J6">
        <v>29400</v>
      </c>
      <c r="K6">
        <v>0.06</v>
      </c>
      <c r="L6">
        <v>105.84</v>
      </c>
      <c r="M6">
        <v>99.85</v>
      </c>
      <c r="N6">
        <v>2.77</v>
      </c>
    </row>
    <row r="7" spans="1:14">
      <c r="A7" t="s">
        <v>36</v>
      </c>
      <c r="B7" t="s">
        <v>17</v>
      </c>
      <c r="C7" t="s">
        <v>113</v>
      </c>
      <c r="D7" t="s">
        <v>118</v>
      </c>
      <c r="E7" t="s">
        <v>39</v>
      </c>
      <c r="F7" t="s">
        <v>71</v>
      </c>
      <c r="G7">
        <v>5</v>
      </c>
      <c r="H7" t="s">
        <v>115</v>
      </c>
      <c r="I7">
        <v>36</v>
      </c>
      <c r="J7">
        <v>28500</v>
      </c>
      <c r="K7">
        <v>0.06</v>
      </c>
      <c r="L7">
        <v>102.6</v>
      </c>
      <c r="M7">
        <v>96.79</v>
      </c>
      <c r="N7">
        <v>2.69</v>
      </c>
    </row>
    <row r="8" spans="1:14">
      <c r="A8" t="s">
        <v>36</v>
      </c>
      <c r="B8" t="s">
        <v>17</v>
      </c>
      <c r="C8" t="s">
        <v>113</v>
      </c>
      <c r="D8" t="s">
        <v>119</v>
      </c>
      <c r="E8" t="s">
        <v>41</v>
      </c>
      <c r="F8" t="s">
        <v>72</v>
      </c>
      <c r="G8">
        <v>4</v>
      </c>
      <c r="H8" t="s">
        <v>117</v>
      </c>
      <c r="I8">
        <v>30</v>
      </c>
      <c r="J8">
        <v>20000</v>
      </c>
      <c r="K8">
        <v>0.06</v>
      </c>
      <c r="L8">
        <v>60</v>
      </c>
      <c r="M8">
        <v>56.6</v>
      </c>
      <c r="N8">
        <v>1.89</v>
      </c>
    </row>
    <row r="9" spans="1:14">
      <c r="A9" t="s">
        <v>36</v>
      </c>
      <c r="B9" t="s">
        <v>17</v>
      </c>
      <c r="C9" t="s">
        <v>113</v>
      </c>
      <c r="D9" t="s">
        <v>119</v>
      </c>
      <c r="E9" t="s">
        <v>41</v>
      </c>
      <c r="F9" t="s">
        <v>73</v>
      </c>
      <c r="G9">
        <v>4</v>
      </c>
      <c r="H9" t="s">
        <v>115</v>
      </c>
      <c r="I9">
        <v>30</v>
      </c>
      <c r="J9">
        <v>21600</v>
      </c>
      <c r="K9">
        <v>0.06</v>
      </c>
      <c r="L9">
        <v>64.8</v>
      </c>
      <c r="M9">
        <v>61.13</v>
      </c>
      <c r="N9">
        <v>2.04</v>
      </c>
    </row>
    <row r="10" spans="1:14">
      <c r="A10" t="s">
        <v>36</v>
      </c>
      <c r="B10" t="s">
        <v>17</v>
      </c>
      <c r="C10" t="s">
        <v>113</v>
      </c>
      <c r="D10" t="s">
        <v>119</v>
      </c>
      <c r="E10" t="s">
        <v>41</v>
      </c>
      <c r="F10" t="s">
        <v>74</v>
      </c>
      <c r="G10">
        <v>4</v>
      </c>
      <c r="H10" t="s">
        <v>116</v>
      </c>
      <c r="I10">
        <v>30</v>
      </c>
      <c r="J10">
        <v>22300</v>
      </c>
      <c r="K10">
        <v>0.06</v>
      </c>
      <c r="L10">
        <v>66.9</v>
      </c>
      <c r="M10">
        <v>63.11</v>
      </c>
      <c r="N10">
        <v>2.1</v>
      </c>
    </row>
    <row r="11" spans="1:14">
      <c r="A11" t="s">
        <v>36</v>
      </c>
      <c r="B11" t="s">
        <v>17</v>
      </c>
      <c r="C11" t="s">
        <v>113</v>
      </c>
      <c r="D11" t="s">
        <v>118</v>
      </c>
      <c r="E11" t="s">
        <v>37</v>
      </c>
      <c r="F11" t="s">
        <v>75</v>
      </c>
      <c r="G11">
        <v>5</v>
      </c>
      <c r="H11" t="s">
        <v>116</v>
      </c>
      <c r="I11">
        <v>36</v>
      </c>
      <c r="J11">
        <v>32599</v>
      </c>
      <c r="K11">
        <v>0.06</v>
      </c>
      <c r="L11">
        <v>117.36</v>
      </c>
      <c r="M11">
        <v>110.72</v>
      </c>
      <c r="N11">
        <v>3.08</v>
      </c>
    </row>
    <row r="12" spans="1:14">
      <c r="A12" t="s">
        <v>36</v>
      </c>
      <c r="B12" t="s">
        <v>17</v>
      </c>
      <c r="C12" t="s">
        <v>113</v>
      </c>
      <c r="D12" t="s">
        <v>118</v>
      </c>
      <c r="E12" t="s">
        <v>37</v>
      </c>
      <c r="F12" t="s">
        <v>76</v>
      </c>
      <c r="G12">
        <v>5</v>
      </c>
      <c r="H12" t="s">
        <v>116</v>
      </c>
      <c r="I12">
        <v>36</v>
      </c>
      <c r="J12">
        <v>31000</v>
      </c>
      <c r="K12">
        <v>0.06</v>
      </c>
      <c r="L12">
        <v>111.6</v>
      </c>
      <c r="M12">
        <v>105.28</v>
      </c>
      <c r="N12">
        <v>2.92</v>
      </c>
    </row>
    <row r="13" spans="1:14">
      <c r="A13" t="s">
        <v>36</v>
      </c>
      <c r="B13" t="s">
        <v>17</v>
      </c>
      <c r="C13" t="s">
        <v>113</v>
      </c>
      <c r="D13" t="s">
        <v>118</v>
      </c>
      <c r="E13" t="s">
        <v>37</v>
      </c>
      <c r="F13" t="s">
        <v>77</v>
      </c>
      <c r="G13">
        <v>5</v>
      </c>
      <c r="H13" t="s">
        <v>115</v>
      </c>
      <c r="I13">
        <v>36</v>
      </c>
      <c r="J13">
        <v>28400</v>
      </c>
      <c r="K13">
        <v>0.06</v>
      </c>
      <c r="L13">
        <v>102.24</v>
      </c>
      <c r="M13">
        <v>96.45</v>
      </c>
      <c r="N13">
        <v>2.68</v>
      </c>
    </row>
    <row r="14" spans="1:14">
      <c r="A14" t="s">
        <v>27</v>
      </c>
      <c r="B14" t="s">
        <v>17</v>
      </c>
      <c r="C14" t="s">
        <v>113</v>
      </c>
      <c r="D14" t="s">
        <v>120</v>
      </c>
      <c r="E14" t="s">
        <v>32</v>
      </c>
      <c r="F14" t="s">
        <v>78</v>
      </c>
      <c r="G14">
        <v>3</v>
      </c>
      <c r="H14" t="s">
        <v>117</v>
      </c>
      <c r="I14">
        <v>24</v>
      </c>
      <c r="J14">
        <v>16700</v>
      </c>
      <c r="K14">
        <v>0.06</v>
      </c>
      <c r="L14">
        <v>40.08</v>
      </c>
      <c r="M14">
        <v>37.81</v>
      </c>
      <c r="N14">
        <v>1.58</v>
      </c>
    </row>
    <row r="15" spans="1:14">
      <c r="A15" t="s">
        <v>27</v>
      </c>
      <c r="B15" t="s">
        <v>17</v>
      </c>
      <c r="C15" t="s">
        <v>113</v>
      </c>
      <c r="D15" t="s">
        <v>120</v>
      </c>
      <c r="E15" t="s">
        <v>32</v>
      </c>
      <c r="F15" t="s">
        <v>79</v>
      </c>
      <c r="G15">
        <v>3</v>
      </c>
      <c r="H15" t="s">
        <v>116</v>
      </c>
      <c r="I15">
        <v>24</v>
      </c>
      <c r="J15">
        <v>17300</v>
      </c>
      <c r="K15">
        <v>0.06</v>
      </c>
      <c r="L15">
        <v>41.52</v>
      </c>
      <c r="M15">
        <v>39.17</v>
      </c>
      <c r="N15">
        <v>1.63</v>
      </c>
    </row>
    <row r="16" spans="1:14">
      <c r="A16" t="s">
        <v>27</v>
      </c>
      <c r="B16" t="s">
        <v>17</v>
      </c>
      <c r="C16" t="s">
        <v>113</v>
      </c>
      <c r="D16" t="s">
        <v>120</v>
      </c>
      <c r="E16" t="s">
        <v>32</v>
      </c>
      <c r="F16" t="s">
        <v>80</v>
      </c>
      <c r="G16">
        <v>3</v>
      </c>
      <c r="H16" t="s">
        <v>117</v>
      </c>
      <c r="I16">
        <v>24</v>
      </c>
      <c r="J16">
        <v>19500</v>
      </c>
      <c r="K16">
        <v>0.06</v>
      </c>
      <c r="L16">
        <v>46.8</v>
      </c>
      <c r="M16">
        <v>44.15</v>
      </c>
      <c r="N16">
        <v>1.84</v>
      </c>
    </row>
    <row r="17" spans="1:14">
      <c r="A17" t="s">
        <v>27</v>
      </c>
      <c r="B17" t="s">
        <v>17</v>
      </c>
      <c r="C17" t="s">
        <v>113</v>
      </c>
      <c r="D17" t="s">
        <v>114</v>
      </c>
      <c r="E17" t="s">
        <v>34</v>
      </c>
      <c r="F17" t="s">
        <v>81</v>
      </c>
      <c r="G17">
        <v>2</v>
      </c>
      <c r="H17" t="s">
        <v>115</v>
      </c>
      <c r="I17">
        <v>12</v>
      </c>
      <c r="J17">
        <v>10800</v>
      </c>
      <c r="K17">
        <v>0.06</v>
      </c>
      <c r="L17">
        <v>12.96</v>
      </c>
      <c r="M17">
        <v>12.23</v>
      </c>
      <c r="N17">
        <v>1.02</v>
      </c>
    </row>
    <row r="18" spans="1:14">
      <c r="A18" t="s">
        <v>27</v>
      </c>
      <c r="B18" t="s">
        <v>17</v>
      </c>
      <c r="C18" t="s">
        <v>113</v>
      </c>
      <c r="D18" t="s">
        <v>114</v>
      </c>
      <c r="E18" t="s">
        <v>34</v>
      </c>
      <c r="F18" t="s">
        <v>82</v>
      </c>
      <c r="G18">
        <v>2</v>
      </c>
      <c r="H18" t="s">
        <v>117</v>
      </c>
      <c r="I18">
        <v>12</v>
      </c>
      <c r="J18">
        <v>13200</v>
      </c>
      <c r="K18">
        <v>0.06</v>
      </c>
      <c r="L18">
        <v>15.84</v>
      </c>
      <c r="M18">
        <v>14.94</v>
      </c>
      <c r="N18">
        <v>1.24</v>
      </c>
    </row>
    <row r="19" spans="1:14">
      <c r="A19" t="s">
        <v>27</v>
      </c>
      <c r="B19" t="s">
        <v>17</v>
      </c>
      <c r="C19" t="s">
        <v>113</v>
      </c>
      <c r="D19" t="s">
        <v>114</v>
      </c>
      <c r="E19" t="s">
        <v>34</v>
      </c>
      <c r="F19" t="s">
        <v>83</v>
      </c>
      <c r="G19">
        <v>2</v>
      </c>
      <c r="H19" t="s">
        <v>116</v>
      </c>
      <c r="I19">
        <v>12</v>
      </c>
      <c r="J19">
        <v>11000</v>
      </c>
      <c r="K19">
        <v>0.06</v>
      </c>
      <c r="L19">
        <v>13.2</v>
      </c>
      <c r="M19">
        <v>12.45</v>
      </c>
      <c r="N19">
        <v>1.04</v>
      </c>
    </row>
    <row r="20" spans="1:14">
      <c r="A20" t="s">
        <v>27</v>
      </c>
      <c r="B20" t="s">
        <v>17</v>
      </c>
      <c r="C20" t="s">
        <v>113</v>
      </c>
      <c r="D20" t="s">
        <v>120</v>
      </c>
      <c r="E20" t="s">
        <v>28</v>
      </c>
      <c r="F20" t="s">
        <v>84</v>
      </c>
      <c r="G20">
        <v>3</v>
      </c>
      <c r="H20" t="s">
        <v>116</v>
      </c>
      <c r="I20">
        <v>24</v>
      </c>
      <c r="J20">
        <v>18000</v>
      </c>
      <c r="K20">
        <v>0.06</v>
      </c>
      <c r="L20">
        <v>43.2</v>
      </c>
      <c r="M20">
        <v>40.75</v>
      </c>
      <c r="N20">
        <v>1.7</v>
      </c>
    </row>
    <row r="21" spans="1:14">
      <c r="A21" t="s">
        <v>27</v>
      </c>
      <c r="B21" t="s">
        <v>17</v>
      </c>
      <c r="C21" t="s">
        <v>113</v>
      </c>
      <c r="D21" t="s">
        <v>120</v>
      </c>
      <c r="E21" t="s">
        <v>28</v>
      </c>
      <c r="F21" t="s">
        <v>85</v>
      </c>
      <c r="G21">
        <v>3</v>
      </c>
      <c r="H21" t="s">
        <v>117</v>
      </c>
      <c r="I21">
        <v>24</v>
      </c>
      <c r="J21">
        <v>19600</v>
      </c>
      <c r="K21">
        <v>0.06</v>
      </c>
      <c r="L21">
        <v>47.04</v>
      </c>
      <c r="M21">
        <v>44.38</v>
      </c>
      <c r="N21">
        <v>1.85</v>
      </c>
    </row>
    <row r="22" spans="1:14">
      <c r="A22" t="s">
        <v>27</v>
      </c>
      <c r="B22" t="s">
        <v>17</v>
      </c>
      <c r="C22" t="s">
        <v>113</v>
      </c>
      <c r="D22" t="s">
        <v>120</v>
      </c>
      <c r="E22" t="s">
        <v>28</v>
      </c>
      <c r="F22" t="s">
        <v>86</v>
      </c>
      <c r="G22">
        <v>3</v>
      </c>
      <c r="H22" t="s">
        <v>116</v>
      </c>
      <c r="I22">
        <v>24</v>
      </c>
      <c r="J22">
        <v>19400</v>
      </c>
      <c r="K22">
        <v>0.06</v>
      </c>
      <c r="L22">
        <v>46.56</v>
      </c>
      <c r="M22">
        <v>43.92</v>
      </c>
      <c r="N22">
        <v>1.83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收入成本预算汇总表</vt:lpstr>
      <vt:lpstr>市场项目预算明细</vt:lpstr>
      <vt:lpstr>部门公共费用明细</vt:lpstr>
      <vt:lpstr>技术配置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蘑菇</cp:lastModifiedBy>
  <dcterms:created xsi:type="dcterms:W3CDTF">2026-08-10T15:33:00Z</dcterms:created>
  <dcterms:modified xsi:type="dcterms:W3CDTF">2026-08-11T12:01:21Z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B9E778583F3642E6AB858D25F8318B73_12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